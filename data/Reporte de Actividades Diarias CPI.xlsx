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"/>
    </mc:Choice>
  </mc:AlternateContent>
  <xr:revisionPtr revIDLastSave="2456" documentId="8_{4AADA8ED-8E7D-4B32-A08C-3385DCB314DA}" xr6:coauthVersionLast="47" xr6:coauthVersionMax="47" xr10:uidLastSave="{CDDB91A9-4422-4621-A133-E8A3215A2B3D}"/>
  <bookViews>
    <workbookView xWindow="-120" yWindow="-120" windowWidth="29040" windowHeight="15720" tabRatio="929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Conceptos" sheetId="40" r:id="rId6"/>
    <sheet name="R (s01)" sheetId="13" r:id="rId7"/>
    <sheet name="R (s02)" sheetId="14" r:id="rId8"/>
    <sheet name="R (s03)" sheetId="19" r:id="rId9"/>
    <sheet name="R (s04)" sheetId="22" r:id="rId10"/>
    <sheet name="R (s06)" sheetId="26" r:id="rId11"/>
    <sheet name="R (s07)" sheetId="15" r:id="rId12"/>
    <sheet name="R (s08)" sheetId="17" r:id="rId13"/>
    <sheet name="Direct Inspections check" sheetId="37" r:id="rId14"/>
    <sheet name="nombres" sheetId="10" r:id="rId15"/>
    <sheet name="Grafico" sheetId="7" r:id="rId16"/>
    <sheet name="Grafico %" sheetId="8" r:id="rId17"/>
    <sheet name="EV" sheetId="21" r:id="rId18"/>
    <sheet name="EV (2)" sheetId="29" r:id="rId19"/>
    <sheet name="EV (3)" sheetId="30" r:id="rId20"/>
    <sheet name="Por etapa" sheetId="32" state="hidden" r:id="rId21"/>
    <sheet name="EV (4)" sheetId="39" r:id="rId22"/>
    <sheet name="balance" sheetId="41" r:id="rId23"/>
    <sheet name="EV SPIN" sheetId="33" r:id="rId24"/>
    <sheet name="DASH SPIN" sheetId="35" r:id="rId25"/>
    <sheet name="Summary S01" sheetId="11" r:id="rId26"/>
    <sheet name="Summary S02" sheetId="12" r:id="rId27"/>
    <sheet name="Summary S03" sheetId="20" r:id="rId28"/>
    <sheet name="Summary S04" sheetId="23" r:id="rId29"/>
    <sheet name="Summary S06" sheetId="28" r:id="rId30"/>
    <sheet name="Summary S07" sheetId="16" r:id="rId31"/>
    <sheet name="Summary S08" sheetId="18" r:id="rId32"/>
    <sheet name="listado sistemas" sheetId="6" r:id="rId33"/>
    <sheet name="Metalografías" sheetId="36" r:id="rId34"/>
    <sheet name="waterfall" sheetId="25" r:id="rId35"/>
    <sheet name="Hoja1" sheetId="9" state="hidden" r:id="rId36"/>
  </sheets>
  <externalReferences>
    <externalReference r:id="rId37"/>
  </externalReferences>
  <definedNames>
    <definedName name="_xlnm._FilterDatabase" localSheetId="8" hidden="1">'R (s03)'!$A$1:$J$42</definedName>
    <definedName name="_xlnm._FilterDatabase" localSheetId="9" hidden="1">'R (s04)'!$A$1:$J$2</definedName>
    <definedName name="_xlnm._FilterDatabase" localSheetId="10" hidden="1">'R (s06)'!$A$1:$J$2</definedName>
    <definedName name="_xlnm._FilterDatabase" localSheetId="25" hidden="1">'Summary S01'!$A$1:$G$41</definedName>
    <definedName name="_xlnm._FilterDatabase" localSheetId="27" hidden="1">'Summary S03'!$A$1:$G$41</definedName>
    <definedName name="_xlnm._FilterDatabase" localSheetId="28" hidden="1">'Summary S04'!$A$1:$G$2</definedName>
    <definedName name="_xlnm._FilterDatabase" localSheetId="29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SPIN'!$L$6:$L$20</definedName>
    <definedName name="_xlchart.v5.11" hidden="1">'EV SPIN'!$K$6:$K$20</definedName>
    <definedName name="_xlchart.v5.12" hidden="1">'EV SPIN'!$Q$6:$Q$20</definedName>
    <definedName name="_xlchart.v5.13" hidden="1">'EV SPIN'!$K$6:$K$20</definedName>
    <definedName name="_xlchart.v5.14" hidden="1">'EV SPIN'!$M$6:$M$20</definedName>
    <definedName name="_xlchart.v5.15" hidden="1">'EV SPIN'!$K$6:$K$20</definedName>
    <definedName name="_xlchart.v5.16" hidden="1">'EV SPIN'!$N$6:$N$20</definedName>
    <definedName name="_xlchart.v5.17" hidden="1">'EV SPIN'!$A$5:$A$20</definedName>
    <definedName name="_xlchart.v5.18" hidden="1">'EV SPIN'!$I$5:$I$20</definedName>
    <definedName name="_xlchart.v5.19" hidden="1">'EV SPIN'!$K$6:$K$20</definedName>
    <definedName name="_xlchart.v5.2" hidden="1">'EV (2)'!$A$5:$A$20</definedName>
    <definedName name="_xlchart.v5.20" hidden="1">'EV SPIN'!$O$6:$O$20</definedName>
    <definedName name="_xlchart.v5.21" hidden="1">'EV SPIN'!$K$6:$K$20</definedName>
    <definedName name="_xlchart.v5.22" hidden="1">'EV SPIN'!$P$6:$P$20</definedName>
    <definedName name="_xlchart.v5.23" hidden="1">'EV SPIN'!$K$6:$K$20</definedName>
    <definedName name="_xlchart.v5.24" hidden="1">'EV SPIN'!$Q$6:$Q$20</definedName>
    <definedName name="_xlchart.v5.25" hidden="1">'EV SPIN'!$K$6:$K$20</definedName>
    <definedName name="_xlchart.v5.26" hidden="1">'EV SPIN'!$N$6:$N$20</definedName>
    <definedName name="_xlchart.v5.27" hidden="1">'EV SPIN'!$A$5:$A$20</definedName>
    <definedName name="_xlchart.v5.28" hidden="1">'EV SPIN'!$I$5:$I$20</definedName>
    <definedName name="_xlchart.v5.29" hidden="1">'EV SPIN'!$K$6:$K$20</definedName>
    <definedName name="_xlchart.v5.3" hidden="1">'EV (2)'!$AO$5:$AO$20</definedName>
    <definedName name="_xlchart.v5.30" hidden="1">'EV SPIN'!$O$6:$O$20</definedName>
    <definedName name="_xlchart.v5.31" hidden="1">'EV SPIN'!$K$6:$K$20</definedName>
    <definedName name="_xlchart.v5.32" hidden="1">'EV SPIN'!$L$6:$L$20</definedName>
    <definedName name="_xlchart.v5.33" hidden="1">'EV SPIN'!$K$6:$K$20</definedName>
    <definedName name="_xlchart.v5.34" hidden="1">'EV SPIN'!$P$6:$P$20</definedName>
    <definedName name="_xlchart.v5.35" hidden="1">'EV SPIN'!$K$6:$K$20</definedName>
    <definedName name="_xlchart.v5.36" hidden="1">'EV SPIN'!$M$6:$M$20</definedName>
    <definedName name="_xlchart.v5.37" hidden="1">waterfall!$A$3:$A$19</definedName>
    <definedName name="_xlchart.v5.38" hidden="1">waterfall!$AP$3:$AP$19</definedName>
    <definedName name="_xlchart.v5.39" hidden="1">waterfall!$AR$74</definedName>
    <definedName name="_xlchart.v5.4" hidden="1">'waterfall ENGIE'!$U$31</definedName>
    <definedName name="_xlchart.v5.40" hidden="1">waterfall!$A$23:$A$39</definedName>
    <definedName name="_xlchart.v5.41" hidden="1">waterfall!$AP$23:$AP$39</definedName>
    <definedName name="_xlchart.v5.5" hidden="1">'EV (2)'!$A$26:$A$38</definedName>
    <definedName name="_xlchart.v5.6" hidden="1">'EV (2)'!$B$26:$B$38</definedName>
    <definedName name="_xlchart.v5.7" hidden="1">'EV SPIN'!$A$26:$A$38</definedName>
    <definedName name="_xlchart.v5.8" hidden="1">'EV SPIN'!$B$26:$B$38</definedName>
    <definedName name="_xlchart.v5.9" hidden="1">'EV SPIN'!$K$6:$K$20</definedName>
    <definedName name="_xlnm.Print_Area" localSheetId="24">'DASH SPIN'!$A$1:$BC$64</definedName>
    <definedName name="_xlnm.Print_Area" localSheetId="16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5" hidden="1">Grafico!$U$43</definedName>
    <definedName name="solver_cvg" localSheetId="15" hidden="1">0.0001</definedName>
    <definedName name="solver_drv" localSheetId="15" hidden="1">1</definedName>
    <definedName name="solver_eng" localSheetId="15" hidden="1">1</definedName>
    <definedName name="solver_est" localSheetId="15" hidden="1">1</definedName>
    <definedName name="solver_itr" localSheetId="15" hidden="1">2147483647</definedName>
    <definedName name="solver_lhs1" localSheetId="15" hidden="1">Grafico!$U$45</definedName>
    <definedName name="solver_lhs2" localSheetId="15" hidden="1">Grafico!$U$45</definedName>
    <definedName name="solver_lhs3" localSheetId="15" hidden="1">Grafico!$U$45</definedName>
    <definedName name="solver_mip" localSheetId="15" hidden="1">2147483647</definedName>
    <definedName name="solver_mni" localSheetId="15" hidden="1">30</definedName>
    <definedName name="solver_mrt" localSheetId="15" hidden="1">0.075</definedName>
    <definedName name="solver_msl" localSheetId="15" hidden="1">2</definedName>
    <definedName name="solver_neg" localSheetId="15" hidden="1">1</definedName>
    <definedName name="solver_nod" localSheetId="15" hidden="1">2147483647</definedName>
    <definedName name="solver_num" localSheetId="15" hidden="1">0</definedName>
    <definedName name="solver_nwt" localSheetId="15" hidden="1">1</definedName>
    <definedName name="solver_opt" localSheetId="15" hidden="1">Grafico!$W$46</definedName>
    <definedName name="solver_pre" localSheetId="15" hidden="1">0.001</definedName>
    <definedName name="solver_rbv" localSheetId="15" hidden="1">1</definedName>
    <definedName name="solver_rel1" localSheetId="15" hidden="1">4</definedName>
    <definedName name="solver_rel2" localSheetId="15" hidden="1">4</definedName>
    <definedName name="solver_rel3" localSheetId="15" hidden="1">4</definedName>
    <definedName name="solver_rhs1" localSheetId="15" hidden="1">"entero"</definedName>
    <definedName name="solver_rhs2" localSheetId="15" hidden="1">"entero"</definedName>
    <definedName name="solver_rhs3" localSheetId="15" hidden="1">"entero"</definedName>
    <definedName name="solver_rlx" localSheetId="15" hidden="1">2</definedName>
    <definedName name="solver_rsd" localSheetId="15" hidden="1">0</definedName>
    <definedName name="solver_scl" localSheetId="15" hidden="1">1</definedName>
    <definedName name="solver_sho" localSheetId="15" hidden="1">2</definedName>
    <definedName name="solver_ssz" localSheetId="15" hidden="1">100</definedName>
    <definedName name="solver_tim" localSheetId="15" hidden="1">2147483647</definedName>
    <definedName name="solver_tol" localSheetId="15" hidden="1">0.01</definedName>
    <definedName name="solver_typ" localSheetId="15" hidden="1">3</definedName>
    <definedName name="solver_val" localSheetId="15" hidden="1">1500000</definedName>
    <definedName name="solver_ver" localSheetId="15" hidden="1">3</definedName>
  </definedNames>
  <calcPr calcId="191028"/>
  <pivotCaches>
    <pivotCache cacheId="0" r:id="rId3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22" l="1"/>
  <c r="L696" i="1"/>
  <c r="K696" i="1"/>
  <c r="H696" i="1"/>
  <c r="M696" i="1" s="1"/>
  <c r="L695" i="1"/>
  <c r="K695" i="1"/>
  <c r="H695" i="1"/>
  <c r="M695" i="1" s="1"/>
  <c r="C14" i="41"/>
  <c r="L694" i="1"/>
  <c r="K694" i="1"/>
  <c r="H694" i="1"/>
  <c r="M694" i="1" s="1"/>
  <c r="C3" i="41"/>
  <c r="C4" i="41"/>
  <c r="C5" i="41"/>
  <c r="C6" i="41"/>
  <c r="C7" i="41"/>
  <c r="C8" i="41"/>
  <c r="C9" i="41"/>
  <c r="C10" i="41"/>
  <c r="C11" i="41"/>
  <c r="C12" i="41"/>
  <c r="C2" i="41"/>
  <c r="AD7" i="21"/>
  <c r="AD6" i="21"/>
  <c r="U15" i="5"/>
  <c r="V15" i="5" s="1"/>
  <c r="U16" i="5"/>
  <c r="U17" i="5"/>
  <c r="V17" i="5" s="1"/>
  <c r="U18" i="5"/>
  <c r="U19" i="5"/>
  <c r="U20" i="5"/>
  <c r="V20" i="5"/>
  <c r="U21" i="5"/>
  <c r="V21" i="5"/>
  <c r="U14" i="5"/>
  <c r="U8" i="5"/>
  <c r="U9" i="5"/>
  <c r="U10" i="5"/>
  <c r="U11" i="5"/>
  <c r="U12" i="5"/>
  <c r="V8" i="5"/>
  <c r="V9" i="5"/>
  <c r="V10" i="5"/>
  <c r="V11" i="5"/>
  <c r="V12" i="5"/>
  <c r="V7" i="5"/>
  <c r="U7" i="5"/>
  <c r="S17" i="5"/>
  <c r="S15" i="5"/>
  <c r="S14" i="5"/>
  <c r="L692" i="1"/>
  <c r="K692" i="1"/>
  <c r="H692" i="1"/>
  <c r="M692" i="1" s="1"/>
  <c r="H853" i="1"/>
  <c r="M853" i="1" s="1"/>
  <c r="K853" i="1"/>
  <c r="N853" i="1"/>
  <c r="M3" i="37"/>
  <c r="N852" i="1"/>
  <c r="M852" i="1"/>
  <c r="K852" i="1"/>
  <c r="N851" i="1"/>
  <c r="M851" i="1"/>
  <c r="K851" i="1"/>
  <c r="N850" i="1"/>
  <c r="M850" i="1"/>
  <c r="K850" i="1"/>
  <c r="N849" i="1"/>
  <c r="M849" i="1"/>
  <c r="K849" i="1"/>
  <c r="N848" i="1"/>
  <c r="M848" i="1"/>
  <c r="K848" i="1"/>
  <c r="N847" i="1"/>
  <c r="M847" i="1"/>
  <c r="K847" i="1"/>
  <c r="N846" i="1"/>
  <c r="M846" i="1"/>
  <c r="K846" i="1"/>
  <c r="H837" i="1"/>
  <c r="M837" i="1" s="1"/>
  <c r="K837" i="1"/>
  <c r="N837" i="1"/>
  <c r="P871" i="1"/>
  <c r="K876" i="1"/>
  <c r="H876" i="1"/>
  <c r="M876" i="1" s="1"/>
  <c r="K875" i="1"/>
  <c r="H875" i="1"/>
  <c r="M875" i="1" s="1"/>
  <c r="K874" i="1"/>
  <c r="H874" i="1"/>
  <c r="M874" i="1" s="1"/>
  <c r="F39" i="40"/>
  <c r="F38" i="40"/>
  <c r="F18" i="40"/>
  <c r="F19" i="40"/>
  <c r="F20" i="40"/>
  <c r="F21" i="40"/>
  <c r="F22" i="40"/>
  <c r="F23" i="40"/>
  <c r="F24" i="40"/>
  <c r="F25" i="40"/>
  <c r="F26" i="40"/>
  <c r="F27" i="40"/>
  <c r="F28" i="40"/>
  <c r="F29" i="40"/>
  <c r="F30" i="40"/>
  <c r="F31" i="40"/>
  <c r="F32" i="40"/>
  <c r="F33" i="40"/>
  <c r="F34" i="40"/>
  <c r="F35" i="40"/>
  <c r="F36" i="40"/>
  <c r="F37" i="40"/>
  <c r="F3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F2" i="40"/>
  <c r="K988" i="1"/>
  <c r="H988" i="1"/>
  <c r="M988" i="1" s="1"/>
  <c r="K987" i="1"/>
  <c r="H987" i="1"/>
  <c r="M987" i="1" s="1"/>
  <c r="K986" i="1"/>
  <c r="H986" i="1"/>
  <c r="M986" i="1" s="1"/>
  <c r="K985" i="1"/>
  <c r="H985" i="1"/>
  <c r="M985" i="1" s="1"/>
  <c r="K984" i="1"/>
  <c r="H984" i="1"/>
  <c r="M984" i="1" s="1"/>
  <c r="K983" i="1"/>
  <c r="H983" i="1"/>
  <c r="M983" i="1" s="1"/>
  <c r="K982" i="1"/>
  <c r="H982" i="1"/>
  <c r="M982" i="1" s="1"/>
  <c r="H871" i="1"/>
  <c r="M871" i="1" s="1"/>
  <c r="N695" i="1"/>
  <c r="N696" i="1"/>
  <c r="H697" i="1"/>
  <c r="M697" i="1" s="1"/>
  <c r="K697" i="1"/>
  <c r="N697" i="1"/>
  <c r="H698" i="1"/>
  <c r="M698" i="1" s="1"/>
  <c r="K698" i="1"/>
  <c r="N698" i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C13" i="41" l="1"/>
  <c r="C15" i="41" s="1"/>
  <c r="T6" i="33"/>
  <c r="N887" i="1"/>
  <c r="N886" i="1"/>
  <c r="H886" i="1" s="1"/>
  <c r="M886" i="1" s="1"/>
  <c r="N884" i="1"/>
  <c r="N882" i="1"/>
  <c r="K888" i="1"/>
  <c r="H888" i="1"/>
  <c r="M888" i="1" s="1"/>
  <c r="K887" i="1"/>
  <c r="K886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7" i="1"/>
  <c r="M887" i="1" s="1"/>
  <c r="AN36" i="25"/>
  <c r="N788" i="1"/>
  <c r="M788" i="1"/>
  <c r="K788" i="1"/>
  <c r="H693" i="1"/>
  <c r="M693" i="1" s="1"/>
  <c r="K693" i="1"/>
  <c r="N693" i="1"/>
  <c r="H707" i="1"/>
  <c r="M707" i="1" s="1"/>
  <c r="K707" i="1"/>
  <c r="N707" i="1"/>
  <c r="H708" i="1"/>
  <c r="M708" i="1" s="1"/>
  <c r="K708" i="1"/>
  <c r="N708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H782" i="1"/>
  <c r="M782" i="1" s="1"/>
  <c r="K782" i="1"/>
  <c r="N782" i="1"/>
  <c r="H914" i="1"/>
  <c r="M914" i="1" s="1"/>
  <c r="K914" i="1"/>
  <c r="N914" i="1"/>
  <c r="H904" i="1"/>
  <c r="M904" i="1" s="1"/>
  <c r="K904" i="1"/>
  <c r="N904" i="1"/>
  <c r="H854" i="1"/>
  <c r="M854" i="1" s="1"/>
  <c r="K854" i="1"/>
  <c r="N85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H758" i="1"/>
  <c r="M758" i="1" s="1"/>
  <c r="K758" i="1"/>
  <c r="N758" i="1"/>
  <c r="H766" i="1"/>
  <c r="M766" i="1" s="1"/>
  <c r="K766" i="1"/>
  <c r="N766" i="1"/>
  <c r="H774" i="1"/>
  <c r="M774" i="1" s="1"/>
  <c r="K774" i="1"/>
  <c r="N774" i="1"/>
  <c r="H807" i="1"/>
  <c r="M807" i="1" s="1"/>
  <c r="K807" i="1"/>
  <c r="N807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H750" i="1"/>
  <c r="M750" i="1" s="1"/>
  <c r="K750" i="1"/>
  <c r="N750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H710" i="1"/>
  <c r="M710" i="1" s="1"/>
  <c r="K710" i="1"/>
  <c r="N710" i="1"/>
  <c r="H734" i="1"/>
  <c r="M734" i="1" s="1"/>
  <c r="K734" i="1"/>
  <c r="N734" i="1"/>
  <c r="H839" i="1"/>
  <c r="M839" i="1" s="1"/>
  <c r="K839" i="1"/>
  <c r="N839" i="1"/>
  <c r="H840" i="1"/>
  <c r="M840" i="1" s="1"/>
  <c r="K840" i="1"/>
  <c r="N840" i="1"/>
  <c r="H845" i="1"/>
  <c r="M845" i="1" s="1"/>
  <c r="K845" i="1"/>
  <c r="N845" i="1"/>
  <c r="H989" i="1"/>
  <c r="M989" i="1" s="1"/>
  <c r="K989" i="1"/>
  <c r="N989" i="1"/>
  <c r="H990" i="1"/>
  <c r="M990" i="1" s="1"/>
  <c r="K990" i="1"/>
  <c r="N990" i="1"/>
  <c r="H991" i="1"/>
  <c r="M991" i="1" s="1"/>
  <c r="K991" i="1"/>
  <c r="N991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4" i="1"/>
  <c r="M844" i="1"/>
  <c r="K844" i="1"/>
  <c r="N843" i="1"/>
  <c r="M843" i="1"/>
  <c r="K843" i="1"/>
  <c r="N842" i="1"/>
  <c r="M842" i="1"/>
  <c r="K842" i="1"/>
  <c r="N841" i="1"/>
  <c r="M841" i="1"/>
  <c r="K841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798" i="1"/>
  <c r="M798" i="1"/>
  <c r="K798" i="1"/>
  <c r="N797" i="1"/>
  <c r="M797" i="1"/>
  <c r="K797" i="1"/>
  <c r="N796" i="1"/>
  <c r="M796" i="1"/>
  <c r="K796" i="1"/>
  <c r="N795" i="1"/>
  <c r="M795" i="1"/>
  <c r="K795" i="1"/>
  <c r="N794" i="1"/>
  <c r="M794" i="1"/>
  <c r="K794" i="1"/>
  <c r="N793" i="1"/>
  <c r="M793" i="1"/>
  <c r="K793" i="1"/>
  <c r="N792" i="1"/>
  <c r="M792" i="1"/>
  <c r="K792" i="1"/>
  <c r="H799" i="1"/>
  <c r="M799" i="1" s="1"/>
  <c r="K799" i="1"/>
  <c r="N799" i="1"/>
  <c r="H907" i="1"/>
  <c r="M907" i="1" s="1"/>
  <c r="K909" i="1"/>
  <c r="K910" i="1"/>
  <c r="K911" i="1"/>
  <c r="K912" i="1"/>
  <c r="L643" i="1"/>
  <c r="K643" i="1"/>
  <c r="H643" i="1"/>
  <c r="G58" i="5"/>
  <c r="J58" i="5"/>
  <c r="H908" i="1" s="1"/>
  <c r="M908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906" i="1"/>
  <c r="K907" i="1"/>
  <c r="K908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906" i="1"/>
  <c r="M906" i="1" s="1"/>
  <c r="H912" i="1"/>
  <c r="M912" i="1" s="1"/>
  <c r="H911" i="1"/>
  <c r="M911" i="1" s="1"/>
  <c r="H910" i="1"/>
  <c r="M910" i="1" s="1"/>
  <c r="H909" i="1"/>
  <c r="M909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7" i="1"/>
  <c r="H858" i="1"/>
  <c r="M858" i="1" s="1"/>
  <c r="H859" i="1"/>
  <c r="H860" i="1"/>
  <c r="H861" i="1"/>
  <c r="H862" i="1"/>
  <c r="H864" i="1"/>
  <c r="M864" i="1" s="1"/>
  <c r="H865" i="1"/>
  <c r="J56" i="5"/>
  <c r="H877" i="1" s="1"/>
  <c r="M877" i="1" s="1"/>
  <c r="J57" i="5"/>
  <c r="H901" i="1" s="1"/>
  <c r="M901" i="1" s="1"/>
  <c r="J55" i="5"/>
  <c r="H856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85" i="1"/>
  <c r="H885" i="1"/>
  <c r="M885" i="1" s="1"/>
  <c r="K884" i="1"/>
  <c r="H884" i="1"/>
  <c r="M884" i="1" s="1"/>
  <c r="K883" i="1"/>
  <c r="H883" i="1"/>
  <c r="M883" i="1" s="1"/>
  <c r="K882" i="1"/>
  <c r="K881" i="1"/>
  <c r="K902" i="1"/>
  <c r="H902" i="1"/>
  <c r="M902" i="1" s="1"/>
  <c r="K901" i="1"/>
  <c r="K900" i="1"/>
  <c r="H900" i="1"/>
  <c r="M900" i="1" s="1"/>
  <c r="K899" i="1"/>
  <c r="H899" i="1"/>
  <c r="M899" i="1" s="1"/>
  <c r="K898" i="1"/>
  <c r="H898" i="1"/>
  <c r="M898" i="1" s="1"/>
  <c r="H897" i="1"/>
  <c r="M897" i="1" s="1"/>
  <c r="K897" i="1"/>
  <c r="K879" i="1"/>
  <c r="H879" i="1"/>
  <c r="M879" i="1" s="1"/>
  <c r="K878" i="1"/>
  <c r="H878" i="1"/>
  <c r="M878" i="1" s="1"/>
  <c r="K877" i="1"/>
  <c r="K873" i="1"/>
  <c r="K872" i="1"/>
  <c r="H872" i="1"/>
  <c r="M872" i="1" s="1"/>
  <c r="K871" i="1"/>
  <c r="K895" i="1"/>
  <c r="K894" i="1"/>
  <c r="K893" i="1"/>
  <c r="K892" i="1"/>
  <c r="K891" i="1"/>
  <c r="K890" i="1"/>
  <c r="G2" i="8"/>
  <c r="C2" i="8"/>
  <c r="H891" i="1"/>
  <c r="M891" i="1" s="1"/>
  <c r="H892" i="1"/>
  <c r="M892" i="1" s="1"/>
  <c r="H893" i="1"/>
  <c r="H894" i="1"/>
  <c r="H895" i="1"/>
  <c r="H890" i="1"/>
  <c r="M890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9" i="1"/>
  <c r="K868" i="1"/>
  <c r="K867" i="1"/>
  <c r="K866" i="1"/>
  <c r="K865" i="1"/>
  <c r="K864" i="1"/>
  <c r="K857" i="1"/>
  <c r="K858" i="1"/>
  <c r="K859" i="1"/>
  <c r="K860" i="1"/>
  <c r="K861" i="1"/>
  <c r="K862" i="1"/>
  <c r="K856" i="1"/>
  <c r="G56" i="5"/>
  <c r="G57" i="5"/>
  <c r="G55" i="5"/>
  <c r="N627" i="1"/>
  <c r="M627" i="1"/>
  <c r="K627" i="1"/>
  <c r="F7" i="26" l="1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81" i="1"/>
  <c r="H868" i="1"/>
  <c r="M868" i="1" s="1"/>
  <c r="H882" i="1"/>
  <c r="M882" i="1" s="1"/>
  <c r="H867" i="1"/>
  <c r="M867" i="1" s="1"/>
  <c r="H869" i="1"/>
  <c r="M869" i="1" s="1"/>
  <c r="H873" i="1"/>
  <c r="M873" i="1" s="1"/>
  <c r="H866" i="1"/>
  <c r="K55" i="5"/>
  <c r="M865" i="1"/>
  <c r="M861" i="1"/>
  <c r="M859" i="1"/>
  <c r="M857" i="1"/>
  <c r="M862" i="1"/>
  <c r="M860" i="1"/>
  <c r="U20" i="33"/>
  <c r="W20" i="33"/>
  <c r="V20" i="33"/>
  <c r="M866" i="1" l="1"/>
  <c r="M881" i="1"/>
  <c r="J12" i="39"/>
  <c r="K16" i="30"/>
  <c r="K17" i="29"/>
  <c r="K16" i="29"/>
  <c r="M856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80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09" i="1"/>
  <c r="M709" i="1" s="1"/>
  <c r="K709" i="1"/>
  <c r="N709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80" i="1"/>
  <c r="H880" i="1"/>
  <c r="H903" i="1"/>
  <c r="M903" i="1" s="1"/>
  <c r="K903" i="1"/>
  <c r="N903" i="1"/>
  <c r="H905" i="1"/>
  <c r="M905" i="1" s="1"/>
  <c r="K905" i="1"/>
  <c r="N905" i="1"/>
  <c r="H913" i="1"/>
  <c r="M913" i="1" s="1"/>
  <c r="K913" i="1"/>
  <c r="N913" i="1"/>
  <c r="K889" i="1"/>
  <c r="H889" i="1"/>
  <c r="H896" i="1"/>
  <c r="K896" i="1"/>
  <c r="N889" i="1"/>
  <c r="M895" i="1"/>
  <c r="M894" i="1"/>
  <c r="M893" i="1"/>
  <c r="H870" i="1"/>
  <c r="K870" i="1"/>
  <c r="N870" i="1"/>
  <c r="L614" i="1"/>
  <c r="K614" i="1"/>
  <c r="H614" i="1"/>
  <c r="M614" i="1" s="1"/>
  <c r="H718" i="1"/>
  <c r="M718" i="1" s="1"/>
  <c r="K718" i="1"/>
  <c r="N718" i="1"/>
  <c r="H742" i="1"/>
  <c r="M742" i="1" s="1"/>
  <c r="K742" i="1"/>
  <c r="N742" i="1"/>
  <c r="H838" i="1"/>
  <c r="M838" i="1" s="1"/>
  <c r="K838" i="1"/>
  <c r="N838" i="1"/>
  <c r="H791" i="1"/>
  <c r="M791" i="1" s="1"/>
  <c r="K791" i="1"/>
  <c r="N791" i="1"/>
  <c r="N790" i="1"/>
  <c r="M790" i="1"/>
  <c r="K790" i="1"/>
  <c r="N789" i="1"/>
  <c r="M789" i="1"/>
  <c r="K789" i="1"/>
  <c r="N787" i="1"/>
  <c r="M787" i="1"/>
  <c r="K787" i="1"/>
  <c r="N786" i="1"/>
  <c r="M786" i="1"/>
  <c r="K786" i="1"/>
  <c r="N785" i="1"/>
  <c r="M785" i="1"/>
  <c r="K785" i="1"/>
  <c r="N784" i="1"/>
  <c r="M784" i="1"/>
  <c r="K784" i="1"/>
  <c r="N783" i="1"/>
  <c r="M783" i="1"/>
  <c r="K783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4" i="1"/>
  <c r="M834" i="1"/>
  <c r="K834" i="1"/>
  <c r="N833" i="1"/>
  <c r="M833" i="1"/>
  <c r="K833" i="1"/>
  <c r="N831" i="1"/>
  <c r="M831" i="1"/>
  <c r="K831" i="1"/>
  <c r="N836" i="1"/>
  <c r="M836" i="1"/>
  <c r="K836" i="1"/>
  <c r="N835" i="1"/>
  <c r="M835" i="1"/>
  <c r="K835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5" i="1"/>
  <c r="M825" i="1"/>
  <c r="K825" i="1"/>
  <c r="N824" i="1"/>
  <c r="M824" i="1"/>
  <c r="K824" i="1"/>
  <c r="N823" i="1"/>
  <c r="M823" i="1"/>
  <c r="K823" i="1"/>
  <c r="N822" i="1"/>
  <c r="M822" i="1"/>
  <c r="K822" i="1"/>
  <c r="N821" i="1"/>
  <c r="M821" i="1"/>
  <c r="K821" i="1"/>
  <c r="N820" i="1"/>
  <c r="M820" i="1"/>
  <c r="K820" i="1"/>
  <c r="N819" i="1"/>
  <c r="M819" i="1"/>
  <c r="K819" i="1"/>
  <c r="H826" i="1"/>
  <c r="M826" i="1" s="1"/>
  <c r="K826" i="1"/>
  <c r="N826" i="1"/>
  <c r="N815" i="1"/>
  <c r="M815" i="1"/>
  <c r="K815" i="1"/>
  <c r="N814" i="1"/>
  <c r="M814" i="1"/>
  <c r="K814" i="1"/>
  <c r="N812" i="1"/>
  <c r="M812" i="1"/>
  <c r="K812" i="1"/>
  <c r="N817" i="1"/>
  <c r="M817" i="1"/>
  <c r="K817" i="1"/>
  <c r="N816" i="1"/>
  <c r="M816" i="1"/>
  <c r="K816" i="1"/>
  <c r="N813" i="1"/>
  <c r="M813" i="1"/>
  <c r="K813" i="1"/>
  <c r="N811" i="1"/>
  <c r="M811" i="1"/>
  <c r="K811" i="1"/>
  <c r="N810" i="1"/>
  <c r="M810" i="1"/>
  <c r="K810" i="1"/>
  <c r="N809" i="1"/>
  <c r="M809" i="1"/>
  <c r="K809" i="1"/>
  <c r="N808" i="1"/>
  <c r="M808" i="1"/>
  <c r="K808" i="1"/>
  <c r="L610" i="1"/>
  <c r="K610" i="1"/>
  <c r="H610" i="1"/>
  <c r="M610" i="1" s="1"/>
  <c r="T20" i="33" l="1"/>
  <c r="H818" i="1"/>
  <c r="M818" i="1" s="1"/>
  <c r="K818" i="1"/>
  <c r="N818" i="1"/>
  <c r="N738" i="1"/>
  <c r="M738" i="1"/>
  <c r="K738" i="1"/>
  <c r="M722" i="1"/>
  <c r="K722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1" i="1"/>
  <c r="K741" i="1"/>
  <c r="M741" i="1"/>
  <c r="N740" i="1"/>
  <c r="K740" i="1"/>
  <c r="M740" i="1"/>
  <c r="N739" i="1"/>
  <c r="K739" i="1"/>
  <c r="M739" i="1"/>
  <c r="N737" i="1"/>
  <c r="K737" i="1"/>
  <c r="M737" i="1"/>
  <c r="N736" i="1"/>
  <c r="K736" i="1"/>
  <c r="M736" i="1"/>
  <c r="N735" i="1"/>
  <c r="K735" i="1"/>
  <c r="M735" i="1"/>
  <c r="K719" i="1"/>
  <c r="M719" i="1"/>
  <c r="K723" i="1"/>
  <c r="K724" i="1"/>
  <c r="K725" i="1"/>
  <c r="K721" i="1"/>
  <c r="M721" i="1"/>
  <c r="K720" i="1"/>
  <c r="M606" i="1" l="1"/>
  <c r="M720" i="1"/>
  <c r="M723" i="1"/>
  <c r="M724" i="1"/>
  <c r="M725" i="1"/>
  <c r="K863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26" i="1"/>
  <c r="M726" i="1" s="1"/>
  <c r="K726" i="1"/>
  <c r="N726" i="1"/>
  <c r="H855" i="1"/>
  <c r="M855" i="1" s="1"/>
  <c r="K855" i="1"/>
  <c r="N855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4" i="1"/>
  <c r="K993" i="1"/>
  <c r="H993" i="1"/>
  <c r="M993" i="1" s="1"/>
  <c r="N993" i="1"/>
  <c r="H994" i="1"/>
  <c r="M994" i="1" s="1"/>
  <c r="N994" i="1"/>
  <c r="X46" i="5"/>
  <c r="X45" i="5"/>
  <c r="X48" i="5" s="1"/>
  <c r="A13" i="22" l="1" a="1"/>
  <c r="E13" i="22" a="1"/>
  <c r="H35" i="22" s="1"/>
  <c r="D6" i="22"/>
  <c r="D9" i="22" s="1"/>
  <c r="Y48" i="5"/>
  <c r="Z48" i="5" s="1"/>
  <c r="D31" i="22" l="1"/>
  <c r="D32" i="22"/>
  <c r="D30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13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105" i="10"/>
  <c r="I105" i="10" s="1"/>
  <c r="K105" i="10" s="1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K22" i="30" s="1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75" i="1"/>
  <c r="K976" i="1"/>
  <c r="K977" i="1"/>
  <c r="K978" i="1"/>
  <c r="K979" i="1"/>
  <c r="K980" i="1"/>
  <c r="K995" i="1"/>
  <c r="K992" i="1"/>
  <c r="K981" i="1"/>
  <c r="K974" i="1"/>
  <c r="K973" i="1"/>
  <c r="K972" i="1"/>
  <c r="K971" i="1"/>
  <c r="K970" i="1"/>
  <c r="K969" i="1"/>
  <c r="K968" i="1"/>
  <c r="K967" i="1"/>
  <c r="K966" i="1"/>
  <c r="K965" i="1"/>
  <c r="H17" i="27" s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80" i="1"/>
  <c r="M980" i="1" s="1"/>
  <c r="H979" i="1"/>
  <c r="M979" i="1" s="1"/>
  <c r="H978" i="1"/>
  <c r="M978" i="1" s="1"/>
  <c r="H977" i="1"/>
  <c r="M977" i="1" s="1"/>
  <c r="H976" i="1"/>
  <c r="M976" i="1" s="1"/>
  <c r="H975" i="1"/>
  <c r="M975" i="1" s="1"/>
  <c r="H974" i="1"/>
  <c r="M974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6" i="1"/>
  <c r="M966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73" i="1"/>
  <c r="M973" i="1" s="1"/>
  <c r="H945" i="1"/>
  <c r="M945" i="1" s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38" i="1"/>
  <c r="M938" i="1" s="1"/>
  <c r="H937" i="1"/>
  <c r="M937" i="1" s="1"/>
  <c r="H936" i="1"/>
  <c r="M936" i="1" s="1"/>
  <c r="H935" i="1"/>
  <c r="M935" i="1" s="1"/>
  <c r="H934" i="1"/>
  <c r="M934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58" i="1"/>
  <c r="M958" i="1" s="1"/>
  <c r="H981" i="1"/>
  <c r="M981" i="1" s="1"/>
  <c r="H992" i="1"/>
  <c r="M992" i="1" s="1"/>
  <c r="H995" i="1"/>
  <c r="M995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51" i="1"/>
  <c r="M951" i="1" s="1"/>
  <c r="H950" i="1"/>
  <c r="M950" i="1" s="1"/>
  <c r="H949" i="1"/>
  <c r="M949" i="1" s="1"/>
  <c r="H948" i="1"/>
  <c r="M948" i="1" s="1"/>
  <c r="H947" i="1"/>
  <c r="M947" i="1" s="1"/>
  <c r="H946" i="1"/>
  <c r="M946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26" i="1"/>
  <c r="M926" i="1" s="1"/>
  <c r="H925" i="1"/>
  <c r="M925" i="1" s="1"/>
  <c r="H924" i="1"/>
  <c r="M924" i="1" s="1"/>
  <c r="H923" i="1"/>
  <c r="M923" i="1" s="1"/>
  <c r="H922" i="1"/>
  <c r="M922" i="1" s="1"/>
  <c r="H917" i="1"/>
  <c r="M917" i="1" s="1"/>
  <c r="H918" i="1"/>
  <c r="M918" i="1" s="1"/>
  <c r="H919" i="1"/>
  <c r="M919" i="1" s="1"/>
  <c r="H920" i="1"/>
  <c r="M920" i="1" s="1"/>
  <c r="H921" i="1"/>
  <c r="M921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15" i="1"/>
  <c r="M915" i="1" s="1"/>
  <c r="H916" i="1"/>
  <c r="M916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H361" i="21" l="1"/>
  <c r="H360" i="21"/>
  <c r="F359" i="7"/>
  <c r="F360" i="7"/>
  <c r="H359" i="21"/>
  <c r="K22" i="39"/>
  <c r="K24" i="39"/>
  <c r="H358" i="21"/>
  <c r="H357" i="21"/>
  <c r="H355" i="21"/>
  <c r="H356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Q24" i="5"/>
  <c r="N26" i="5"/>
  <c r="L28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5" i="1" l="1"/>
  <c r="P856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8" i="7" l="1"/>
  <c r="F357" i="7"/>
  <c r="F356" i="7"/>
  <c r="F355" i="7"/>
  <c r="F354" i="7"/>
  <c r="F350" i="7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6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D26" i="30" s="1"/>
  <c r="E26" i="30" s="1"/>
  <c r="J21" i="29"/>
  <c r="H20" i="27"/>
  <c r="R6" i="27"/>
  <c r="M996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H43" i="11"/>
  <c r="G2" i="6" s="1"/>
  <c r="J43" i="11"/>
  <c r="R18" i="5"/>
  <c r="A5" i="8"/>
  <c r="A5" i="7"/>
  <c r="G16" i="5" l="1"/>
  <c r="V16" i="5"/>
  <c r="G18" i="5"/>
  <c r="V18" i="5"/>
  <c r="S20" i="33"/>
  <c r="S21" i="33"/>
  <c r="I21" i="33"/>
  <c r="O14" i="39"/>
  <c r="O42" i="39" s="1"/>
  <c r="G5" i="8"/>
  <c r="C5" i="8"/>
  <c r="AO21" i="29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O53" i="7"/>
  <c r="I33" i="21"/>
  <c r="D34" i="21"/>
  <c r="A35" i="21"/>
  <c r="F34" i="21"/>
  <c r="C34" i="21"/>
  <c r="R14" i="5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Q42" i="39" l="1"/>
  <c r="R42" i="39" s="1"/>
  <c r="P42" i="39"/>
  <c r="G19" i="5"/>
  <c r="V19" i="5"/>
  <c r="G14" i="5"/>
  <c r="V14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13" i="5" l="1"/>
  <c r="G52" i="5" s="1"/>
  <c r="G7" i="8"/>
  <c r="C7" i="8"/>
  <c r="E36" i="21"/>
  <c r="J36" i="21"/>
  <c r="D7" i="7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F327" i="8" l="1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F328" i="8" l="1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M36" i="21" s="1"/>
  <c r="C363" i="21"/>
  <c r="M35" i="21" s="1"/>
  <c r="E363" i="21"/>
  <c r="M37" i="21" s="1"/>
  <c r="F363" i="21"/>
  <c r="M38" i="21" s="1"/>
  <c r="J363" i="21"/>
  <c r="AC35" i="21" s="1"/>
  <c r="A334" i="8"/>
  <c r="I336" i="7"/>
  <c r="D336" i="7"/>
  <c r="G336" i="7"/>
  <c r="E336" i="7"/>
  <c r="H336" i="7"/>
  <c r="A337" i="7"/>
  <c r="O36" i="21" l="1"/>
  <c r="P36" i="21"/>
  <c r="Q36" i="21"/>
  <c r="O35" i="21"/>
  <c r="Q35" i="21"/>
  <c r="P35" i="21"/>
  <c r="P37" i="21"/>
  <c r="O37" i="21"/>
  <c r="Q37" i="21"/>
  <c r="P38" i="21"/>
  <c r="O38" i="21"/>
  <c r="AE4" i="21"/>
  <c r="O43" i="39"/>
  <c r="F334" i="8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Q41" i="21" l="1"/>
  <c r="O41" i="21"/>
  <c r="G335" i="8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O43" i="21" l="1"/>
  <c r="G336" i="8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L40" i="7" s="1"/>
  <c r="G362" i="7"/>
  <c r="L38" i="7" s="1"/>
  <c r="H362" i="7"/>
  <c r="L39" i="7" s="1"/>
  <c r="E362" i="7"/>
  <c r="A363" i="7"/>
  <c r="N40" i="7" l="1"/>
  <c r="P40" i="7"/>
  <c r="N38" i="7"/>
  <c r="O38" i="7"/>
  <c r="J47" i="8"/>
  <c r="P39" i="7"/>
  <c r="N39" i="7"/>
  <c r="G360" i="8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<sst xmlns="http://schemas.openxmlformats.org/spreadsheetml/2006/main" count="6412" uniqueCount="677">
  <si>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</si>
  <si>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</si>
  <si>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</si>
  <si>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</si>
  <si>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</si>
  <si>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</si>
  <si>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</si>
  <si>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</si>
  <si>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</si>
  <si>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</si>
  <si>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</si>
  <si>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</si>
  <si>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</si>
  <si>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</si>
  <si>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</si>
  <si>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</si>
  <si>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</si>
  <si>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</si>
  <si>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</si>
  <si>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</si>
  <si>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</si>
  <si>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</si>
  <si>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</si>
  <si>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</si>
  <si>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</si>
  <si>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</si>
  <si>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</si>
  <si>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</si>
  <si>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</si>
  <si>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</si>
  <si>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</si>
  <si>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</si>
  <si>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</si>
  <si>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</si>
  <si>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</si>
  <si>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</si>
  <si>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</si>
  <si>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</si>
  <si>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</si>
  <si>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</si>
  <si>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</si>
  <si>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</si>
  <si>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</si>
  <si>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</si>
  <si>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</si>
  <si>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</si>
  <si>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</si>
  <si>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</si>
  <si>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</si>
  <si>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</si>
  <si>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</si>
  <si>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</si>
  <si>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</si>
  <si>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</si>
  <si>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</si>
  <si>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</si>
  <si>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</si>
  <si>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</si>
  <si>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</si>
  <si>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</si>
  <si>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</si>
  <si>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</si>
  <si>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</si>
  <si>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</si>
  <si>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</si>
  <si>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</si>
  <si>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</si>
  <si>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</si>
  <si>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</si>
  <si>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</si>
  <si>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</si>
  <si>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</si>
  <si>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</si>
  <si>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</si>
  <si>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</si>
  <si>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</si>
  <si>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</si>
  <si>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</si>
  <si>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</si>
  <si>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</si>
  <si>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</si>
  <si>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</si>
  <si>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</si>
  <si>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</si>
  <si>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</si>
  <si>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</si>
  <si>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</si>
  <si>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</si>
  <si>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</si>
  <si>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</si>
  <si>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</si>
  <si>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</si>
  <si>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</si>
  <si>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</si>
  <si>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</si>
  <si>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</si>
  <si>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</si>
  <si>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</si>
  <si>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</si>
  <si>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</si>
  <si>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</si>
  <si>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</si>
  <si>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</si>
  <si>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</si>
  <si>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</si>
  <si>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</si>
  <si>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</si>
  <si>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</si>
  <si>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</si>
  <si>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</si>
  <si>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</si>
  <si>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</si>
  <si>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</si>
  <si>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</si>
  <si>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</si>
  <si>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</si>
  <si>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</si>
  <si>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</si>
  <si>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</si>
  <si>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</si>
  <si>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</si>
  <si>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</si>
  <si>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</si>
  <si>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</si>
  <si>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</si>
  <si>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</si>
  <si>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</si>
  <si>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</si>
  <si>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</si>
  <si>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</si>
  <si>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</si>
  <si>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</si>
  <si>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</si>
  <si>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</si>
  <si>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</si>
  <si>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</si>
  <si>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</si>
  <si>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</si>
  <si>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</si>
  <si>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</si>
  <si>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</si>
  <si>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</si>
  <si>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</si>
  <si>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</si>
  <si>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</si>
  <si>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</si>
  <si>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</si>
  <si>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</si>
  <si>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</si>
  <si>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</si>
  <si>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</si>
  <si>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</si>
  <si>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</si>
  <si>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</si>
  <si>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</si>
  <si>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</si>
  <si>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</si>
  <si>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</si>
  <si>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</si>
  <si>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</si>
  <si>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</si>
  <si>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</si>
  <si>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</si>
  <si>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</si>
  <si>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</si>
  <si>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</si>
  <si>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</si>
  <si>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</si>
  <si>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</si>
  <si>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</si>
  <si>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</si>
  <si>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</si>
  <si>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</si>
  <si>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</si>
  <si>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</si>
  <si>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</si>
  <si>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</si>
  <si>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</si>
  <si>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</si>
  <si>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</si>
  <si>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</si>
  <si>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</si>
  <si>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</si>
  <si>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</si>
  <si>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</si>
  <si>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</si>
  <si>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</si>
  <si>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</si>
  <si>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</si>
  <si>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</si>
  <si>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</si>
  <si>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</si>
  <si>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</si>
  <si>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</si>
  <si>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</si>
  <si>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</si>
  <si>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</si>
  <si>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</si>
  <si>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</si>
  <si>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</si>
  <si>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</si>
  <si>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</si>
  <si>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</si>
  <si>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</si>
  <si>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</si>
  <si>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</si>
  <si>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</si>
  <si>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</si>
  <si>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</si>
  <si>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</si>
  <si>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</si>
  <si>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</si>
  <si>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</si>
  <si>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</si>
  <si>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</si>
  <si>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</si>
  <si>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</si>
  <si>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</si>
  <si>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</si>
  <si>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</si>
  <si>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</si>
  <si>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</si>
  <si>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</si>
  <si>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</si>
  <si>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</si>
  <si>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</si>
  <si>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</si>
  <si>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</si>
  <si>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</si>
  <si>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</si>
  <si>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</si>
  <si>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</si>
  <si>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</si>
  <si>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</si>
  <si>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</si>
  <si>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</si>
  <si>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</si>
  <si>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</si>
  <si>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</si>
  <si>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</si>
  <si>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</si>
  <si>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</si>
  <si>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</si>
  <si>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</si>
  <si>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</si>
  <si>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</si>
  <si>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</si>
  <si>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</si>
  <si>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</si>
  <si>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</si>
  <si>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</si>
  <si>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</si>
  <si>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</si>
  <si>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</si>
  <si>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</si>
  <si>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</si>
  <si>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</si>
  <si>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</si>
  <si>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</si>
  <si>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</si>
  <si>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</si>
  <si>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</si>
  <si>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</si>
  <si>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</si>
  <si>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</si>
  <si>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</si>
  <si>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</si>
  <si>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</si>
  <si>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</si>
  <si>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</si>
  <si>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</si>
  <si>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</si>
  <si>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</si>
  <si>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</si>
  <si>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</si>
  <si>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</si>
  <si>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</si>
  <si>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</si>
  <si>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</si>
  <si>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</si>
  <si>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</si>
  <si>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</si>
  <si>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</si>
  <si>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</si>
  <si>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</si>
  <si>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</si>
  <si>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</si>
  <si>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</si>
  <si>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</si>
  <si>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</si>
  <si>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</si>
  <si>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</si>
  <si>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</si>
  <si>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</si>
  <si>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</si>
  <si>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</si>
  <si>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</si>
  <si>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</si>
  <si>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</si>
  <si>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</si>
  <si>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</si>
  <si>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</si>
  <si>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</si>
  <si>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</si>
  <si>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</si>
  <si>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</si>
  <si>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</si>
  <si>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</si>
  <si>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</si>
  <si>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</si>
  <si>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</si>
  <si>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</si>
  <si>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</si>
  <si>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</si>
  <si>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</si>
  <si>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</si>
  <si>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</si>
  <si>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</si>
  <si>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</si>
  <si>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</si>
  <si>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</si>
  <si>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</si>
  <si>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</si>
  <si>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</si>
  <si>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</si>
  <si>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</si>
  <si>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</si>
  <si>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</si>
  <si>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</si>
  <si>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</si>
  <si>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</si>
  <si>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</si>
  <si>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</si>
  <si>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</si>
  <si>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</si>
  <si>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</si>
  <si>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</si>
  <si>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</si>
  <si>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</si>
  <si>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</si>
  <si>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</si>
  <si>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</si>
  <si>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</si>
  <si>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</si>
  <si>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</si>
  <si>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</si>
  <si>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</si>
  <si>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</si>
  <si>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</si>
  <si>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</si>
  <si>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</si>
  <si>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</si>
  <si>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</si>
  <si>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</si>
  <si>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</si>
  <si>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</si>
  <si>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</si>
  <si>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</si>
  <si>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</si>
  <si>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</si>
  <si>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</si>
  <si>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</si>
  <si>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</si>
  <si>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</si>
  <si>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</si>
  <si>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</si>
  <si>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</si>
  <si>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</si>
  <si>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</si>
  <si>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</si>
  <si>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</si>
  <si>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</si>
  <si>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</si>
  <si>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</si>
  <si>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</si>
  <si>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</si>
  <si>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</si>
  <si>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</si>
  <si>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</si>
  <si>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</si>
  <si>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</si>
  <si>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</si>
  <si>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</si>
  <si>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</si>
  <si>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</si>
  <si>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</si>
  <si>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</si>
  <si>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</si>
  <si>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</si>
  <si>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</si>
  <si>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</si>
  <si>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</si>
  <si>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</si>
  <si>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</si>
  <si>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</si>
  <si>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</si>
  <si>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</si>
  <si>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</si>
  <si>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</si>
  <si>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</si>
  <si>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</si>
  <si>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</si>
  <si>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</si>
  <si>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</si>
  <si>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</si>
  <si>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</si>
  <si>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</si>
  <si>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</si>
  <si>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</si>
  <si>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</si>
  <si>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</si>
  <si>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</si>
  <si>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</si>
  <si>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</si>
  <si>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</si>
  <si>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</si>
  <si>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</si>
  <si>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</si>
  <si>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</si>
  <si>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</si>
  <si>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</si>
  <si>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</si>
  <si>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</si>
  <si>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</si>
  <si>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</si>
  <si>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</si>
  <si>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</si>
  <si>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</si>
  <si>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</si>
  <si>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</si>
  <si>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</si>
  <si>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</si>
  <si>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</si>
  <si>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</si>
  <si>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</si>
  <si>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</si>
  <si>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</si>
  <si>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</si>
  <si>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</si>
  <si>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</si>
  <si>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</si>
  <si>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</si>
  <si>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</si>
  <si>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</si>
  <si>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</si>
  <si>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</si>
  <si>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</si>
  <si>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</si>
  <si>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</si>
  <si>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</si>
  <si>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</si>
  <si>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</si>
  <si>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</si>
  <si>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</si>
  <si>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</si>
  <si>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</si>
  <si>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</si>
  <si>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</si>
  <si>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</si>
  <si>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</si>
  <si>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</si>
  <si>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</si>
  <si>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</si>
  <si>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</si>
  <si>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</si>
  <si>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</si>
  <si>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</si>
  <si>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</si>
  <si>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</si>
  <si>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</si>
  <si>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</si>
  <si>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</si>
  <si>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</si>
  <si>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</si>
  <si>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</si>
  <si>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</si>
  <si>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</si>
  <si>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</si>
  <si>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</si>
  <si>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</si>
  <si>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</si>
  <si>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</si>
  <si>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</si>
  <si>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</si>
  <si>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</si>
  <si>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</si>
  <si>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</si>
  <si>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</si>
  <si>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</si>
  <si>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</si>
  <si>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</si>
  <si>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</si>
  <si>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</si>
  <si>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</si>
  <si>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</si>
  <si>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</si>
  <si>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</si>
  <si>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</si>
  <si>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</si>
  <si>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</si>
  <si>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</si>
  <si>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</si>
  <si>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</si>
  <si>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</si>
  <si>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</si>
  <si>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</si>
  <si>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</si>
  <si>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</si>
  <si>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</si>
  <si>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</si>
  <si>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</si>
  <si>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</si>
  <si>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</si>
  <si>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</si>
  <si>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</si>
  <si>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</si>
  <si>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</si>
  <si>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</si>
  <si>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</si>
  <si>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</si>
  <si>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</si>
  <si>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</si>
  <si>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</si>
  <si>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</si>
  <si>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</si>
  <si>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</si>
  <si>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</si>
  <si>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</si>
  <si>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</si>
  <si>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</si>
  <si>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</si>
  <si>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</si>
  <si>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</si>
  <si>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</si>
  <si>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</si>
  <si>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</si>
  <si>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</si>
  <si>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</si>
  <si>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</si>
  <si>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</si>
  <si>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</si>
  <si>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</si>
  <si>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</si>
  <si>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</si>
  <si>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</si>
  <si>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</si>
  <si>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</si>
  <si>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</si>
  <si>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</si>
  <si>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</si>
  <si>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</si>
  <si>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</si>
  <si>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</si>
  <si>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</si>
  <si>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</si>
  <si>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</si>
  <si>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</si>
  <si>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</si>
  <si>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</si>
  <si>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</si>
  <si>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</si>
  <si>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</si>
  <si>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</si>
  <si>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</si>
  <si>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</si>
  <si>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</si>
  <si>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</si>
  <si>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</si>
  <si>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</si>
  <si>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</si>
  <si>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</si>
  <si>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</si>
  <si>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</si>
  <si>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</si>
  <si>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</si>
  <si>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</si>
  <si>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</si>
  <si>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</si>
  <si>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</si>
  <si>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</si>
  <si>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</si>
  <si>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</si>
  <si>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</si>
  <si>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</si>
  <si>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</si>
  <si>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</si>
  <si>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</si>
  <si>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</si>
  <si>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</si>
  <si>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</si>
  <si>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</si>
  <si>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</si>
  <si>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</si>
  <si>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</si>
  <si>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</si>
  <si>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</si>
  <si>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</si>
  <si>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</si>
  <si>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</si>
  <si>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</si>
  <si>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</si>
  <si>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</si>
  <si>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</si>
  <si>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</si>
  <si>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</si>
  <si>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</si>
  <si>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</si>
  <si>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</si>
  <si>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</si>
  <si>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</si>
  <si>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</si>
  <si>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</si>
  <si>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</si>
  <si>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</si>
  <si>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</si>
  <si>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</si>
  <si>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</si>
  <si>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</si>
  <si>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</si>
  <si>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</si>
  <si>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</si>
  <si>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</si>
  <si>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</si>
  <si>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</si>
  <si>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</si>
  <si>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</si>
  <si>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</si>
  <si>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</si>
  <si>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</si>
  <si>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</si>
  <si>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</si>
  <si>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</si>
  <si>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</si>
  <si>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</si>
  <si>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</si>
  <si>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</si>
  <si>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</si>
  <si>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</si>
  <si>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</si>
  <si>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</si>
  <si>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</si>
  <si>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</si>
  <si>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</si>
  <si>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</si>
  <si>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</si>
  <si>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</si>
  <si>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</si>
  <si>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</si>
  <si>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</si>
  <si>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</si>
  <si>
    <t>Reporte ETAPA 3</t>
  </si>
  <si>
    <t>nom</t>
  </si>
  <si>
    <t>ETAPA</t>
  </si>
  <si>
    <t>CITY GATE SJR-OMYA</t>
  </si>
  <si>
    <t>4+480</t>
  </si>
  <si>
    <t>mes_letter</t>
  </si>
  <si>
    <t>measure</t>
  </si>
  <si>
    <t>relative</t>
  </si>
  <si>
    <t>total</t>
  </si>
  <si>
    <t>P/U spin</t>
  </si>
  <si>
    <t>Nov. 2025</t>
  </si>
  <si>
    <t>Dic. 2025</t>
  </si>
  <si>
    <t>Ene. 2026</t>
  </si>
  <si>
    <t>Feb. 2026</t>
  </si>
  <si>
    <t>Mar. 2026</t>
  </si>
  <si>
    <t>Abr. 2026</t>
  </si>
  <si>
    <t>May. 2026</t>
  </si>
  <si>
    <t>Jun. 2026</t>
  </si>
  <si>
    <t>Jul. 2026</t>
  </si>
  <si>
    <t>Ago. 2026</t>
  </si>
  <si>
    <t>Sep. 2026</t>
  </si>
  <si>
    <t>Oct. 2026</t>
  </si>
  <si>
    <t>Nov. 2026</t>
  </si>
  <si>
    <t>Inspeccion visual (5M POR VERIFICACION)</t>
  </si>
  <si>
    <t>Evaluacion de sanidad y medicion de espesores (5M POR VERIFICACION)</t>
  </si>
  <si>
    <t>Caracterizacion de tuberia (5M POR VERIFICACION)</t>
  </si>
  <si>
    <t>Inspección de ultrasonido de haz recto (5M POR VERIFICACION)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</si>
</sst>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61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16" fillId="9" borderId="0" xfId="0" applyFont="1" applyFill="1" applyAlignment="1">
      <alignment horizontal="center"/>
    </xf>
    <xf numFmtId="0" fontId="24" fillId="9" borderId="3" xfId="0" applyFont="1" applyFill="1" applyBorder="1"/>
    <xf numFmtId="0" fontId="16" fillId="10" borderId="0" xfId="0" applyFont="1" applyFill="1" applyAlignment="1">
      <alignment horizontal="center"/>
    </xf>
    <xf numFmtId="0" fontId="24" fillId="10" borderId="3" xfId="0" applyFont="1" applyFill="1" applyBorder="1"/>
    <xf numFmtId="0" fontId="16" fillId="10" borderId="4" xfId="0" applyFont="1" applyFill="1" applyBorder="1"/>
    <xf numFmtId="0" fontId="16" fillId="11" borderId="0" xfId="0" applyFont="1" applyFill="1" applyAlignment="1">
      <alignment horizontal="center"/>
    </xf>
    <xf numFmtId="0" fontId="24" fillId="11" borderId="3" xfId="0" applyFont="1" applyFill="1" applyBorder="1"/>
    <xf numFmtId="0" fontId="16" fillId="11" borderId="4" xfId="0" applyFont="1" applyFill="1" applyBorder="1"/>
    <xf numFmtId="0" fontId="19" fillId="9" borderId="4" xfId="0" applyFont="1" applyFill="1" applyBorder="1" applyAlignment="1">
      <alignment horizontal="left"/>
    </xf>
    <xf numFmtId="0" fontId="16" fillId="9" borderId="4" xfId="0" applyFont="1" applyFill="1" applyBorder="1" applyAlignment="1">
      <alignment horizontal="left"/>
    </xf>
    <xf numFmtId="0" fontId="16" fillId="10" borderId="4" xfId="0" applyFont="1" applyFill="1" applyBorder="1" applyAlignment="1">
      <alignment horizontal="left"/>
    </xf>
    <xf numFmtId="0" fontId="16" fillId="11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3" xfId="0" applyFont="1" applyFill="1" applyBorder="1"/>
    <xf numFmtId="0" fontId="16" fillId="12" borderId="4" xfId="0" applyFont="1" applyFill="1" applyBorder="1" applyAlignment="1">
      <alignment horizontal="left"/>
    </xf>
    <xf numFmtId="0" fontId="16" fillId="12" borderId="4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5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3" xfId="0" applyFont="1" applyFill="1" applyBorder="1"/>
    <xf numFmtId="0" fontId="16" fillId="13" borderId="4" xfId="0" applyFont="1" applyFill="1" applyBorder="1" applyAlignment="1">
      <alignment horizontal="left"/>
    </xf>
    <xf numFmtId="0" fontId="16" fillId="13" borderId="4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3" xfId="0" applyFont="1" applyFill="1" applyBorder="1"/>
    <xf numFmtId="0" fontId="16" fillId="18" borderId="4" xfId="0" applyFont="1" applyFill="1" applyBorder="1" applyAlignment="1">
      <alignment horizontal="left"/>
    </xf>
    <xf numFmtId="0" fontId="16" fillId="18" borderId="4" xfId="0" applyFont="1" applyFill="1" applyBorder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6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3" xfId="0" applyFont="1" applyFill="1" applyBorder="1"/>
    <xf numFmtId="0" fontId="16" fillId="19" borderId="4" xfId="0" applyFont="1" applyFill="1" applyBorder="1" applyAlignment="1">
      <alignment horizontal="left"/>
    </xf>
    <xf numFmtId="0" fontId="16" fillId="19" borderId="4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9" xfId="0" applyBorder="1" applyAlignment="1">
      <alignment horizontal="center" vertical="center"/>
    </xf>
    <xf numFmtId="0" fontId="0" fillId="20" borderId="10" xfId="0" applyFill="1" applyBorder="1" applyAlignment="1">
      <alignment horizontal="center" vertical="center"/>
    </xf>
    <xf numFmtId="0" fontId="3" fillId="2" borderId="9" xfId="2" applyFont="1" applyFill="1" applyBorder="1" applyAlignment="1" applyProtection="1">
      <alignment horizontal="center" vertical="center"/>
      <protection hidden="1"/>
    </xf>
    <xf numFmtId="0" fontId="3" fillId="5" borderId="9" xfId="2" applyFont="1" applyFill="1" applyBorder="1" applyAlignment="1" applyProtection="1">
      <alignment horizontal="center" vertical="center"/>
      <protection hidden="1"/>
    </xf>
    <xf numFmtId="166" fontId="3" fillId="2" borderId="9" xfId="2" applyNumberFormat="1" applyFont="1" applyFill="1" applyBorder="1" applyAlignment="1" applyProtection="1">
      <alignment horizontal="center" vertical="center"/>
      <protection hidden="1"/>
    </xf>
    <xf numFmtId="0" fontId="0" fillId="20" borderId="10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4" xfId="0" quotePrefix="1" applyFont="1" applyFill="1" applyBorder="1" applyAlignment="1">
      <alignment horizontal="left"/>
    </xf>
    <xf numFmtId="0" fontId="56" fillId="11" borderId="4" xfId="0" applyFont="1" applyFill="1" applyBorder="1" applyAlignment="1">
      <alignment horizontal="left"/>
    </xf>
    <xf numFmtId="0" fontId="56" fillId="11" borderId="4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1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4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2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6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3" xfId="0" applyFont="1" applyFill="1" applyBorder="1" applyAlignment="1">
      <alignment horizontal="center" vertical="center"/>
    </xf>
    <xf numFmtId="0" fontId="66" fillId="0" borderId="25" xfId="0" applyFont="1" applyBorder="1" applyAlignment="1">
      <alignment vertical="center" wrapText="1"/>
    </xf>
    <xf numFmtId="0" fontId="65" fillId="27" borderId="24" xfId="0" applyFont="1" applyFill="1" applyBorder="1" applyAlignment="1">
      <alignment horizontal="center" vertical="center" shrinkToFit="1"/>
    </xf>
    <xf numFmtId="0" fontId="66" fillId="0" borderId="22" xfId="0" applyFont="1" applyBorder="1" applyAlignment="1">
      <alignment horizontal="center" vertical="center" shrinkToFit="1"/>
    </xf>
    <xf numFmtId="0" fontId="65" fillId="0" borderId="22" xfId="0" applyFont="1" applyBorder="1" applyAlignment="1">
      <alignment horizontal="center" vertical="center" shrinkToFit="1"/>
    </xf>
    <xf numFmtId="0" fontId="66" fillId="0" borderId="22" xfId="0" applyFont="1" applyBorder="1" applyAlignment="1">
      <alignment vertical="center" shrinkToFit="1"/>
    </xf>
    <xf numFmtId="188" fontId="66" fillId="0" borderId="22" xfId="0" applyNumberFormat="1" applyFont="1" applyBorder="1" applyAlignment="1">
      <alignment vertical="center" shrinkToFit="1"/>
    </xf>
    <xf numFmtId="0" fontId="66" fillId="15" borderId="22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6" xfId="0" applyFill="1" applyBorder="1" applyAlignment="1">
      <alignment horizontal="center"/>
    </xf>
    <xf numFmtId="0" fontId="0" fillId="14" borderId="18" xfId="0" applyFill="1" applyBorder="1"/>
    <xf numFmtId="0" fontId="0" fillId="14" borderId="19" xfId="0" applyFill="1" applyBorder="1"/>
    <xf numFmtId="0" fontId="0" fillId="14" borderId="0" xfId="0" applyFill="1"/>
    <xf numFmtId="0" fontId="0" fillId="14" borderId="17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0" xfId="0" applyFill="1" applyBorder="1"/>
    <xf numFmtId="0" fontId="0" fillId="14" borderId="21" xfId="0" applyFill="1" applyBorder="1"/>
    <xf numFmtId="0" fontId="0" fillId="14" borderId="22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6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24" fillId="9" borderId="26" xfId="0" applyFont="1" applyFill="1" applyBorder="1"/>
    <xf numFmtId="0" fontId="24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3" fillId="2" borderId="1" xfId="2" applyFont="1" applyFill="1" applyBorder="1" applyAlignment="1">
      <alignment horizontal="center" vertical="center" shrinkToFit="1"/>
    </xf>
    <xf numFmtId="0" fontId="3" fillId="2" borderId="1" xfId="2" applyFont="1" applyFill="1" applyBorder="1" applyAlignment="1">
      <alignment vertical="center"/>
    </xf>
    <xf numFmtId="0" fontId="3" fillId="2" borderId="1" xfId="2" applyFont="1" applyFill="1" applyBorder="1"/>
    <xf numFmtId="0" fontId="3" fillId="5" borderId="1" xfId="2" applyFont="1" applyFill="1" applyBorder="1" applyAlignment="1">
      <alignment vertical="center"/>
    </xf>
    <xf numFmtId="165" fontId="3" fillId="2" borderId="1" xfId="5" applyNumberFormat="1" applyFont="1" applyFill="1" applyBorder="1" applyAlignment="1" applyProtection="1">
      <alignment horizontal="left" vertical="center"/>
    </xf>
    <xf numFmtId="165" fontId="3" fillId="5" borderId="1" xfId="5" applyNumberFormat="1" applyFont="1" applyFill="1" applyBorder="1" applyAlignment="1" applyProtection="1">
      <alignment horizontal="left" vertical="center"/>
    </xf>
    <xf numFmtId="0" fontId="14" fillId="19" borderId="0" xfId="0" applyFont="1" applyFill="1" applyAlignment="1">
      <alignment horizontal="center" vertical="center" shrinkToFit="1"/>
    </xf>
    <xf numFmtId="177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/>
    </xf>
    <xf numFmtId="177" fontId="0" fillId="5" borderId="0" xfId="0" applyNumberFormat="1" applyFill="1" applyAlignment="1">
      <alignment horizontal="right"/>
    </xf>
    <xf numFmtId="176" fontId="0" fillId="0" borderId="0" xfId="0" applyNumberFormat="1" applyAlignment="1">
      <alignment horizontal="right" vertical="center"/>
    </xf>
    <xf numFmtId="166" fontId="0" fillId="0" borderId="0" xfId="0" applyNumberFormat="1" applyAlignment="1">
      <alignment vertical="center"/>
    </xf>
    <xf numFmtId="14" fontId="0" fillId="0" borderId="1" xfId="0" applyNumberFormat="1" applyBorder="1"/>
    <xf numFmtId="17" fontId="0" fillId="0" borderId="1" xfId="0" applyNumberFormat="1" applyBorder="1"/>
    <xf numFmtId="181" fontId="0" fillId="0" borderId="1" xfId="0" applyNumberFormat="1" applyBorder="1"/>
    <xf numFmtId="4" fontId="0" fillId="0" borderId="1" xfId="0" applyNumberFormat="1" applyBorder="1"/>
    <xf numFmtId="0" fontId="43" fillId="0" borderId="1" xfId="0" applyFont="1" applyBorder="1" applyAlignment="1">
      <alignment horizontal="center"/>
    </xf>
    <xf numFmtId="0" fontId="43" fillId="0" borderId="0" xfId="0" applyFont="1" applyAlignment="1">
      <alignment horizontal="center"/>
    </xf>
    <xf numFmtId="0" fontId="3" fillId="7" borderId="1" xfId="2" applyFont="1" applyFill="1" applyBorder="1" applyAlignment="1" applyProtection="1">
      <alignment horizontal="center" vertical="center"/>
      <protection hidden="1"/>
    </xf>
    <xf numFmtId="0" fontId="3" fillId="7" borderId="1" xfId="2" applyFont="1" applyFill="1" applyBorder="1" applyAlignment="1">
      <alignment vertical="center"/>
    </xf>
    <xf numFmtId="0" fontId="3" fillId="7" borderId="1" xfId="2" applyFont="1" applyFill="1" applyBorder="1" applyAlignment="1">
      <alignment horizontal="center" vertical="center"/>
    </xf>
    <xf numFmtId="164" fontId="3" fillId="7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7" borderId="1" xfId="4" applyNumberFormat="1" applyFont="1" applyFill="1" applyBorder="1" applyAlignment="1" applyProtection="1">
      <alignment horizontal="center" vertical="center"/>
      <protection hidden="1"/>
    </xf>
    <xf numFmtId="165" fontId="3" fillId="7" borderId="1" xfId="5" applyNumberFormat="1" applyFont="1" applyFill="1" applyBorder="1" applyAlignment="1" applyProtection="1">
      <alignment horizontal="center" vertical="center"/>
    </xf>
    <xf numFmtId="165" fontId="3" fillId="7" borderId="1" xfId="5" applyNumberFormat="1" applyFont="1" applyFill="1" applyBorder="1" applyAlignment="1" applyProtection="1">
      <alignment horizontal="left" vertical="center"/>
    </xf>
    <xf numFmtId="0" fontId="3" fillId="0" borderId="1" xfId="2" applyFont="1" applyBorder="1" applyAlignment="1" applyProtection="1">
      <alignment horizontal="center" vertical="center"/>
      <protection hidden="1"/>
    </xf>
    <xf numFmtId="0" fontId="3" fillId="0" borderId="1" xfId="2" applyFont="1" applyBorder="1" applyAlignment="1">
      <alignment vertical="center"/>
    </xf>
    <xf numFmtId="0" fontId="3" fillId="0" borderId="1" xfId="2" applyFont="1" applyBorder="1" applyAlignment="1">
      <alignment horizontal="center" vertical="center"/>
    </xf>
    <xf numFmtId="164" fontId="3" fillId="0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0" borderId="1" xfId="4" applyNumberFormat="1" applyFont="1" applyFill="1" applyBorder="1" applyAlignment="1" applyProtection="1">
      <alignment horizontal="center" vertical="center"/>
      <protection hidden="1"/>
    </xf>
    <xf numFmtId="165" fontId="3" fillId="0" borderId="1" xfId="5" applyNumberFormat="1" applyFont="1" applyFill="1" applyBorder="1" applyAlignment="1" applyProtection="1">
      <alignment horizontal="center" vertical="center"/>
    </xf>
    <xf numFmtId="165" fontId="3" fillId="0" borderId="1" xfId="5" applyNumberFormat="1" applyFont="1" applyFill="1" applyBorder="1" applyAlignment="1" applyProtection="1">
      <alignment horizontal="left" vertical="center"/>
    </xf>
    <xf numFmtId="0" fontId="3" fillId="7" borderId="1" xfId="2" applyFont="1" applyFill="1" applyBorder="1" applyAlignment="1">
      <alignment vertical="center" wrapText="1"/>
    </xf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numFmt numFmtId="179" formatCode="&quot;$&quot;#,##0.00"/>
      <alignment horizontal="center" vertical="bottom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07/relationships/slicerCache" Target="slicerCaches/slicerCach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theme" Target="theme/theme1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200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181.88549999999998</c:v>
                </c:pt>
                <c:pt idx="355">
                  <c:v>181.88549999999998</c:v>
                </c:pt>
                <c:pt idx="356">
                  <c:v>183.38549999999998</c:v>
                </c:pt>
                <c:pt idx="357">
                  <c:v>183.38549999999998</c:v>
                </c:pt>
                <c:pt idx="358">
                  <c:v>185.66649999999998</c:v>
                </c:pt>
                <c:pt idx="359">
                  <c:v>185.66649999999998</c:v>
                </c:pt>
                <c:pt idx="360">
                  <c:v>186.66649999999998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180.42549999999989</c:v>
                </c:pt>
                <c:pt idx="355">
                  <c:v>180.42549999999989</c:v>
                </c:pt>
                <c:pt idx="356">
                  <c:v>180.42549999999989</c:v>
                </c:pt>
                <c:pt idx="357">
                  <c:v>180.42549999999989</c:v>
                </c:pt>
                <c:pt idx="358">
                  <c:v>180.42549999999989</c:v>
                </c:pt>
                <c:pt idx="359">
                  <c:v>182.43749999999989</c:v>
                </c:pt>
                <c:pt idx="360">
                  <c:v>182.43749999999989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150.32450000000006</c:v>
                </c:pt>
                <c:pt idx="355" formatCode="0.000">
                  <c:v>150.32450000000006</c:v>
                </c:pt>
                <c:pt idx="356" formatCode="0.000">
                  <c:v>150.32450000000006</c:v>
                </c:pt>
                <c:pt idx="357" formatCode="0.000">
                  <c:v>150.32450000000006</c:v>
                </c:pt>
                <c:pt idx="358" formatCode="0.000">
                  <c:v>150.32450000000006</c:v>
                </c:pt>
                <c:pt idx="359" formatCode="0.000">
                  <c:v>150.32450000000006</c:v>
                </c:pt>
                <c:pt idx="360" formatCode="0.000">
                  <c:v>150.32450000000006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396</c:v>
                </c:pt>
                <c:pt idx="355">
                  <c:v>396</c:v>
                </c:pt>
                <c:pt idx="356">
                  <c:v>396</c:v>
                </c:pt>
                <c:pt idx="357">
                  <c:v>396</c:v>
                </c:pt>
                <c:pt idx="358">
                  <c:v>396</c:v>
                </c:pt>
                <c:pt idx="359">
                  <c:v>396</c:v>
                </c:pt>
                <c:pt idx="360">
                  <c:v>396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100.65338179418067</c:v>
                </c:pt>
                <c:pt idx="354">
                  <c:v>109.50133174847481</c:v>
                </c:pt>
                <c:pt idx="355">
                  <c:v>118.7916792004837</c:v>
                </c:pt>
                <c:pt idx="356">
                  <c:v>118.7916792004837</c:v>
                </c:pt>
                <c:pt idx="357">
                  <c:v>118.7916792004837</c:v>
                </c:pt>
                <c:pt idx="358">
                  <c:v>118.7916792004837</c:v>
                </c:pt>
                <c:pt idx="359">
                  <c:v>118.7916792004837</c:v>
                </c:pt>
                <c:pt idx="360">
                  <c:v>118.7916792004837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0.90942749999999994</c:v>
                </c:pt>
                <c:pt idx="355">
                  <c:v>0.90942749999999994</c:v>
                </c:pt>
                <c:pt idx="356">
                  <c:v>0.9169274999999999</c:v>
                </c:pt>
                <c:pt idx="357">
                  <c:v>0.9169274999999999</c:v>
                </c:pt>
                <c:pt idx="358">
                  <c:v>0.92833249999999989</c:v>
                </c:pt>
                <c:pt idx="359">
                  <c:v>0.92833249999999989</c:v>
                </c:pt>
                <c:pt idx="360">
                  <c:v>0.9333324999999999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0.90212749999999942</c:v>
                </c:pt>
                <c:pt idx="355">
                  <c:v>0.90212749999999942</c:v>
                </c:pt>
                <c:pt idx="356">
                  <c:v>0.90212749999999942</c:v>
                </c:pt>
                <c:pt idx="357">
                  <c:v>0.90212749999999942</c:v>
                </c:pt>
                <c:pt idx="358">
                  <c:v>0.90212749999999942</c:v>
                </c:pt>
                <c:pt idx="359">
                  <c:v>0.91218749999999948</c:v>
                </c:pt>
                <c:pt idx="360">
                  <c:v>0.91218749999999948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0.7516225000000003</c:v>
                </c:pt>
                <c:pt idx="355">
                  <c:v>0.7516225000000003</c:v>
                </c:pt>
                <c:pt idx="356">
                  <c:v>0.7516225000000003</c:v>
                </c:pt>
                <c:pt idx="357">
                  <c:v>0.7516225000000003</c:v>
                </c:pt>
                <c:pt idx="358">
                  <c:v>0.7516225000000003</c:v>
                </c:pt>
                <c:pt idx="359">
                  <c:v>0.7516225000000003</c:v>
                </c:pt>
                <c:pt idx="360">
                  <c:v>0.7516225000000003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0.50326690897090343</c:v>
                </c:pt>
                <c:pt idx="354">
                  <c:v>0.54750665874237403</c:v>
                </c:pt>
                <c:pt idx="355">
                  <c:v>0.59395839600241851</c:v>
                </c:pt>
                <c:pt idx="356">
                  <c:v>0.59395839600241851</c:v>
                </c:pt>
                <c:pt idx="357">
                  <c:v>0.59395839600241851</c:v>
                </c:pt>
                <c:pt idx="358">
                  <c:v>0.59395839600241851</c:v>
                </c:pt>
                <c:pt idx="359">
                  <c:v>0.59395839600241851</c:v>
                </c:pt>
                <c:pt idx="360">
                  <c:v>0.59395839600241851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0.79200000000000004</c:v>
                </c:pt>
                <c:pt idx="355">
                  <c:v>0.79200000000000004</c:v>
                </c:pt>
                <c:pt idx="356">
                  <c:v>0.79200000000000004</c:v>
                </c:pt>
                <c:pt idx="357">
                  <c:v>0.79200000000000004</c:v>
                </c:pt>
                <c:pt idx="358">
                  <c:v>0.79200000000000004</c:v>
                </c:pt>
                <c:pt idx="359">
                  <c:v>0.79200000000000004</c:v>
                </c:pt>
                <c:pt idx="360">
                  <c:v>0.79200000000000004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46323</c:v>
                </c:pt>
                <c:pt idx="1">
                  <c:v>46323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0.9333324999999999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0.9333324999999999</c:v>
                </c:pt>
                <c:pt idx="1">
                  <c:v>0.9333324999999999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0.91218749999999948</c:v>
                </c:pt>
                <c:pt idx="1">
                  <c:v>0.91218749999999948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10886644.457299985</c:v>
                </c:pt>
                <c:pt idx="354">
                  <c:v>10944206.857299985</c:v>
                </c:pt>
                <c:pt idx="355">
                  <c:v>11085039.387299985</c:v>
                </c:pt>
                <c:pt idx="356">
                  <c:v>11212282.587299984</c:v>
                </c:pt>
                <c:pt idx="357">
                  <c:v>11215668.717299985</c:v>
                </c:pt>
                <c:pt idx="358">
                  <c:v>11215668.717299985</c:v>
                </c:pt>
                <c:pt idx="359">
                  <c:v>11220817.892319985</c:v>
                </c:pt>
                <c:pt idx="360">
                  <c:v>11250034.969239984</c:v>
                </c:pt>
                <c:pt idx="361">
                  <c:v>11252292.389239984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ser>
          <c:idx val="1"/>
          <c:order val="3"/>
          <c:tx>
            <c:v>Pago 1</c:v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Pt>
            <c:idx val="1"/>
            <c:bubble3D val="0"/>
            <c:spPr>
              <a:ln w="3175">
                <a:solidFill>
                  <a:srgbClr val="00B0F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9F60-460F-BB26-C6B853D524C5}"/>
              </c:ext>
            </c:extLst>
          </c:dPt>
          <c:xVal>
            <c:numRef>
              <c:f>EV!$AD$6:$AD$7</c:f>
              <c:numCache>
                <c:formatCode>d\-mmm</c:formatCode>
                <c:ptCount val="2"/>
                <c:pt idx="0">
                  <c:v>45962</c:v>
                </c:pt>
                <c:pt idx="1">
                  <c:v>46460</c:v>
                </c:pt>
              </c:numCache>
            </c:numRef>
          </c:xVal>
          <c:yVal>
            <c:numRef>
              <c:f>EV!$AE$6:$AE$7</c:f>
              <c:numCache>
                <c:formatCode>General</c:formatCode>
                <c:ptCount val="2"/>
                <c:pt idx="0">
                  <c:v>11162921.84</c:v>
                </c:pt>
                <c:pt idx="1">
                  <c:v>11162921.84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60-460F-BB26-C6B853D52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46323</c:v>
                </c:pt>
                <c:pt idx="1">
                  <c:v>46323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93.769103243666535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10292150010949531"/>
          <c:y val="0.10428707349081365"/>
          <c:w val="8.7239313924658043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00B05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00B050"/>
                      </a:solidFill>
                      <a:latin typeface="Aptos Narrow" panose="02110004020202020204"/>
                    </a:rPr>
                    <a:t>+57,896.05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+1,831,801.20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+$ 1,831,801.20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5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_xlchart.v5.40</cx:f>
      </cx:strDim>
      <cx:numDim type="val">
        <cx:f>_xlchart.v5.41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_xlchart.v5.39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6116690" y="3584203"/>
            <a:ext cx="2619599" cy="1792941"/>
            <a:chOff x="10072369" y="1511114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0072369" y="1511114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0141208" y="1522320"/>
              <a:ext cx="2476051" cy="1714502"/>
              <a:chOff x="10212702" y="2082614"/>
              <a:chExt cx="2476051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0212703" y="2082614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2106368" y="208261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186.667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0212702" y="2389554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2106365" y="238955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182.438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0212703" y="2654114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2106365" y="265411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0212703" y="293426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2106365" y="2934261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0212703" y="3225614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2106368" y="3225615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0212702" y="3532554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2106368" y="3532556"/>
                <a:ext cx="58238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118.792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82775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6368095" y="3592285"/>
            <a:ext cx="2554939" cy="1792941"/>
            <a:chOff x="10424627" y="1664872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0424627" y="1664872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0606525" y="1676078"/>
              <a:ext cx="2228831" cy="1714502"/>
              <a:chOff x="10678019" y="2236372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0678019" y="2236372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2420410" y="223637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93.3%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0678019" y="2543312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2420410" y="254331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91.2%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0678019" y="2807872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2420410" y="280787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0678019" y="3088019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2420410" y="3088019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0678019" y="3379372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2420410" y="3379372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0678019" y="3686312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2420410" y="368631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59.4%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186.67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182.44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2855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$11,252,292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11,252,292.39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100.8%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-0.8%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182.438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186.667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6" totalsRowCount="1" headerRowDxfId="66">
  <autoFilter ref="A1:N995" xr:uid="{BA1685B0-5236-4456-BCF4-F731A73FF5C2}"/>
  <tableColumns count="14">
    <tableColumn id="1" xr3:uid="{4CF52015-B3CE-432C-8610-DADE600EA9C3}" name="Fecha" dataDxfId="65" totalsRowDxfId="9"/>
    <tableColumn id="2" xr3:uid="{3FA4B0AE-9D06-44DE-B076-3FDED3D18EF2}" name="Brigada" dataDxfId="64" totalsRowDxfId="63"/>
    <tableColumn id="11" xr3:uid="{AF909B89-4C98-4C30-B977-1DB0493946D0}" name="Sistema" dataDxfId="62" totalsRowDxfId="8"/>
    <tableColumn id="3" xr3:uid="{F5BFBB63-F01E-4EC7-BD4D-D09BB4F889A7}" name="Ducto" dataDxfId="61" totalsRowDxfId="7"/>
    <tableColumn id="4" xr3:uid="{98B77E8A-3C99-459B-A84F-9BCA22E66134}" name="Actividades" dataDxfId="60" totalsRowDxfId="59"/>
    <tableColumn id="10" xr3:uid="{076EB25C-65A8-4625-A199-B02E4B6F26E7}" name="inicio" dataDxfId="58" totalsRowDxfId="6"/>
    <tableColumn id="9" xr3:uid="{AE72225D-975E-4C2E-AE3B-40DA16331A20}" name="fin" dataDxfId="57" totalsRowDxfId="5"/>
    <tableColumn id="6" xr3:uid="{89559591-219B-4EA6-8A69-D923E65EA2C9}" name="Avance_km" totalsRowFunction="sum" dataDxfId="56" totalsRowDxfId="4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55" totalsRowDxfId="3"/>
    <tableColumn id="5" xr3:uid="{8DED0425-8C44-4CA2-BCB3-F627BAA20C3E}" name="Codigo_actividad"/>
    <tableColumn id="7" xr3:uid="{808EA3A0-62BB-4518-9BDA-01AFA85BD786}" name="nombre_actividad" dataDxfId="54" totalsRowDxfId="2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53" totalsRowDxfId="1"/>
    <tableColumn id="13" xr3:uid="{38F5AE3B-C4C0-4E22-B47F-A3FD31E72ADE}" name="EV" totalsRowFunction="custom" dataDxfId="52" totalsRowDxfId="0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51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6"/>
  <sheetViews>
    <sheetView showGridLines="0" tabSelected="1" topLeftCell="A681" zoomScaleNormal="100" workbookViewId="0">
      <selection activeCell="E701" sqref="E701"/>
    </sheetView>
  </sheetViews>
  <sheetFormatPr baseColWidth="10" defaultColWidth="11.42578125" defaultRowHeight="15" outlineLevelCol="1" x14ac:dyDescent="0.25"/>
  <cols>
    <col min="1" max="1" width="24.28515625" style="359" bestFit="1" customWidth="1"/>
    <col min="2" max="2" width="10.140625" style="40" customWidth="1"/>
    <col min="3" max="3" width="13.28515625" style="153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88" customWidth="1" outlineLevel="1"/>
    <col min="14" max="14" width="15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49" t="s">
        <v>0</v>
      </c>
      <c r="B1" s="25" t="s">
        <v>1</v>
      </c>
      <c r="C1" s="151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56" t="s">
        <v>343</v>
      </c>
      <c r="N1" s="25" t="s">
        <v>162</v>
      </c>
    </row>
    <row r="2" spans="1:14" s="1" customFormat="1" x14ac:dyDescent="0.25">
      <c r="A2" s="350">
        <v>45964</v>
      </c>
      <c r="B2" s="38" t="s">
        <v>12</v>
      </c>
      <c r="C2" s="152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57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0">
        <v>45965</v>
      </c>
      <c r="B3" s="38" t="s">
        <v>12</v>
      </c>
      <c r="C3" s="152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57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0">
        <v>45966</v>
      </c>
      <c r="B4" s="38" t="s">
        <v>12</v>
      </c>
      <c r="C4" s="152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0">
        <v>45967</v>
      </c>
      <c r="B5" s="38" t="s">
        <v>12</v>
      </c>
      <c r="C5" s="152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57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0">
        <v>45968</v>
      </c>
      <c r="B6" s="38" t="s">
        <v>12</v>
      </c>
      <c r="C6" s="152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0">
        <v>45969</v>
      </c>
      <c r="B7" s="38" t="s">
        <v>12</v>
      </c>
      <c r="C7" s="152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0">
        <v>45971</v>
      </c>
      <c r="B8" s="38" t="s">
        <v>12</v>
      </c>
      <c r="C8" s="152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57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0">
        <v>45972</v>
      </c>
      <c r="B9" s="38" t="s">
        <v>12</v>
      </c>
      <c r="C9" s="152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57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0">
        <v>45973</v>
      </c>
      <c r="B10" s="38" t="s">
        <v>12</v>
      </c>
      <c r="C10" s="152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57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0">
        <v>45973</v>
      </c>
      <c r="B11" s="38" t="s">
        <v>12</v>
      </c>
      <c r="C11" s="152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57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0">
        <v>45973</v>
      </c>
      <c r="B12" s="38" t="s">
        <v>12</v>
      </c>
      <c r="C12" s="152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0">
        <v>45973</v>
      </c>
      <c r="B13" s="38" t="s">
        <v>12</v>
      </c>
      <c r="C13" s="152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57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0">
        <v>45973</v>
      </c>
      <c r="B14" s="38" t="s">
        <v>12</v>
      </c>
      <c r="C14" s="152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57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0">
        <v>45974</v>
      </c>
      <c r="B15" s="38" t="s">
        <v>12</v>
      </c>
      <c r="C15" s="152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57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0">
        <v>45974</v>
      </c>
      <c r="B16" s="38" t="s">
        <v>12</v>
      </c>
      <c r="C16" s="152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57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0">
        <v>45974</v>
      </c>
      <c r="B17" s="38" t="s">
        <v>12</v>
      </c>
      <c r="C17" s="152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57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0">
        <v>45974</v>
      </c>
      <c r="B18" s="38" t="s">
        <v>12</v>
      </c>
      <c r="C18" s="152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57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0">
        <v>45975</v>
      </c>
      <c r="B19" s="38" t="s">
        <v>12</v>
      </c>
      <c r="C19" s="152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57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0">
        <v>45976</v>
      </c>
      <c r="B20" s="38" t="s">
        <v>12</v>
      </c>
      <c r="C20" s="152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57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0">
        <v>45977</v>
      </c>
      <c r="B21" s="38" t="s">
        <v>12</v>
      </c>
      <c r="C21" s="152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0">
        <v>45978</v>
      </c>
      <c r="B22" s="38" t="s">
        <v>12</v>
      </c>
      <c r="C22" s="152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57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0">
        <v>45979</v>
      </c>
      <c r="B23" s="38" t="s">
        <v>12</v>
      </c>
      <c r="C23" s="152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57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0">
        <v>45980</v>
      </c>
      <c r="B24" s="38" t="s">
        <v>12</v>
      </c>
      <c r="C24" s="152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57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0">
        <v>45980</v>
      </c>
      <c r="B25" s="38" t="s">
        <v>29</v>
      </c>
      <c r="C25" s="152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57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0">
        <v>45980</v>
      </c>
      <c r="B26" s="38" t="s">
        <v>30</v>
      </c>
      <c r="C26" s="152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57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0">
        <v>45981</v>
      </c>
      <c r="B27" s="38" t="s">
        <v>12</v>
      </c>
      <c r="C27" s="152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57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0">
        <v>45981</v>
      </c>
      <c r="B28" s="38" t="s">
        <v>29</v>
      </c>
      <c r="C28" s="152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57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0">
        <v>45981</v>
      </c>
      <c r="B29" s="38" t="s">
        <v>30</v>
      </c>
      <c r="C29" s="152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0">
        <v>45982</v>
      </c>
      <c r="B30" s="38" t="s">
        <v>12</v>
      </c>
      <c r="C30" s="152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57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0">
        <v>45982</v>
      </c>
      <c r="B31" s="38" t="s">
        <v>29</v>
      </c>
      <c r="C31" s="152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57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0">
        <v>45982</v>
      </c>
      <c r="B32" s="38" t="s">
        <v>29</v>
      </c>
      <c r="C32" s="152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57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0">
        <v>45982</v>
      </c>
      <c r="B33" s="38" t="s">
        <v>29</v>
      </c>
      <c r="C33" s="152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57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0">
        <v>45982</v>
      </c>
      <c r="B34" s="38" t="s">
        <v>30</v>
      </c>
      <c r="C34" s="152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57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0">
        <v>45983</v>
      </c>
      <c r="B35" s="38" t="s">
        <v>12</v>
      </c>
      <c r="C35" s="152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57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0">
        <v>45983</v>
      </c>
      <c r="B36" s="38" t="s">
        <v>12</v>
      </c>
      <c r="C36" s="152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57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0">
        <v>45983</v>
      </c>
      <c r="B37" s="38" t="s">
        <v>12</v>
      </c>
      <c r="C37" s="152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57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0">
        <v>45983</v>
      </c>
      <c r="B38" s="38" t="s">
        <v>29</v>
      </c>
      <c r="C38" s="152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57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0">
        <v>45984</v>
      </c>
      <c r="B39" s="38" t="s">
        <v>12</v>
      </c>
      <c r="C39" s="152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57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0">
        <v>45985</v>
      </c>
      <c r="B40" s="38" t="s">
        <v>12</v>
      </c>
      <c r="C40" s="152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57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0">
        <v>45985</v>
      </c>
      <c r="B41" s="38" t="s">
        <v>29</v>
      </c>
      <c r="C41" s="152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57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0">
        <v>45985</v>
      </c>
      <c r="B42" s="38" t="s">
        <v>29</v>
      </c>
      <c r="C42" s="152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0">
        <v>45985</v>
      </c>
      <c r="B43" s="38" t="s">
        <v>29</v>
      </c>
      <c r="C43" s="152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57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0">
        <v>45985</v>
      </c>
      <c r="B44" s="38" t="s">
        <v>30</v>
      </c>
      <c r="C44" s="152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0">
        <v>45986</v>
      </c>
      <c r="B45" s="38" t="s">
        <v>12</v>
      </c>
      <c r="C45" s="152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0">
        <v>45986</v>
      </c>
      <c r="B46" s="38" t="s">
        <v>29</v>
      </c>
      <c r="C46" s="152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57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0">
        <v>45986</v>
      </c>
      <c r="B47" s="38" t="s">
        <v>30</v>
      </c>
      <c r="C47" s="152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0">
        <v>45987</v>
      </c>
      <c r="B48" s="38" t="s">
        <v>12</v>
      </c>
      <c r="C48" s="152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57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0">
        <v>45987</v>
      </c>
      <c r="B49" s="38" t="s">
        <v>29</v>
      </c>
      <c r="C49" s="152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57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0">
        <v>45987</v>
      </c>
      <c r="B50" s="38" t="s">
        <v>30</v>
      </c>
      <c r="C50" s="152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0"/>
      <c r="B51" s="38"/>
      <c r="C51" s="152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0">
        <v>45988</v>
      </c>
      <c r="B52" s="38" t="s">
        <v>12</v>
      </c>
      <c r="C52" s="152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57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0">
        <v>45988</v>
      </c>
      <c r="B53" s="38" t="s">
        <v>29</v>
      </c>
      <c r="C53" s="152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57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0">
        <v>45988</v>
      </c>
      <c r="B54" s="38" t="s">
        <v>30</v>
      </c>
      <c r="C54" s="152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0">
        <v>45988</v>
      </c>
      <c r="B55" s="38" t="s">
        <v>30</v>
      </c>
      <c r="C55" s="152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0"/>
      <c r="B56" s="38"/>
      <c r="C56" s="152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0">
        <v>45989</v>
      </c>
      <c r="B57" s="38" t="s">
        <v>12</v>
      </c>
      <c r="C57" s="152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0">
        <v>45989</v>
      </c>
      <c r="B58" s="38" t="s">
        <v>29</v>
      </c>
      <c r="C58" s="152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0">
        <v>45989</v>
      </c>
      <c r="B59" s="38" t="s">
        <v>30</v>
      </c>
      <c r="C59" s="152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57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0"/>
      <c r="B60" s="38"/>
      <c r="C60" s="152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0">
        <v>45990</v>
      </c>
      <c r="B61" s="38" t="s">
        <v>12</v>
      </c>
      <c r="C61" s="152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57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0">
        <v>45990</v>
      </c>
      <c r="B62" s="38" t="s">
        <v>29</v>
      </c>
      <c r="C62" s="152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57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0">
        <v>45990</v>
      </c>
      <c r="B63" s="38" t="s">
        <v>30</v>
      </c>
      <c r="C63" s="152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0"/>
      <c r="B64" s="38"/>
      <c r="C64" s="152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0">
        <v>45992</v>
      </c>
      <c r="B65" s="38" t="s">
        <v>12</v>
      </c>
      <c r="C65" s="152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57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0">
        <v>45992</v>
      </c>
      <c r="B66" s="38" t="s">
        <v>12</v>
      </c>
      <c r="C66" s="152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57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0">
        <v>45992</v>
      </c>
      <c r="B67" s="38" t="s">
        <v>12</v>
      </c>
      <c r="C67" s="152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57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0">
        <v>45992</v>
      </c>
      <c r="B68" s="38" t="s">
        <v>12</v>
      </c>
      <c r="C68" s="152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57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0">
        <v>45992</v>
      </c>
      <c r="B69" s="38" t="s">
        <v>12</v>
      </c>
      <c r="C69" s="152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57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0">
        <v>45992</v>
      </c>
      <c r="B70" s="38" t="s">
        <v>12</v>
      </c>
      <c r="C70" s="152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57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0">
        <v>45992</v>
      </c>
      <c r="B71" s="38" t="s">
        <v>29</v>
      </c>
      <c r="C71" s="152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57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0">
        <v>45992</v>
      </c>
      <c r="B72" s="38" t="s">
        <v>29</v>
      </c>
      <c r="C72" s="152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57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0">
        <v>45992</v>
      </c>
      <c r="B73" s="38" t="s">
        <v>29</v>
      </c>
      <c r="C73" s="152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57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0">
        <v>45992</v>
      </c>
      <c r="B74" s="38" t="s">
        <v>29</v>
      </c>
      <c r="C74" s="152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57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0">
        <v>45992</v>
      </c>
      <c r="B75" s="38" t="s">
        <v>30</v>
      </c>
      <c r="C75" s="152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57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0">
        <v>45982</v>
      </c>
      <c r="B76" s="38" t="s">
        <v>29</v>
      </c>
      <c r="C76" s="152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57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0"/>
      <c r="B77" s="38"/>
      <c r="C77" s="152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0">
        <v>45993</v>
      </c>
      <c r="B78" s="38" t="s">
        <v>12</v>
      </c>
      <c r="C78" s="152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57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0">
        <v>45993</v>
      </c>
      <c r="B79" s="38" t="s">
        <v>12</v>
      </c>
      <c r="C79" s="152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57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0">
        <v>45993</v>
      </c>
      <c r="B80" s="38" t="s">
        <v>12</v>
      </c>
      <c r="C80" s="152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57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0">
        <v>45993</v>
      </c>
      <c r="B81" s="38" t="s">
        <v>12</v>
      </c>
      <c r="C81" s="152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57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0">
        <v>45993</v>
      </c>
      <c r="B82" s="38" t="s">
        <v>12</v>
      </c>
      <c r="C82" s="152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57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0">
        <v>45993</v>
      </c>
      <c r="B83" s="38" t="s">
        <v>12</v>
      </c>
      <c r="C83" s="152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57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0">
        <v>45993</v>
      </c>
      <c r="B84" s="38" t="s">
        <v>12</v>
      </c>
      <c r="C84" s="152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0">
        <v>45993</v>
      </c>
      <c r="B85" s="38" t="s">
        <v>12</v>
      </c>
      <c r="C85" s="152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0">
        <v>45993</v>
      </c>
      <c r="B86" s="38" t="s">
        <v>12</v>
      </c>
      <c r="C86" s="152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57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0">
        <v>45993</v>
      </c>
      <c r="B87" s="38" t="s">
        <v>12</v>
      </c>
      <c r="C87" s="152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0">
        <v>45993</v>
      </c>
      <c r="B88" s="38" t="s">
        <v>12</v>
      </c>
      <c r="C88" s="152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57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0">
        <v>45993</v>
      </c>
      <c r="B89" s="38" t="s">
        <v>12</v>
      </c>
      <c r="C89" s="152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57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0">
        <v>45993</v>
      </c>
      <c r="B90" s="38" t="s">
        <v>12</v>
      </c>
      <c r="C90" s="152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57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0">
        <v>45993</v>
      </c>
      <c r="B91" s="38" t="s">
        <v>12</v>
      </c>
      <c r="C91" s="152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0">
        <v>45993</v>
      </c>
      <c r="B92" s="38" t="s">
        <v>12</v>
      </c>
      <c r="C92" s="152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0">
        <v>45993</v>
      </c>
      <c r="B93" s="38" t="s">
        <v>29</v>
      </c>
      <c r="C93" s="152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57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0">
        <v>45993</v>
      </c>
      <c r="B94" s="38" t="s">
        <v>29</v>
      </c>
      <c r="C94" s="152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57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0">
        <v>45993</v>
      </c>
      <c r="B95" s="38" t="s">
        <v>29</v>
      </c>
      <c r="C95" s="152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57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0">
        <v>45993</v>
      </c>
      <c r="B96" s="38" t="s">
        <v>29</v>
      </c>
      <c r="C96" s="152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57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0">
        <v>45993</v>
      </c>
      <c r="B97" s="38" t="s">
        <v>29</v>
      </c>
      <c r="C97" s="152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57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0">
        <v>45993</v>
      </c>
      <c r="B98" s="38" t="s">
        <v>29</v>
      </c>
      <c r="C98" s="152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0">
        <v>45993</v>
      </c>
      <c r="B99" s="38" t="s">
        <v>29</v>
      </c>
      <c r="C99" s="152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0">
        <v>45993</v>
      </c>
      <c r="B100" s="38" t="s">
        <v>29</v>
      </c>
      <c r="C100" s="152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0">
        <v>45993</v>
      </c>
      <c r="B101" s="38" t="s">
        <v>29</v>
      </c>
      <c r="C101" s="152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0">
        <v>45993</v>
      </c>
      <c r="B102" s="38" t="s">
        <v>30</v>
      </c>
      <c r="C102" s="152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0"/>
      <c r="B103" s="38"/>
      <c r="C103" s="152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0">
        <v>45994</v>
      </c>
      <c r="B104" s="38" t="s">
        <v>12</v>
      </c>
      <c r="C104" s="152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57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0">
        <v>45994</v>
      </c>
      <c r="B105" s="38" t="s">
        <v>12</v>
      </c>
      <c r="C105" s="152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57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0">
        <v>45994</v>
      </c>
      <c r="B106" s="38" t="s">
        <v>12</v>
      </c>
      <c r="C106" s="152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0">
        <v>45994</v>
      </c>
      <c r="B107" s="38" t="s">
        <v>12</v>
      </c>
      <c r="C107" s="152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0">
        <v>45994</v>
      </c>
      <c r="B108" s="38" t="s">
        <v>12</v>
      </c>
      <c r="C108" s="152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0">
        <v>45994</v>
      </c>
      <c r="B109" s="38" t="s">
        <v>12</v>
      </c>
      <c r="C109" s="152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0">
        <v>45994</v>
      </c>
      <c r="B110" s="38" t="s">
        <v>12</v>
      </c>
      <c r="C110" s="152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57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0">
        <v>45994</v>
      </c>
      <c r="B111" s="38" t="s">
        <v>29</v>
      </c>
      <c r="C111" s="152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57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0">
        <v>45994</v>
      </c>
      <c r="B112" s="38" t="s">
        <v>29</v>
      </c>
      <c r="C112" s="152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0">
        <v>45994</v>
      </c>
      <c r="B113" s="38" t="s">
        <v>29</v>
      </c>
      <c r="C113" s="152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57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0">
        <v>45994</v>
      </c>
      <c r="B114" s="38" t="s">
        <v>29</v>
      </c>
      <c r="C114" s="152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0">
        <v>45994</v>
      </c>
      <c r="B115" s="38" t="s">
        <v>29</v>
      </c>
      <c r="C115" s="152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57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0">
        <v>45994</v>
      </c>
      <c r="B116" s="38" t="s">
        <v>29</v>
      </c>
      <c r="C116" s="152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57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0">
        <v>45994</v>
      </c>
      <c r="B117" s="38" t="s">
        <v>29</v>
      </c>
      <c r="C117" s="152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0">
        <v>45994</v>
      </c>
      <c r="B118" s="38" t="s">
        <v>29</v>
      </c>
      <c r="C118" s="152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0">
        <v>45994</v>
      </c>
      <c r="B119" s="38" t="s">
        <v>30</v>
      </c>
      <c r="C119" s="152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0"/>
      <c r="C120" s="152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0">
        <v>45995</v>
      </c>
      <c r="B121" s="38" t="s">
        <v>12</v>
      </c>
      <c r="C121" s="152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57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0">
        <v>45995</v>
      </c>
      <c r="B122" s="38" t="s">
        <v>12</v>
      </c>
      <c r="C122" s="152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57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0">
        <v>45995</v>
      </c>
      <c r="B123" s="38" t="s">
        <v>12</v>
      </c>
      <c r="C123" s="152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0">
        <v>45995</v>
      </c>
      <c r="B124" s="38" t="s">
        <v>12</v>
      </c>
      <c r="C124" s="152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57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0">
        <v>45995</v>
      </c>
      <c r="B125" s="38" t="s">
        <v>12</v>
      </c>
      <c r="C125" s="152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57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0">
        <v>45995</v>
      </c>
      <c r="B126" s="38" t="s">
        <v>12</v>
      </c>
      <c r="C126" s="152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57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0">
        <v>45995</v>
      </c>
      <c r="B127" s="38" t="s">
        <v>12</v>
      </c>
      <c r="C127" s="152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57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0">
        <v>45995</v>
      </c>
      <c r="B128" s="38" t="s">
        <v>12</v>
      </c>
      <c r="C128" s="152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57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0">
        <v>45995</v>
      </c>
      <c r="B129" s="38" t="s">
        <v>12</v>
      </c>
      <c r="C129" s="152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57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0">
        <v>45995</v>
      </c>
      <c r="B130" s="38" t="s">
        <v>12</v>
      </c>
      <c r="C130" s="152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57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0">
        <v>45995</v>
      </c>
      <c r="B131" s="38" t="s">
        <v>12</v>
      </c>
      <c r="C131" s="152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0">
        <v>45995</v>
      </c>
      <c r="B132" s="38" t="s">
        <v>12</v>
      </c>
      <c r="C132" s="152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57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0">
        <v>45995</v>
      </c>
      <c r="B133" s="38" t="s">
        <v>12</v>
      </c>
      <c r="C133" s="152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57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0">
        <v>45995</v>
      </c>
      <c r="B134" s="38" t="s">
        <v>12</v>
      </c>
      <c r="C134" s="152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57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0">
        <v>45995</v>
      </c>
      <c r="B135" s="38" t="s">
        <v>12</v>
      </c>
      <c r="C135" s="152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57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0">
        <v>45995</v>
      </c>
      <c r="B136" s="38" t="s">
        <v>12</v>
      </c>
      <c r="C136" s="152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57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0">
        <v>45995</v>
      </c>
      <c r="B137" s="38" t="s">
        <v>29</v>
      </c>
      <c r="C137" s="152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0">
        <v>45995</v>
      </c>
      <c r="B138" s="38" t="s">
        <v>30</v>
      </c>
      <c r="C138" s="152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0">
        <v>45995</v>
      </c>
      <c r="B139" s="38" t="s">
        <v>30</v>
      </c>
      <c r="C139" s="152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0">
        <v>45995</v>
      </c>
      <c r="B140" s="38" t="s">
        <v>30</v>
      </c>
      <c r="C140" s="152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0"/>
      <c r="C141" s="152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0">
        <v>45996</v>
      </c>
      <c r="B142" s="38" t="s">
        <v>12</v>
      </c>
      <c r="C142" s="152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57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0">
        <v>45996</v>
      </c>
      <c r="B143" s="38" t="s">
        <v>30</v>
      </c>
      <c r="C143" s="152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57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0"/>
      <c r="B144" s="38"/>
      <c r="C144" s="152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0">
        <v>45997</v>
      </c>
      <c r="B145" s="38" t="s">
        <v>30</v>
      </c>
      <c r="C145" s="152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0">
        <v>45997</v>
      </c>
      <c r="B146" s="38" t="s">
        <v>30</v>
      </c>
      <c r="C146" s="152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0">
        <v>45997</v>
      </c>
      <c r="B147" s="38" t="s">
        <v>12</v>
      </c>
      <c r="C147" s="152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0">
        <v>45997</v>
      </c>
      <c r="B148" s="38" t="s">
        <v>12</v>
      </c>
      <c r="C148" s="152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0">
        <v>45997</v>
      </c>
      <c r="B149" s="38" t="s">
        <v>12</v>
      </c>
      <c r="C149" s="152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57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0">
        <v>45997</v>
      </c>
      <c r="B150" s="38" t="s">
        <v>12</v>
      </c>
      <c r="C150" s="152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57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0"/>
      <c r="C151" s="152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0">
        <v>45999</v>
      </c>
      <c r="B152" s="114" t="s">
        <v>30</v>
      </c>
      <c r="C152" s="152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0">
        <v>45999</v>
      </c>
      <c r="B153" s="114" t="s">
        <v>30</v>
      </c>
      <c r="C153" s="152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0">
        <v>45999</v>
      </c>
      <c r="B154" s="114" t="s">
        <v>30</v>
      </c>
      <c r="C154" s="152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0">
        <v>45999</v>
      </c>
      <c r="B155" s="114" t="s">
        <v>30</v>
      </c>
      <c r="C155" s="152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0">
        <v>45999</v>
      </c>
      <c r="B156" s="114" t="s">
        <v>30</v>
      </c>
      <c r="C156" s="152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0">
        <v>45999</v>
      </c>
      <c r="B157" s="114" t="s">
        <v>30</v>
      </c>
      <c r="C157" s="152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0">
        <v>45999</v>
      </c>
      <c r="B158" s="114" t="s">
        <v>30</v>
      </c>
      <c r="C158" s="152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0">
        <v>45999</v>
      </c>
      <c r="B159" s="114" t="s">
        <v>30</v>
      </c>
      <c r="C159" s="152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0">
        <v>45999</v>
      </c>
      <c r="B160" s="114" t="s">
        <v>30</v>
      </c>
      <c r="C160" s="152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0">
        <v>45999</v>
      </c>
      <c r="B161" s="114" t="s">
        <v>12</v>
      </c>
      <c r="C161" s="152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57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0"/>
      <c r="B162" s="114"/>
      <c r="C162" s="152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0">
        <v>46000</v>
      </c>
      <c r="B163" s="114" t="s">
        <v>12</v>
      </c>
      <c r="C163" s="152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57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0">
        <v>46000</v>
      </c>
      <c r="B164" s="114" t="s">
        <v>30</v>
      </c>
      <c r="C164" s="152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0">
        <v>46000</v>
      </c>
      <c r="B165" s="114" t="s">
        <v>30</v>
      </c>
      <c r="C165" s="152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0">
        <v>46000</v>
      </c>
      <c r="B166" s="114" t="s">
        <v>30</v>
      </c>
      <c r="C166" s="152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0">
        <v>46000</v>
      </c>
      <c r="B167" s="114" t="s">
        <v>30</v>
      </c>
      <c r="C167" s="152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0">
        <v>46000</v>
      </c>
      <c r="B168" s="114" t="s">
        <v>30</v>
      </c>
      <c r="C168" s="152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0">
        <v>46000</v>
      </c>
      <c r="B169" s="114" t="s">
        <v>30</v>
      </c>
      <c r="C169" s="152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0">
        <v>46000</v>
      </c>
      <c r="B170" s="114" t="s">
        <v>30</v>
      </c>
      <c r="C170" s="152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0">
        <v>46000</v>
      </c>
      <c r="B171" s="114" t="s">
        <v>30</v>
      </c>
      <c r="C171" s="152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0">
        <v>46000</v>
      </c>
      <c r="B172" s="114" t="s">
        <v>30</v>
      </c>
      <c r="C172" s="152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0">
        <v>46000</v>
      </c>
      <c r="B173" s="114" t="s">
        <v>30</v>
      </c>
      <c r="C173" s="152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0"/>
      <c r="C174" s="152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0">
        <v>46001</v>
      </c>
      <c r="B175" s="114" t="s">
        <v>12</v>
      </c>
      <c r="C175" s="152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57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0">
        <v>46001</v>
      </c>
      <c r="B176" s="114" t="s">
        <v>30</v>
      </c>
      <c r="C176" s="152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0">
        <v>46001</v>
      </c>
      <c r="B177" s="114" t="s">
        <v>30</v>
      </c>
      <c r="C177" s="152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0">
        <v>46001</v>
      </c>
      <c r="B178" s="114" t="s">
        <v>30</v>
      </c>
      <c r="C178" s="152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0">
        <v>46001</v>
      </c>
      <c r="B179" s="114" t="s">
        <v>30</v>
      </c>
      <c r="C179" s="152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0">
        <v>46001</v>
      </c>
      <c r="B180" s="114" t="s">
        <v>30</v>
      </c>
      <c r="C180" s="152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0">
        <v>46001</v>
      </c>
      <c r="B181" s="114" t="s">
        <v>30</v>
      </c>
      <c r="C181" s="152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0">
        <v>46001</v>
      </c>
      <c r="B182" s="114" t="s">
        <v>30</v>
      </c>
      <c r="C182" s="152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0">
        <v>46001</v>
      </c>
      <c r="B183" s="114" t="s">
        <v>30</v>
      </c>
      <c r="C183" s="152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0"/>
      <c r="C184" s="152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0">
        <v>46002</v>
      </c>
      <c r="B185" s="114" t="s">
        <v>12</v>
      </c>
      <c r="C185" s="152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57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0">
        <v>46003</v>
      </c>
      <c r="B186" s="114" t="s">
        <v>12</v>
      </c>
      <c r="C186" s="152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57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0">
        <v>46004</v>
      </c>
      <c r="B187" s="114" t="s">
        <v>12</v>
      </c>
      <c r="C187" s="152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57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0">
        <v>46006</v>
      </c>
      <c r="B188" s="114" t="s">
        <v>12</v>
      </c>
      <c r="C188" s="152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57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0">
        <v>46006</v>
      </c>
      <c r="B189" s="114" t="s">
        <v>29</v>
      </c>
      <c r="C189" s="152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57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0"/>
      <c r="B190" s="114"/>
      <c r="C190" s="152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0">
        <v>46007</v>
      </c>
      <c r="B191" s="114" t="s">
        <v>12</v>
      </c>
      <c r="C191" s="152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57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0">
        <v>46007</v>
      </c>
      <c r="B192" s="114" t="s">
        <v>12</v>
      </c>
      <c r="C192" s="152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57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0">
        <v>46007</v>
      </c>
      <c r="B193" s="114" t="s">
        <v>12</v>
      </c>
      <c r="C193" s="152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57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0">
        <v>46007</v>
      </c>
      <c r="B194" s="114" t="s">
        <v>12</v>
      </c>
      <c r="C194" s="152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0">
        <v>46007</v>
      </c>
      <c r="B195" s="114" t="s">
        <v>12</v>
      </c>
      <c r="C195" s="152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0">
        <v>46007</v>
      </c>
      <c r="B196" s="114" t="s">
        <v>12</v>
      </c>
      <c r="C196" s="152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0">
        <v>46007</v>
      </c>
      <c r="B197" s="114" t="s">
        <v>12</v>
      </c>
      <c r="C197" s="152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0">
        <v>46007</v>
      </c>
      <c r="B198" s="114" t="s">
        <v>12</v>
      </c>
      <c r="C198" s="152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57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0">
        <v>46007</v>
      </c>
      <c r="B199" s="114" t="s">
        <v>12</v>
      </c>
      <c r="C199" s="152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0">
        <v>46007</v>
      </c>
      <c r="B200" s="114" t="s">
        <v>12</v>
      </c>
      <c r="C200" s="152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0">
        <v>46007</v>
      </c>
      <c r="B201" s="114" t="s">
        <v>12</v>
      </c>
      <c r="C201" s="152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0">
        <v>46007</v>
      </c>
      <c r="B202" s="114" t="s">
        <v>12</v>
      </c>
      <c r="C202" s="152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0">
        <v>46007</v>
      </c>
      <c r="B203" s="114" t="s">
        <v>12</v>
      </c>
      <c r="C203" s="152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57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0"/>
      <c r="B204" s="114"/>
      <c r="C204" s="152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0">
        <v>46008</v>
      </c>
      <c r="B205" s="114" t="s">
        <v>12</v>
      </c>
      <c r="C205" s="152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0">
        <v>46008</v>
      </c>
      <c r="B206" s="114" t="s">
        <v>12</v>
      </c>
      <c r="C206" s="152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0">
        <v>46008</v>
      </c>
      <c r="B207" s="114" t="s">
        <v>12</v>
      </c>
      <c r="C207" s="152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57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0">
        <v>46008</v>
      </c>
      <c r="B208" s="114" t="s">
        <v>12</v>
      </c>
      <c r="C208" s="152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57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0">
        <v>46008</v>
      </c>
      <c r="B209" s="114" t="s">
        <v>12</v>
      </c>
      <c r="C209" s="152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0">
        <v>46008</v>
      </c>
      <c r="B210" s="114" t="s">
        <v>12</v>
      </c>
      <c r="C210" s="152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57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0">
        <v>46008</v>
      </c>
      <c r="B211" s="114" t="s">
        <v>12</v>
      </c>
      <c r="C211" s="152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0">
        <v>46008</v>
      </c>
      <c r="B212" s="114" t="s">
        <v>12</v>
      </c>
      <c r="C212" s="152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57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0">
        <v>46008</v>
      </c>
      <c r="B213" s="114" t="s">
        <v>12</v>
      </c>
      <c r="C213" s="152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57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0">
        <v>46008</v>
      </c>
      <c r="B214" s="114" t="s">
        <v>12</v>
      </c>
      <c r="C214" s="152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57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0">
        <v>46008</v>
      </c>
      <c r="B215" s="114" t="s">
        <v>29</v>
      </c>
      <c r="C215" s="152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57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0"/>
      <c r="B216" s="114"/>
      <c r="C216" s="152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0">
        <v>46009</v>
      </c>
      <c r="B217" s="114" t="s">
        <v>12</v>
      </c>
      <c r="C217" s="152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57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0"/>
      <c r="B218" s="114"/>
      <c r="C218" s="152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0">
        <v>46010</v>
      </c>
      <c r="B219" s="114" t="s">
        <v>12</v>
      </c>
      <c r="C219" s="152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57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0">
        <v>46010</v>
      </c>
      <c r="B220" s="114" t="s">
        <v>12</v>
      </c>
      <c r="C220" s="152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57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0">
        <v>46010</v>
      </c>
      <c r="B221" s="114" t="s">
        <v>12</v>
      </c>
      <c r="C221" s="152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57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0">
        <v>45982</v>
      </c>
      <c r="B222" s="38" t="s">
        <v>29</v>
      </c>
      <c r="C222" s="152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57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0"/>
      <c r="B223" s="114"/>
      <c r="C223" s="152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0">
        <v>46011</v>
      </c>
      <c r="B224" s="114" t="s">
        <v>12</v>
      </c>
      <c r="C224" s="152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57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0">
        <v>46011</v>
      </c>
      <c r="B225" s="114" t="s">
        <v>12</v>
      </c>
      <c r="C225" s="152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57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0">
        <v>46011</v>
      </c>
      <c r="B226" s="114" t="s">
        <v>12</v>
      </c>
      <c r="C226" s="152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0"/>
      <c r="B227" s="114"/>
      <c r="C227" s="152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0">
        <v>46013</v>
      </c>
      <c r="B228" s="114" t="s">
        <v>12</v>
      </c>
      <c r="C228" s="152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57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0">
        <v>46013</v>
      </c>
      <c r="B229" s="114" t="s">
        <v>12</v>
      </c>
      <c r="C229" s="152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57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0">
        <v>46013</v>
      </c>
      <c r="B230" s="114" t="s">
        <v>12</v>
      </c>
      <c r="C230" s="152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0"/>
      <c r="B231" s="114"/>
      <c r="C231" s="152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0">
        <v>46027</v>
      </c>
      <c r="B232" s="114" t="s">
        <v>12</v>
      </c>
      <c r="C232" s="152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57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0">
        <v>46027</v>
      </c>
      <c r="B233" s="114" t="s">
        <v>12</v>
      </c>
      <c r="C233" s="152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57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0">
        <v>46027</v>
      </c>
      <c r="B234" s="114" t="s">
        <v>12</v>
      </c>
      <c r="C234" s="152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57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0">
        <v>46027</v>
      </c>
      <c r="B235" s="114" t="s">
        <v>12</v>
      </c>
      <c r="C235" s="152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57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0">
        <v>46027</v>
      </c>
      <c r="B236" s="114" t="s">
        <v>12</v>
      </c>
      <c r="C236" s="152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57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0"/>
      <c r="B237" s="114"/>
      <c r="C237" s="152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0">
        <v>46028</v>
      </c>
      <c r="B238" s="114" t="s">
        <v>12</v>
      </c>
      <c r="C238" s="152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57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0">
        <v>46028</v>
      </c>
      <c r="B239" s="114" t="s">
        <v>12</v>
      </c>
      <c r="C239" s="152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57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0">
        <v>46028</v>
      </c>
      <c r="B240" s="114" t="s">
        <v>12</v>
      </c>
      <c r="C240" s="152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57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0">
        <v>46028</v>
      </c>
      <c r="B241" s="114" t="s">
        <v>12</v>
      </c>
      <c r="C241" s="152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57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0"/>
      <c r="C242" s="152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0">
        <v>46029</v>
      </c>
      <c r="B243" s="114" t="s">
        <v>12</v>
      </c>
      <c r="C243" s="152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57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0">
        <v>46029</v>
      </c>
      <c r="B244" s="114" t="s">
        <v>29</v>
      </c>
      <c r="C244" s="152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57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0">
        <v>46029</v>
      </c>
      <c r="B245" s="114" t="s">
        <v>30</v>
      </c>
      <c r="C245" s="152" t="s">
        <v>265</v>
      </c>
      <c r="D245" s="39" t="s">
        <v>265</v>
      </c>
      <c r="E245" s="40" t="s">
        <v>31</v>
      </c>
      <c r="F245" s="28">
        <v>0</v>
      </c>
      <c r="G245" s="170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58">
        <v>8.0000000000000002E-3</v>
      </c>
      <c r="M24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0">
        <v>46029</v>
      </c>
      <c r="B246" s="114" t="s">
        <v>30</v>
      </c>
      <c r="C246" s="152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0">
        <v>46029</v>
      </c>
      <c r="B247" s="114" t="s">
        <v>30</v>
      </c>
      <c r="C247" s="152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0"/>
      <c r="C248" s="152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0">
        <v>46030</v>
      </c>
      <c r="B249" s="114" t="s">
        <v>12</v>
      </c>
      <c r="C249" s="152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57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0">
        <v>46030</v>
      </c>
      <c r="B250" s="114" t="s">
        <v>29</v>
      </c>
      <c r="C250" s="152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57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0">
        <v>46030</v>
      </c>
      <c r="B251" s="114" t="s">
        <v>30</v>
      </c>
      <c r="C251" s="152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0">
        <v>46030</v>
      </c>
      <c r="B252" s="114" t="s">
        <v>30</v>
      </c>
      <c r="C252" s="152" t="s">
        <v>335</v>
      </c>
      <c r="D252" s="39" t="s">
        <v>336</v>
      </c>
      <c r="E252" s="40" t="s">
        <v>31</v>
      </c>
      <c r="F252" s="28">
        <v>0</v>
      </c>
      <c r="G252" s="170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58">
        <v>2.4E-2</v>
      </c>
      <c r="M2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0"/>
      <c r="C253" s="152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0">
        <v>46031</v>
      </c>
      <c r="B254" s="114" t="s">
        <v>12</v>
      </c>
      <c r="C254" s="152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57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0">
        <v>46031</v>
      </c>
      <c r="B255" s="114" t="s">
        <v>12</v>
      </c>
      <c r="C255" s="152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57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0">
        <v>46031</v>
      </c>
      <c r="B256" s="114" t="s">
        <v>12</v>
      </c>
      <c r="C256" s="152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57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0">
        <v>46031</v>
      </c>
      <c r="B257" s="114" t="s">
        <v>29</v>
      </c>
      <c r="C257" s="152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57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0">
        <v>46031</v>
      </c>
      <c r="B258" s="114" t="s">
        <v>30</v>
      </c>
      <c r="C258" s="152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0"/>
      <c r="C259" s="152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0">
        <v>46032</v>
      </c>
      <c r="B260" s="114" t="s">
        <v>12</v>
      </c>
      <c r="C260" s="152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57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0">
        <v>46032</v>
      </c>
      <c r="B261" s="114" t="s">
        <v>12</v>
      </c>
      <c r="C261" s="152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57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0"/>
      <c r="B262" s="114"/>
      <c r="C262" s="152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0">
        <v>46033</v>
      </c>
      <c r="B263" s="114" t="s">
        <v>12</v>
      </c>
      <c r="C263" s="152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57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0">
        <v>46033</v>
      </c>
      <c r="B264" s="114" t="s">
        <v>12</v>
      </c>
      <c r="C264" s="152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57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0"/>
      <c r="B265" s="114"/>
      <c r="C265" s="152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0">
        <v>46034</v>
      </c>
      <c r="B266" s="114" t="s">
        <v>12</v>
      </c>
      <c r="C266" s="152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57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0">
        <v>46034</v>
      </c>
      <c r="B267" s="114" t="s">
        <v>30</v>
      </c>
      <c r="C267" s="152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Row],[Ducto]],$D$1:$D$995,$L$1:$L$995)</f>
        <v>23.864000000000001</v>
      </c>
      <c r="M267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0"/>
      <c r="C268" s="152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0">
        <v>46035</v>
      </c>
      <c r="B269" s="114" t="s">
        <v>12</v>
      </c>
      <c r="C269" s="152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Row],[Ducto]],$D$1:$D$995,$L$1:$L$995)</f>
        <v>0.28699999999999998</v>
      </c>
      <c r="M269" s="257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0">
        <v>46035</v>
      </c>
      <c r="B270" s="114" t="s">
        <v>12</v>
      </c>
      <c r="C270" s="152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Row],[Ducto]],$D$1:$D$995,$L$1:$L$995)</f>
        <v>1.2E-2</v>
      </c>
      <c r="M270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0">
        <v>46035</v>
      </c>
      <c r="B271" s="114" t="s">
        <v>12</v>
      </c>
      <c r="C271" s="152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0">
        <v>46035</v>
      </c>
      <c r="B272" s="114" t="s">
        <v>12</v>
      </c>
      <c r="C272" s="152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0">
        <v>46035</v>
      </c>
      <c r="B273" s="114" t="s">
        <v>12</v>
      </c>
      <c r="C273" s="152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Row],[Ducto]],$D$1:$D$995,$L$1:$L$995)</f>
        <v>1.2E-2</v>
      </c>
      <c r="M273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0">
        <v>46035</v>
      </c>
      <c r="B274" s="114" t="s">
        <v>12</v>
      </c>
      <c r="C274" s="152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0">
        <v>46035</v>
      </c>
      <c r="B275" s="114" t="s">
        <v>12</v>
      </c>
      <c r="C275" s="152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57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0">
        <v>46035</v>
      </c>
      <c r="B276" s="114" t="s">
        <v>12</v>
      </c>
      <c r="C276" s="152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57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0">
        <v>46035</v>
      </c>
      <c r="B277" s="114" t="s">
        <v>12</v>
      </c>
      <c r="C277" s="152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57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0">
        <v>46035</v>
      </c>
      <c r="B278" s="114" t="s">
        <v>30</v>
      </c>
      <c r="C278" s="152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Row],[Ducto]],$D$1:$D$995,$L$1:$L$995)</f>
        <v>23.864000000000001</v>
      </c>
      <c r="M278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0"/>
      <c r="C279" s="152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0">
        <v>46036</v>
      </c>
      <c r="B280" s="114" t="s">
        <v>12</v>
      </c>
      <c r="C280" s="152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Row],[Ducto]],$D$1:$D$995,$L$1:$L$995)</f>
        <v>12.657</v>
      </c>
      <c r="M280" s="257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0">
        <v>46036</v>
      </c>
      <c r="B281" s="114" t="s">
        <v>30</v>
      </c>
      <c r="C281" s="152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Row],[Ducto]],$D$1:$D$995,$L$1:$L$995)</f>
        <v>23.864000000000001</v>
      </c>
      <c r="M281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0"/>
      <c r="C282" s="152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0">
        <v>46037</v>
      </c>
      <c r="B283" s="114" t="s">
        <v>12</v>
      </c>
      <c r="C283" s="152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Row],[Ducto]],$D$1:$D$995,$L$1:$L$995)</f>
        <v>12.657</v>
      </c>
      <c r="M283" s="257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0">
        <v>46037</v>
      </c>
      <c r="B284" s="114" t="s">
        <v>30</v>
      </c>
      <c r="C284" s="152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Row],[Ducto]],$D$1:$D$995,$L$1:$L$995)</f>
        <v>23.864000000000001</v>
      </c>
      <c r="M284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0"/>
      <c r="C285" s="152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0">
        <v>46038</v>
      </c>
      <c r="B286" s="114" t="s">
        <v>12</v>
      </c>
      <c r="C286" s="152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Row],[Ducto]],$D$1:$D$995,$L$1:$L$995)</f>
        <v>12.657</v>
      </c>
      <c r="M286" s="257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0">
        <v>46038</v>
      </c>
      <c r="B287" s="114" t="s">
        <v>12</v>
      </c>
      <c r="C287" s="152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Row],[Ducto]],$D$1:$D$995,$L$1:$L$995)</f>
        <v>2.2770000000000001</v>
      </c>
      <c r="M287" s="257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0">
        <v>46038</v>
      </c>
      <c r="B288" s="114" t="s">
        <v>30</v>
      </c>
      <c r="C288" s="152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Row],[Ducto]],$D$1:$D$995,$L$1:$L$995)</f>
        <v>23.864000000000001</v>
      </c>
      <c r="M288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0">
        <v>46038</v>
      </c>
      <c r="B289" s="114" t="s">
        <v>30</v>
      </c>
      <c r="C289" s="152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Row],[Ducto]],$D$1:$D$995,$L$1:$L$995)</f>
        <v>3.1E-2</v>
      </c>
      <c r="M28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0"/>
      <c r="B290" s="114"/>
      <c r="C290" s="152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0">
        <v>46039</v>
      </c>
      <c r="B291" s="114" t="s">
        <v>12</v>
      </c>
      <c r="C291" s="152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Row],[Ducto]],$D$1:$D$995,$L$1:$L$995)</f>
        <v>1.855</v>
      </c>
      <c r="M291" s="257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0">
        <v>46039</v>
      </c>
      <c r="B292" s="114" t="s">
        <v>30</v>
      </c>
      <c r="C292" s="152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Row],[Ducto]],$D$1:$D$995,$L$1:$L$995)</f>
        <v>23.864000000000001</v>
      </c>
      <c r="M292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0"/>
      <c r="B293" s="114"/>
      <c r="C293" s="152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0">
        <v>46040</v>
      </c>
      <c r="B294" s="114" t="s">
        <v>12</v>
      </c>
      <c r="C294" s="152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Row],[Ducto]],$D$1:$D$995,$L$1:$L$995)</f>
        <v>10.44422</v>
      </c>
      <c r="M294" s="257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0"/>
      <c r="B295" s="114"/>
      <c r="C295" s="152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0">
        <v>46041</v>
      </c>
      <c r="B296" s="114" t="s">
        <v>12</v>
      </c>
      <c r="C296" s="152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Row],[Ducto]],$D$1:$D$995,$L$1:$L$995)</f>
        <v>10.44422</v>
      </c>
      <c r="M296" s="257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0">
        <v>46041</v>
      </c>
      <c r="B297" s="114" t="s">
        <v>30</v>
      </c>
      <c r="C297" s="152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0">
        <v>46041</v>
      </c>
      <c r="B298" s="114" t="s">
        <v>30</v>
      </c>
      <c r="C298" s="152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0"/>
      <c r="B299" s="114"/>
      <c r="C299" s="152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0">
        <v>46042</v>
      </c>
      <c r="B300" s="114" t="s">
        <v>12</v>
      </c>
      <c r="C300" s="152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Row],[Ducto]],$D$1:$D$995,$L$1:$L$995)</f>
        <v>10.44422</v>
      </c>
      <c r="M300" s="257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0">
        <v>46042</v>
      </c>
      <c r="B301" s="114" t="s">
        <v>12</v>
      </c>
      <c r="C301" s="152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Row],[Ducto]],$D$1:$D$995,$L$1:$L$995)</f>
        <v>10.44422</v>
      </c>
      <c r="M301" s="257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0">
        <v>46042</v>
      </c>
      <c r="B302" s="114" t="s">
        <v>12</v>
      </c>
      <c r="C302" s="152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57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0">
        <v>46042</v>
      </c>
      <c r="B303" s="114" t="s">
        <v>12</v>
      </c>
      <c r="C303" s="152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57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0">
        <v>46042</v>
      </c>
      <c r="B304" s="114" t="s">
        <v>12</v>
      </c>
      <c r="C304" s="152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57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0">
        <v>46042</v>
      </c>
      <c r="B305" s="114" t="s">
        <v>30</v>
      </c>
      <c r="C305" s="152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0">
        <v>46042</v>
      </c>
      <c r="B306" s="114" t="s">
        <v>30</v>
      </c>
      <c r="C306" s="152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57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0">
        <v>46042</v>
      </c>
      <c r="B307" s="114" t="s">
        <v>30</v>
      </c>
      <c r="C307" s="152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0">
        <v>46042</v>
      </c>
      <c r="B308" s="114" t="s">
        <v>30</v>
      </c>
      <c r="C308" s="152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0">
        <v>46042</v>
      </c>
      <c r="B309" s="114" t="s">
        <v>30</v>
      </c>
      <c r="C309" s="152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0"/>
      <c r="B310" s="114"/>
      <c r="C310" s="152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0">
        <v>46043</v>
      </c>
      <c r="B311" s="114" t="s">
        <v>30</v>
      </c>
      <c r="C311" s="152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0">
        <v>46043</v>
      </c>
      <c r="B312" s="114" t="s">
        <v>30</v>
      </c>
      <c r="C312" s="152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0"/>
      <c r="B313" s="114"/>
      <c r="C313" s="152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0">
        <v>46044</v>
      </c>
      <c r="B314" s="114" t="s">
        <v>30</v>
      </c>
      <c r="C314" s="152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0">
        <v>46044</v>
      </c>
      <c r="B315" s="114" t="s">
        <v>30</v>
      </c>
      <c r="C315" s="152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0">
        <v>46044</v>
      </c>
      <c r="B316" s="114" t="s">
        <v>30</v>
      </c>
      <c r="C316" s="152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0"/>
      <c r="B317" s="114"/>
      <c r="C317" s="152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0">
        <v>46045</v>
      </c>
      <c r="B318" s="114" t="s">
        <v>30</v>
      </c>
      <c r="C318" s="152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57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0"/>
      <c r="B319" s="114"/>
      <c r="C319" s="152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0">
        <v>46048</v>
      </c>
      <c r="B320" s="114" t="s">
        <v>30</v>
      </c>
      <c r="C320" s="152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0">
        <v>46048</v>
      </c>
      <c r="B321" s="114" t="s">
        <v>30</v>
      </c>
      <c r="C321" s="152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0">
        <v>46048</v>
      </c>
      <c r="B322" s="114" t="s">
        <v>30</v>
      </c>
      <c r="C322" s="152" t="s">
        <v>329</v>
      </c>
      <c r="D322" s="39" t="s">
        <v>254</v>
      </c>
      <c r="E322" s="40" t="s">
        <v>31</v>
      </c>
      <c r="F322" s="28">
        <v>0</v>
      </c>
      <c r="G322" s="170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58"/>
      <c r="M32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0">
        <v>46048</v>
      </c>
      <c r="B323" s="114" t="s">
        <v>30</v>
      </c>
      <c r="C323" s="152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0"/>
      <c r="B324" s="114"/>
      <c r="C324" s="152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0">
        <v>46049</v>
      </c>
      <c r="B325" s="114" t="s">
        <v>30</v>
      </c>
      <c r="C325" s="152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0"/>
      <c r="C326" s="152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1">
        <v>46050</v>
      </c>
      <c r="B327" s="196" t="s">
        <v>30</v>
      </c>
      <c r="C327" s="197" t="s">
        <v>329</v>
      </c>
      <c r="D327" s="198" t="s">
        <v>240</v>
      </c>
      <c r="E327" s="372" t="s">
        <v>31</v>
      </c>
      <c r="F327" s="199">
        <v>0</v>
      </c>
      <c r="G327" s="170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58"/>
      <c r="M32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0">
        <v>46050</v>
      </c>
      <c r="B328" s="114" t="s">
        <v>30</v>
      </c>
      <c r="C328" s="152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0">
        <v>46050</v>
      </c>
      <c r="B329" s="114" t="s">
        <v>30</v>
      </c>
      <c r="C329" s="152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0">
        <v>46050</v>
      </c>
      <c r="B330" s="114" t="s">
        <v>30</v>
      </c>
      <c r="C330" s="152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0">
        <v>46050</v>
      </c>
      <c r="B331" s="114" t="s">
        <v>30</v>
      </c>
      <c r="C331" s="152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0">
        <v>46050</v>
      </c>
      <c r="B332" s="114" t="s">
        <v>30</v>
      </c>
      <c r="C332" s="152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0"/>
      <c r="C333" s="152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0">
        <v>46051</v>
      </c>
      <c r="B334" s="114" t="s">
        <v>30</v>
      </c>
      <c r="C334" s="152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0">
        <v>46051</v>
      </c>
      <c r="B335" s="114" t="s">
        <v>30</v>
      </c>
      <c r="C335" s="152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0">
        <v>46051</v>
      </c>
      <c r="B336" s="114" t="s">
        <v>30</v>
      </c>
      <c r="C336" s="152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0">
        <v>46051</v>
      </c>
      <c r="B337" s="114" t="s">
        <v>30</v>
      </c>
      <c r="C337" s="152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0">
        <v>46051</v>
      </c>
      <c r="B338" s="114" t="s">
        <v>30</v>
      </c>
      <c r="C338" s="152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0">
        <v>46051</v>
      </c>
      <c r="B339" s="114" t="s">
        <v>30</v>
      </c>
      <c r="C339" s="152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0">
        <v>46051</v>
      </c>
      <c r="B340" s="114" t="s">
        <v>30</v>
      </c>
      <c r="C340" s="152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0"/>
      <c r="C341" s="152"/>
      <c r="D341" s="39"/>
      <c r="F341" s="28"/>
      <c r="G341" s="28"/>
      <c r="H341" s="220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0">
        <v>46057</v>
      </c>
      <c r="B342" s="114" t="s">
        <v>30</v>
      </c>
      <c r="C342" s="152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0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1">
        <v>46057</v>
      </c>
      <c r="B343" s="196" t="s">
        <v>30</v>
      </c>
      <c r="C343" s="197" t="s">
        <v>329</v>
      </c>
      <c r="D343" s="198" t="s">
        <v>340</v>
      </c>
      <c r="E343" s="372" t="s">
        <v>31</v>
      </c>
      <c r="F343" s="199">
        <v>0</v>
      </c>
      <c r="G343" s="170">
        <v>0</v>
      </c>
      <c r="H343" s="220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58"/>
      <c r="M34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0"/>
      <c r="C344" s="152"/>
      <c r="D344" s="39"/>
      <c r="F344" s="28"/>
      <c r="G344" s="28"/>
      <c r="H344" s="220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0">
        <v>46058</v>
      </c>
      <c r="B345" s="114" t="s">
        <v>30</v>
      </c>
      <c r="C345" s="152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0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0">
        <v>46058</v>
      </c>
      <c r="B346" s="114" t="s">
        <v>30</v>
      </c>
      <c r="C346" s="152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0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0"/>
      <c r="C347" s="152"/>
      <c r="D347" s="39"/>
      <c r="F347" s="28"/>
      <c r="G347" s="28"/>
      <c r="H347" s="220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0">
        <v>46062</v>
      </c>
      <c r="B348" s="114" t="s">
        <v>30</v>
      </c>
      <c r="C348" s="152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0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0"/>
      <c r="C349" s="152"/>
      <c r="D349" s="39"/>
      <c r="F349" s="28"/>
      <c r="G349" s="28"/>
      <c r="H349" s="220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0">
        <v>46063</v>
      </c>
      <c r="B350" s="114" t="s">
        <v>30</v>
      </c>
      <c r="C350" s="152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0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0">
        <v>46063</v>
      </c>
      <c r="B351" s="114" t="s">
        <v>30</v>
      </c>
      <c r="C351" s="152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0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1">
        <v>46063</v>
      </c>
      <c r="B352" s="196" t="s">
        <v>30</v>
      </c>
      <c r="C352" s="197" t="s">
        <v>329</v>
      </c>
      <c r="D352" s="198" t="s">
        <v>240</v>
      </c>
      <c r="E352" s="372" t="s">
        <v>31</v>
      </c>
      <c r="F352" s="199">
        <v>200</v>
      </c>
      <c r="G352" s="170">
        <v>200</v>
      </c>
      <c r="H352" s="220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58"/>
      <c r="M3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0"/>
      <c r="C353" s="152"/>
      <c r="D353" s="39"/>
      <c r="F353" s="28"/>
      <c r="G353" s="28"/>
      <c r="H353" s="220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0">
        <v>46064</v>
      </c>
      <c r="B354" s="114" t="s">
        <v>30</v>
      </c>
      <c r="C354" s="152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0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0">
        <v>46064</v>
      </c>
      <c r="B355" s="114" t="s">
        <v>30</v>
      </c>
      <c r="C355" s="152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0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1">
        <v>46064</v>
      </c>
      <c r="B356" s="196" t="s">
        <v>30</v>
      </c>
      <c r="C356" s="197" t="s">
        <v>329</v>
      </c>
      <c r="D356" s="198" t="s">
        <v>353</v>
      </c>
      <c r="E356" s="372" t="s">
        <v>31</v>
      </c>
      <c r="F356" s="199">
        <v>0</v>
      </c>
      <c r="G356" s="170">
        <v>0</v>
      </c>
      <c r="H356" s="220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58"/>
      <c r="M35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0"/>
      <c r="C357" s="152"/>
      <c r="D357" s="39"/>
      <c r="F357" s="28"/>
      <c r="G357" s="28"/>
      <c r="H357" s="220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1">
        <v>46065</v>
      </c>
      <c r="B358" s="196" t="s">
        <v>30</v>
      </c>
      <c r="C358" s="197" t="s">
        <v>411</v>
      </c>
      <c r="D358" s="198" t="s">
        <v>264</v>
      </c>
      <c r="E358" s="372" t="s">
        <v>31</v>
      </c>
      <c r="F358" s="199">
        <v>0</v>
      </c>
      <c r="G358" s="199">
        <v>2077</v>
      </c>
      <c r="H358" s="220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0"/>
      <c r="C359" s="152"/>
      <c r="D359" s="39"/>
      <c r="F359" s="28"/>
      <c r="G359" s="28"/>
      <c r="H359" s="220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0">
        <v>46111</v>
      </c>
      <c r="B360" s="114" t="s">
        <v>12</v>
      </c>
      <c r="C360" s="152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0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57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0">
        <v>46112</v>
      </c>
      <c r="B361" s="114" t="s">
        <v>12</v>
      </c>
      <c r="C361" s="152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0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57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0">
        <v>46113</v>
      </c>
      <c r="B362" s="114" t="s">
        <v>12</v>
      </c>
      <c r="C362" s="152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0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57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0">
        <v>46114</v>
      </c>
      <c r="B363" s="114" t="s">
        <v>12</v>
      </c>
      <c r="C363" s="152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0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57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0">
        <v>46115</v>
      </c>
      <c r="B364" s="114" t="s">
        <v>12</v>
      </c>
      <c r="C364" s="152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0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0">
        <v>46116</v>
      </c>
      <c r="B365" s="114" t="s">
        <v>12</v>
      </c>
      <c r="C365" s="152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0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57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0">
        <v>46119</v>
      </c>
      <c r="B366" s="114" t="s">
        <v>12</v>
      </c>
      <c r="C366" s="152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0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0">
        <v>46120</v>
      </c>
      <c r="B367" s="114" t="s">
        <v>12</v>
      </c>
      <c r="C367" s="152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0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0">
        <v>46120</v>
      </c>
      <c r="B368" s="114" t="s">
        <v>12</v>
      </c>
      <c r="C368" s="152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0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0">
        <v>46121</v>
      </c>
      <c r="B369" s="114" t="s">
        <v>12</v>
      </c>
      <c r="C369" s="152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0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57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0">
        <v>46122</v>
      </c>
      <c r="B370" s="114" t="s">
        <v>12</v>
      </c>
      <c r="C370" s="152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0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0">
        <v>46123</v>
      </c>
      <c r="B371" s="114" t="s">
        <v>12</v>
      </c>
      <c r="C371" s="152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0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0">
        <v>46123</v>
      </c>
      <c r="B372" s="114" t="s">
        <v>12</v>
      </c>
      <c r="C372" s="152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0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57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0">
        <v>46125</v>
      </c>
      <c r="B373" s="114" t="s">
        <v>12</v>
      </c>
      <c r="C373" s="152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0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57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0">
        <v>46126</v>
      </c>
      <c r="B374" s="114" t="s">
        <v>12</v>
      </c>
      <c r="C374" s="152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0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57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0">
        <v>46127</v>
      </c>
      <c r="B375" s="114" t="s">
        <v>12</v>
      </c>
      <c r="C375" s="152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0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57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0">
        <v>46128</v>
      </c>
      <c r="B376" s="114" t="s">
        <v>12</v>
      </c>
      <c r="C376" s="152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0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57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0"/>
      <c r="C377" s="152"/>
      <c r="D377" s="39"/>
      <c r="F377" s="28"/>
      <c r="G377" s="28"/>
      <c r="H377" s="220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0">
        <v>46135</v>
      </c>
      <c r="B378" s="114" t="s">
        <v>12</v>
      </c>
      <c r="C378" s="152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0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57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65" t="s">
        <v>462</v>
      </c>
      <c r="Q378" s="365" t="s">
        <v>463</v>
      </c>
      <c r="R378" s="365" t="s">
        <v>464</v>
      </c>
      <c r="S378" s="371" t="s">
        <v>465</v>
      </c>
      <c r="T378" s="371"/>
      <c r="U378" s="371"/>
      <c r="V378" s="371"/>
      <c r="W378" s="371"/>
    </row>
    <row r="379" spans="1:23" x14ac:dyDescent="0.25">
      <c r="A379" s="350">
        <v>46136</v>
      </c>
      <c r="B379" s="114" t="s">
        <v>12</v>
      </c>
      <c r="C379" s="152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0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57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68">
        <v>2950</v>
      </c>
      <c r="Q379" s="368">
        <v>3463</v>
      </c>
      <c r="R379" s="369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0">
        <v>46137</v>
      </c>
      <c r="B380" s="114" t="s">
        <v>12</v>
      </c>
      <c r="C380" s="152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0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57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68">
        <v>4210</v>
      </c>
      <c r="Q380" s="368">
        <v>4322</v>
      </c>
      <c r="R380" s="369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0">
        <v>46139</v>
      </c>
      <c r="B381" s="114" t="s">
        <v>12</v>
      </c>
      <c r="C381" s="152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0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57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68">
        <v>7076</v>
      </c>
      <c r="Q381" s="368">
        <v>7087</v>
      </c>
      <c r="R381" s="369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0">
        <v>46139</v>
      </c>
      <c r="B382" s="114" t="s">
        <v>12</v>
      </c>
      <c r="C382" s="152" t="s">
        <v>329</v>
      </c>
      <c r="D382" s="39" t="s">
        <v>212</v>
      </c>
      <c r="E382" s="40" t="s">
        <v>36</v>
      </c>
      <c r="F382" s="363">
        <v>18707</v>
      </c>
      <c r="G382" s="363">
        <v>18675</v>
      </c>
      <c r="H382" s="364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57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68">
        <v>8105</v>
      </c>
      <c r="Q382" s="368">
        <v>8113</v>
      </c>
      <c r="R382" s="369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0">
        <v>46139</v>
      </c>
      <c r="B383" s="114" t="s">
        <v>12</v>
      </c>
      <c r="C383" s="152" t="s">
        <v>329</v>
      </c>
      <c r="D383" s="39" t="s">
        <v>212</v>
      </c>
      <c r="E383" s="40" t="s">
        <v>36</v>
      </c>
      <c r="F383" s="363">
        <v>18786</v>
      </c>
      <c r="G383" s="363">
        <v>18716</v>
      </c>
      <c r="H383" s="364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57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68">
        <v>8522</v>
      </c>
      <c r="Q383" s="368">
        <v>8563</v>
      </c>
      <c r="R383" s="369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0">
        <v>46139</v>
      </c>
      <c r="B384" s="114" t="s">
        <v>12</v>
      </c>
      <c r="C384" s="152" t="s">
        <v>329</v>
      </c>
      <c r="D384" s="39" t="s">
        <v>212</v>
      </c>
      <c r="E384" s="40" t="s">
        <v>36</v>
      </c>
      <c r="F384" s="363">
        <v>18942</v>
      </c>
      <c r="G384" s="363">
        <v>18911</v>
      </c>
      <c r="H384" s="364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57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68">
        <v>8572</v>
      </c>
      <c r="Q384" s="368">
        <v>8654</v>
      </c>
      <c r="R384" s="369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0">
        <v>46139</v>
      </c>
      <c r="B385" s="114" t="s">
        <v>12</v>
      </c>
      <c r="C385" s="152" t="s">
        <v>329</v>
      </c>
      <c r="D385" s="39" t="s">
        <v>212</v>
      </c>
      <c r="E385" s="40" t="s">
        <v>36</v>
      </c>
      <c r="F385" s="363">
        <v>19445</v>
      </c>
      <c r="G385" s="363">
        <v>19422</v>
      </c>
      <c r="H385" s="364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57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68">
        <v>9915</v>
      </c>
      <c r="Q385" s="368">
        <v>10176</v>
      </c>
      <c r="R385" s="369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0">
        <v>46140</v>
      </c>
      <c r="B386" s="114" t="s">
        <v>12</v>
      </c>
      <c r="C386" s="152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0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57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68">
        <v>11788</v>
      </c>
      <c r="Q386" s="368">
        <v>11813</v>
      </c>
      <c r="R386" s="369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0">
        <v>46142</v>
      </c>
      <c r="B387" s="114" t="s">
        <v>12</v>
      </c>
      <c r="C387" s="152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0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57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68">
        <v>18675</v>
      </c>
      <c r="Q387" s="368">
        <v>18707</v>
      </c>
      <c r="R387" s="369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0">
        <v>46142</v>
      </c>
      <c r="B388" s="114" t="s">
        <v>12</v>
      </c>
      <c r="C388" s="152" t="s">
        <v>329</v>
      </c>
      <c r="D388" s="39" t="s">
        <v>212</v>
      </c>
      <c r="E388" s="40" t="s">
        <v>36</v>
      </c>
      <c r="F388" s="363">
        <v>20716</v>
      </c>
      <c r="G388" s="363">
        <v>20703</v>
      </c>
      <c r="H388" s="364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57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68">
        <v>18716</v>
      </c>
      <c r="Q388" s="368">
        <v>18786</v>
      </c>
      <c r="R388" s="369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0">
        <v>46142</v>
      </c>
      <c r="B389" s="114" t="s">
        <v>12</v>
      </c>
      <c r="C389" s="152" t="s">
        <v>329</v>
      </c>
      <c r="D389" s="39" t="s">
        <v>212</v>
      </c>
      <c r="E389" s="40" t="s">
        <v>36</v>
      </c>
      <c r="F389" s="363">
        <v>20780</v>
      </c>
      <c r="G389" s="363">
        <v>20730</v>
      </c>
      <c r="H389" s="364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57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68">
        <v>18911</v>
      </c>
      <c r="Q389" s="368">
        <v>18942</v>
      </c>
      <c r="R389" s="369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0">
        <v>46142</v>
      </c>
      <c r="B390" s="114" t="s">
        <v>12</v>
      </c>
      <c r="C390" s="152" t="s">
        <v>329</v>
      </c>
      <c r="D390" s="39" t="s">
        <v>212</v>
      </c>
      <c r="E390" s="40" t="s">
        <v>36</v>
      </c>
      <c r="F390" s="363">
        <v>20835</v>
      </c>
      <c r="G390" s="363">
        <v>20826</v>
      </c>
      <c r="H390" s="364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57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68">
        <v>19422</v>
      </c>
      <c r="Q390" s="368">
        <v>19445</v>
      </c>
      <c r="R390" s="369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0">
        <v>46142</v>
      </c>
      <c r="B391" s="114" t="s">
        <v>12</v>
      </c>
      <c r="C391" s="152" t="s">
        <v>329</v>
      </c>
      <c r="D391" s="39" t="s">
        <v>212</v>
      </c>
      <c r="E391" s="40" t="s">
        <v>36</v>
      </c>
      <c r="F391" s="363">
        <v>21023</v>
      </c>
      <c r="G391" s="363">
        <v>20984</v>
      </c>
      <c r="H391" s="364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57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68">
        <v>20703</v>
      </c>
      <c r="Q391" s="368">
        <v>20716</v>
      </c>
      <c r="R391" s="369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0">
        <v>46142</v>
      </c>
      <c r="B392" s="114" t="s">
        <v>12</v>
      </c>
      <c r="C392" s="152" t="s">
        <v>329</v>
      </c>
      <c r="D392" s="39" t="s">
        <v>212</v>
      </c>
      <c r="E392" s="40" t="s">
        <v>36</v>
      </c>
      <c r="F392" s="363">
        <v>21184</v>
      </c>
      <c r="G392" s="363">
        <v>21127</v>
      </c>
      <c r="H392" s="364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57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68">
        <v>20730</v>
      </c>
      <c r="Q392" s="368">
        <v>20780</v>
      </c>
      <c r="R392" s="369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0">
        <v>46143</v>
      </c>
      <c r="B393" s="114" t="s">
        <v>12</v>
      </c>
      <c r="C393" s="152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0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57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68">
        <v>20826</v>
      </c>
      <c r="Q393" s="368">
        <v>20835</v>
      </c>
      <c r="R393" s="369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0">
        <v>46143</v>
      </c>
      <c r="B394" s="114" t="s">
        <v>12</v>
      </c>
      <c r="C394" s="152" t="s">
        <v>329</v>
      </c>
      <c r="D394" s="39" t="s">
        <v>212</v>
      </c>
      <c r="E394" s="40" t="s">
        <v>36</v>
      </c>
      <c r="F394" s="363">
        <v>8113</v>
      </c>
      <c r="G394" s="363">
        <v>8105</v>
      </c>
      <c r="H394" s="364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57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68">
        <v>20984</v>
      </c>
      <c r="Q394" s="368">
        <v>21023</v>
      </c>
      <c r="R394" s="369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0">
        <v>46143</v>
      </c>
      <c r="B395" s="114" t="s">
        <v>12</v>
      </c>
      <c r="C395" s="152" t="s">
        <v>329</v>
      </c>
      <c r="D395" s="39" t="s">
        <v>212</v>
      </c>
      <c r="E395" s="40" t="s">
        <v>36</v>
      </c>
      <c r="F395" s="363">
        <v>8563</v>
      </c>
      <c r="G395" s="363">
        <v>8522</v>
      </c>
      <c r="H395" s="364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57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68">
        <v>21127</v>
      </c>
      <c r="Q395" s="368">
        <v>21184</v>
      </c>
      <c r="R395" s="369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0">
        <v>46143</v>
      </c>
      <c r="B396" s="114" t="s">
        <v>12</v>
      </c>
      <c r="C396" s="152" t="s">
        <v>329</v>
      </c>
      <c r="D396" s="39" t="s">
        <v>212</v>
      </c>
      <c r="E396" s="40" t="s">
        <v>36</v>
      </c>
      <c r="F396" s="363">
        <v>8654</v>
      </c>
      <c r="G396" s="363">
        <v>8572</v>
      </c>
      <c r="H396" s="364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57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68">
        <v>21253</v>
      </c>
      <c r="Q396" s="368">
        <v>21265</v>
      </c>
      <c r="R396" s="369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0"/>
      <c r="C397" s="152"/>
      <c r="D397" s="39"/>
      <c r="F397" s="28"/>
      <c r="G397" s="28"/>
      <c r="H397" s="220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57">
        <f>IF(Tabla1[[#This Row],[Avance_km]]&lt;&gt;"",Tabla1[[#This Row],[Avance_km]],Tabla1[[#This Row],[Avance_Med]])*_xlfn.XLOOKUP(Tabla1[[#This Row],[Codigo_actividad]],Catalogo!$B$6:$B$51,Catalogo!$F$6:$F$51,0)</f>
        <v>0</v>
      </c>
      <c r="P397" s="368">
        <v>21462</v>
      </c>
      <c r="Q397" s="368">
        <v>21466</v>
      </c>
      <c r="R397" s="369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0">
        <v>46146</v>
      </c>
      <c r="B398" s="114" t="s">
        <v>12</v>
      </c>
      <c r="C398" s="152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0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57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68">
        <v>24233</v>
      </c>
      <c r="Q398" s="368">
        <v>24240</v>
      </c>
      <c r="R398" s="369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0">
        <v>46147</v>
      </c>
      <c r="B399" s="114" t="s">
        <v>12</v>
      </c>
      <c r="C399" s="152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0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57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66"/>
      <c r="Q399" s="367" t="s">
        <v>93</v>
      </c>
      <c r="R399" s="370">
        <f>SUM(R379:R398)</f>
        <v>1400</v>
      </c>
    </row>
    <row r="400" spans="1:20" x14ac:dyDescent="0.25">
      <c r="A400" s="350">
        <v>46147</v>
      </c>
      <c r="B400" s="114" t="s">
        <v>12</v>
      </c>
      <c r="C400" s="152" t="s">
        <v>329</v>
      </c>
      <c r="D400" s="39" t="s">
        <v>212</v>
      </c>
      <c r="E400" s="40" t="s">
        <v>36</v>
      </c>
      <c r="F400" s="363">
        <v>7087</v>
      </c>
      <c r="G400" s="363">
        <v>7076</v>
      </c>
      <c r="H400" s="364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57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0">
        <v>46148</v>
      </c>
      <c r="B401" s="114" t="s">
        <v>12</v>
      </c>
      <c r="C401" s="152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0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57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0">
        <v>46148</v>
      </c>
      <c r="B402" s="114" t="s">
        <v>12</v>
      </c>
      <c r="C402" s="152" t="s">
        <v>329</v>
      </c>
      <c r="D402" s="39" t="s">
        <v>212</v>
      </c>
      <c r="E402" s="40" t="s">
        <v>36</v>
      </c>
      <c r="F402" s="363">
        <v>4322</v>
      </c>
      <c r="G402" s="363">
        <v>4210</v>
      </c>
      <c r="H402" s="364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57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0"/>
      <c r="B403" s="114"/>
      <c r="C403" s="152"/>
      <c r="D403" s="39"/>
      <c r="F403" s="28"/>
      <c r="G403" s="28"/>
      <c r="H403" s="220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0"/>
      <c r="B404" s="114"/>
      <c r="C404" s="152"/>
      <c r="D404" s="39"/>
      <c r="F404" s="28"/>
      <c r="G404" s="28"/>
      <c r="H404" s="220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0">
        <v>46149</v>
      </c>
      <c r="B405" s="114" t="s">
        <v>12</v>
      </c>
      <c r="C405" s="152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0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57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0">
        <v>46149</v>
      </c>
      <c r="B406" s="114" t="s">
        <v>12</v>
      </c>
      <c r="C406" s="152" t="s">
        <v>329</v>
      </c>
      <c r="D406" s="39" t="s">
        <v>212</v>
      </c>
      <c r="E406" s="40" t="s">
        <v>36</v>
      </c>
      <c r="F406" s="363">
        <v>3463</v>
      </c>
      <c r="G406" s="363">
        <v>2950</v>
      </c>
      <c r="H406" s="364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57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0">
        <v>46150</v>
      </c>
      <c r="B407" s="114" t="s">
        <v>12</v>
      </c>
      <c r="C407" s="152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0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57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0">
        <v>46150</v>
      </c>
      <c r="B408" s="114" t="s">
        <v>12</v>
      </c>
      <c r="C408" s="152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0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57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0">
        <v>46150</v>
      </c>
      <c r="B409" s="114" t="s">
        <v>12</v>
      </c>
      <c r="C409" s="152" t="s">
        <v>329</v>
      </c>
      <c r="D409" s="39" t="s">
        <v>212</v>
      </c>
      <c r="E409" s="40" t="s">
        <v>36</v>
      </c>
      <c r="F409" s="363">
        <v>10176</v>
      </c>
      <c r="G409" s="363">
        <v>9915</v>
      </c>
      <c r="H409" s="364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57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0">
        <v>46151</v>
      </c>
      <c r="B410" s="114" t="s">
        <v>12</v>
      </c>
      <c r="C410" s="152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0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57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0"/>
      <c r="C411" s="152"/>
      <c r="D411" s="39"/>
      <c r="F411" s="28"/>
      <c r="G411" s="28"/>
      <c r="H411" s="220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0">
        <v>46153</v>
      </c>
      <c r="B412" s="114" t="s">
        <v>12</v>
      </c>
      <c r="C412" s="152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0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57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0">
        <v>46153</v>
      </c>
      <c r="B413" s="114" t="s">
        <v>12</v>
      </c>
      <c r="C413" s="152" t="s">
        <v>329</v>
      </c>
      <c r="D413" s="39" t="s">
        <v>212</v>
      </c>
      <c r="E413" s="40" t="s">
        <v>36</v>
      </c>
      <c r="F413" s="363">
        <v>11813</v>
      </c>
      <c r="G413" s="363">
        <v>11788</v>
      </c>
      <c r="H413" s="364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57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0">
        <v>46154</v>
      </c>
      <c r="B414" s="114" t="s">
        <v>12</v>
      </c>
      <c r="C414" s="152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0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57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0">
        <v>46155</v>
      </c>
      <c r="B415" s="114" t="s">
        <v>12</v>
      </c>
      <c r="C415" s="152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0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57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48"/>
      <c r="R415" s="348"/>
    </row>
    <row r="416" spans="1:18" x14ac:dyDescent="0.25">
      <c r="A416" s="350">
        <v>46156</v>
      </c>
      <c r="B416" s="114" t="s">
        <v>12</v>
      </c>
      <c r="C416" s="152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0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57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48"/>
    </row>
    <row r="417" spans="1:17" x14ac:dyDescent="0.25">
      <c r="A417" s="350">
        <v>46157</v>
      </c>
      <c r="B417" s="114" t="s">
        <v>12</v>
      </c>
      <c r="C417" s="152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0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57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0">
        <v>46158</v>
      </c>
      <c r="B418" s="114" t="s">
        <v>12</v>
      </c>
      <c r="C418" s="152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0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57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0"/>
      <c r="C419" s="152"/>
      <c r="D419" s="39"/>
      <c r="F419" s="28"/>
      <c r="G419" s="28"/>
      <c r="H419" s="220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0">
        <v>46160</v>
      </c>
      <c r="B420" s="114" t="s">
        <v>12</v>
      </c>
      <c r="C420" s="152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0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57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0">
        <v>46160</v>
      </c>
      <c r="B421" s="114" t="s">
        <v>12</v>
      </c>
      <c r="C421" s="152" t="s">
        <v>329</v>
      </c>
      <c r="D421" s="39" t="s">
        <v>212</v>
      </c>
      <c r="E421" s="40" t="s">
        <v>36</v>
      </c>
      <c r="F421" s="363">
        <v>21265</v>
      </c>
      <c r="G421" s="363">
        <v>21253</v>
      </c>
      <c r="H421" s="364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57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0">
        <v>46160</v>
      </c>
      <c r="B422" s="114" t="s">
        <v>12</v>
      </c>
      <c r="C422" s="152" t="s">
        <v>329</v>
      </c>
      <c r="D422" s="39" t="s">
        <v>212</v>
      </c>
      <c r="E422" s="40" t="s">
        <v>36</v>
      </c>
      <c r="F422" s="363">
        <v>21466</v>
      </c>
      <c r="G422" s="363">
        <v>21462</v>
      </c>
      <c r="H422" s="364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57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0">
        <v>46161</v>
      </c>
      <c r="B423" s="114" t="s">
        <v>12</v>
      </c>
      <c r="C423" s="152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0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57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0">
        <v>46161</v>
      </c>
      <c r="B424" s="114" t="s">
        <v>12</v>
      </c>
      <c r="C424" s="152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0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57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0">
        <v>46162</v>
      </c>
      <c r="B425" s="114" t="s">
        <v>12</v>
      </c>
      <c r="C425" s="152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0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57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0">
        <v>46162</v>
      </c>
      <c r="B426" s="114" t="s">
        <v>12</v>
      </c>
      <c r="C426" s="152" t="s">
        <v>329</v>
      </c>
      <c r="D426" s="39" t="s">
        <v>212</v>
      </c>
      <c r="E426" s="40" t="s">
        <v>36</v>
      </c>
      <c r="F426" s="363">
        <v>24240</v>
      </c>
      <c r="G426" s="363">
        <v>24233</v>
      </c>
      <c r="H426" s="364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57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0">
        <v>46163</v>
      </c>
      <c r="B427" s="114" t="s">
        <v>12</v>
      </c>
      <c r="C427" s="152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0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57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0">
        <v>46164</v>
      </c>
      <c r="B428" s="114" t="s">
        <v>12</v>
      </c>
      <c r="C428" s="152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0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57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0">
        <v>46165</v>
      </c>
      <c r="B429" s="114" t="s">
        <v>12</v>
      </c>
      <c r="C429" s="152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0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57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0"/>
      <c r="C430" s="152"/>
      <c r="D430" s="39"/>
      <c r="F430" s="28"/>
      <c r="G430" s="28"/>
      <c r="H430" s="220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0">
        <v>46167</v>
      </c>
      <c r="B431" s="114" t="s">
        <v>12</v>
      </c>
      <c r="C431" s="152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0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57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85">
        <v>0</v>
      </c>
      <c r="Q431" s="385">
        <v>2410</v>
      </c>
    </row>
    <row r="432" spans="1:17" x14ac:dyDescent="0.25">
      <c r="A432" s="350">
        <v>46167</v>
      </c>
      <c r="B432" s="114" t="s">
        <v>12</v>
      </c>
      <c r="C432" s="152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0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57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85">
        <v>2410</v>
      </c>
      <c r="Q432" s="385">
        <v>4336</v>
      </c>
    </row>
    <row r="433" spans="1:18" x14ac:dyDescent="0.25">
      <c r="A433" s="350">
        <v>46167</v>
      </c>
      <c r="B433" s="114" t="s">
        <v>12</v>
      </c>
      <c r="C433" s="152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0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57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85">
        <v>4336</v>
      </c>
      <c r="Q433" s="385">
        <v>6908</v>
      </c>
    </row>
    <row r="434" spans="1:18" x14ac:dyDescent="0.25">
      <c r="A434" s="350">
        <v>46168</v>
      </c>
      <c r="B434" s="114" t="s">
        <v>12</v>
      </c>
      <c r="C434" s="152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0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57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85">
        <v>6908</v>
      </c>
      <c r="Q434" s="385">
        <v>9461</v>
      </c>
    </row>
    <row r="435" spans="1:18" x14ac:dyDescent="0.25">
      <c r="A435" s="350">
        <v>46169</v>
      </c>
      <c r="B435" s="114" t="s">
        <v>12</v>
      </c>
      <c r="C435" s="152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57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85"/>
      <c r="Q435" s="385"/>
    </row>
    <row r="436" spans="1:18" x14ac:dyDescent="0.25">
      <c r="A436" s="350">
        <v>46170</v>
      </c>
      <c r="B436" s="114" t="s">
        <v>12</v>
      </c>
      <c r="C436" s="152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57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85">
        <v>9461</v>
      </c>
      <c r="Q436" s="385">
        <v>11253</v>
      </c>
    </row>
    <row r="437" spans="1:18" x14ac:dyDescent="0.25">
      <c r="A437" s="350">
        <v>46170</v>
      </c>
      <c r="B437" s="114" t="s">
        <v>12</v>
      </c>
      <c r="C437" s="152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0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57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85">
        <v>11253</v>
      </c>
      <c r="Q437" s="385">
        <v>13245</v>
      </c>
    </row>
    <row r="438" spans="1:18" x14ac:dyDescent="0.25">
      <c r="A438" s="350">
        <v>46171</v>
      </c>
      <c r="B438" s="114" t="s">
        <v>12</v>
      </c>
      <c r="C438" s="152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57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85">
        <v>13245</v>
      </c>
      <c r="Q438" s="385">
        <v>15238</v>
      </c>
    </row>
    <row r="439" spans="1:18" x14ac:dyDescent="0.25">
      <c r="A439" s="350">
        <v>46171</v>
      </c>
      <c r="B439" s="114" t="s">
        <v>12</v>
      </c>
      <c r="C439" s="152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57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85">
        <v>15238</v>
      </c>
      <c r="Q439" s="385">
        <v>15605</v>
      </c>
    </row>
    <row r="440" spans="1:18" x14ac:dyDescent="0.25">
      <c r="A440" s="350">
        <v>46171</v>
      </c>
      <c r="B440" s="114" t="s">
        <v>12</v>
      </c>
      <c r="C440" s="152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85">
        <v>15605</v>
      </c>
      <c r="Q440" s="385">
        <v>16617</v>
      </c>
      <c r="R440" s="348"/>
    </row>
    <row r="441" spans="1:18" x14ac:dyDescent="0.25">
      <c r="A441" s="350">
        <v>46171</v>
      </c>
      <c r="B441" s="114" t="s">
        <v>12</v>
      </c>
      <c r="C441" s="152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0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57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85">
        <v>16617</v>
      </c>
      <c r="Q441" s="385">
        <v>17605</v>
      </c>
    </row>
    <row r="442" spans="1:18" x14ac:dyDescent="0.25">
      <c r="A442" s="350">
        <v>46172</v>
      </c>
      <c r="B442" s="114" t="s">
        <v>12</v>
      </c>
      <c r="C442" s="152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0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57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85">
        <v>17605</v>
      </c>
      <c r="Q442" s="385">
        <v>17932</v>
      </c>
    </row>
    <row r="443" spans="1:18" x14ac:dyDescent="0.25">
      <c r="A443" s="350"/>
      <c r="C443" s="152"/>
      <c r="D443" s="39"/>
      <c r="F443" s="28"/>
      <c r="G443" s="28"/>
      <c r="H443" s="220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57">
        <f>IF(Tabla1[[#This Row],[Avance_km]]&lt;&gt;"",Tabla1[[#This Row],[Avance_km]],Tabla1[[#This Row],[Avance_Med]])*_xlfn.XLOOKUP(Tabla1[[#This Row],[Codigo_actividad]],Catalogo!$B$6:$B$51,Catalogo!$F$6:$F$51,0)</f>
        <v>0</v>
      </c>
      <c r="P443" s="385">
        <v>17932</v>
      </c>
      <c r="Q443" s="385">
        <v>18406</v>
      </c>
    </row>
    <row r="444" spans="1:18" x14ac:dyDescent="0.25">
      <c r="A444" s="350">
        <v>46174</v>
      </c>
      <c r="B444" s="114" t="s">
        <v>12</v>
      </c>
      <c r="C444" s="152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0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57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85">
        <v>18406</v>
      </c>
      <c r="Q444" s="385">
        <v>18873</v>
      </c>
      <c r="R444" s="348"/>
    </row>
    <row r="445" spans="1:18" x14ac:dyDescent="0.25">
      <c r="A445" s="350">
        <v>46175</v>
      </c>
      <c r="B445" s="114" t="s">
        <v>12</v>
      </c>
      <c r="C445" s="152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0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57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85">
        <v>18873</v>
      </c>
      <c r="Q445" s="385">
        <v>19571</v>
      </c>
      <c r="R445" s="348"/>
    </row>
    <row r="446" spans="1:18" x14ac:dyDescent="0.25">
      <c r="A446" s="350">
        <v>46176</v>
      </c>
      <c r="B446" s="114" t="s">
        <v>12</v>
      </c>
      <c r="C446" s="152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0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57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85">
        <v>19571</v>
      </c>
      <c r="Q446" s="385">
        <v>19731</v>
      </c>
    </row>
    <row r="447" spans="1:18" x14ac:dyDescent="0.25">
      <c r="A447" s="350">
        <v>46176</v>
      </c>
      <c r="B447" s="114" t="s">
        <v>12</v>
      </c>
      <c r="C447" s="152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0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57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85">
        <v>19731</v>
      </c>
      <c r="Q447" s="385">
        <v>20170</v>
      </c>
    </row>
    <row r="448" spans="1:18" x14ac:dyDescent="0.25">
      <c r="A448" s="350">
        <v>46177</v>
      </c>
      <c r="B448" s="114" t="s">
        <v>12</v>
      </c>
      <c r="C448" s="152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0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57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85">
        <v>20170</v>
      </c>
      <c r="Q448" s="385">
        <v>20312</v>
      </c>
    </row>
    <row r="449" spans="1:17" x14ac:dyDescent="0.25">
      <c r="A449" s="350">
        <v>46177</v>
      </c>
      <c r="B449" s="114" t="s">
        <v>12</v>
      </c>
      <c r="C449" s="152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0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57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85">
        <v>20312</v>
      </c>
      <c r="Q449" s="385">
        <v>21184</v>
      </c>
    </row>
    <row r="450" spans="1:17" x14ac:dyDescent="0.25">
      <c r="A450" s="350">
        <v>46178</v>
      </c>
      <c r="B450" s="114" t="s">
        <v>12</v>
      </c>
      <c r="C450" s="152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0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57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85">
        <v>21184</v>
      </c>
      <c r="Q450" s="385">
        <v>21466</v>
      </c>
    </row>
    <row r="451" spans="1:17" x14ac:dyDescent="0.25">
      <c r="A451" s="350">
        <v>46178</v>
      </c>
      <c r="B451" s="114" t="s">
        <v>12</v>
      </c>
      <c r="C451" s="152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0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57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85">
        <v>21466</v>
      </c>
      <c r="Q451" s="385">
        <v>22255</v>
      </c>
    </row>
    <row r="452" spans="1:17" x14ac:dyDescent="0.25">
      <c r="A452" s="350">
        <v>46178</v>
      </c>
      <c r="B452" s="114" t="s">
        <v>12</v>
      </c>
      <c r="C452" s="152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0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57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85">
        <v>22255</v>
      </c>
      <c r="Q452" s="385">
        <v>22858</v>
      </c>
    </row>
    <row r="453" spans="1:17" x14ac:dyDescent="0.25">
      <c r="A453" s="350">
        <v>46179</v>
      </c>
      <c r="B453" s="114" t="s">
        <v>12</v>
      </c>
      <c r="C453" s="152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0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57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85">
        <v>22858</v>
      </c>
      <c r="Q453" s="385">
        <v>24240</v>
      </c>
    </row>
    <row r="454" spans="1:17" x14ac:dyDescent="0.25">
      <c r="A454" s="350"/>
      <c r="C454" s="152"/>
      <c r="D454" s="39"/>
      <c r="F454" s="28"/>
      <c r="G454" s="28"/>
      <c r="H454" s="220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57">
        <f>IF(Tabla1[[#This Row],[Avance_km]]&lt;&gt;"",Tabla1[[#This Row],[Avance_km]],Tabla1[[#This Row],[Avance_Med]])*_xlfn.XLOOKUP(Tabla1[[#This Row],[Codigo_actividad]],Catalogo!$B$6:$B$51,Catalogo!$F$6:$F$51,0)</f>
        <v>0</v>
      </c>
      <c r="P454" s="385">
        <v>24240</v>
      </c>
      <c r="Q454" s="385">
        <v>24842</v>
      </c>
    </row>
    <row r="455" spans="1:17" x14ac:dyDescent="0.25">
      <c r="A455" s="350">
        <v>46181</v>
      </c>
      <c r="B455" s="114" t="s">
        <v>12</v>
      </c>
      <c r="C455" s="152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0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57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0">
        <v>46182</v>
      </c>
      <c r="B456" s="114" t="s">
        <v>12</v>
      </c>
      <c r="C456" s="152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0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57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0">
        <v>46182</v>
      </c>
      <c r="B457" s="114" t="s">
        <v>12</v>
      </c>
      <c r="C457" s="152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0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57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0">
        <v>46183</v>
      </c>
      <c r="B458" s="114" t="s">
        <v>12</v>
      </c>
      <c r="C458" s="152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0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57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0">
        <v>46183</v>
      </c>
      <c r="B459" s="114" t="s">
        <v>12</v>
      </c>
      <c r="C459" s="152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0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57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0">
        <v>46183</v>
      </c>
      <c r="B460" s="114" t="s">
        <v>12</v>
      </c>
      <c r="C460" s="152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0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57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0">
        <v>46184</v>
      </c>
      <c r="B461" s="114" t="s">
        <v>12</v>
      </c>
      <c r="C461" s="152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0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57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0">
        <v>46184</v>
      </c>
      <c r="B462" s="114" t="s">
        <v>12</v>
      </c>
      <c r="C462" s="152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0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57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0">
        <v>46185</v>
      </c>
      <c r="B463" s="114" t="s">
        <v>12</v>
      </c>
      <c r="C463" s="152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0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57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0"/>
      <c r="C464" s="152"/>
      <c r="D464" s="39"/>
      <c r="F464" s="28"/>
      <c r="G464" s="28"/>
      <c r="H464" s="220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0">
        <v>46188</v>
      </c>
      <c r="B465" s="114" t="s">
        <v>12</v>
      </c>
      <c r="C465" s="152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0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57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0">
        <v>46189</v>
      </c>
      <c r="B466" s="114" t="s">
        <v>12</v>
      </c>
      <c r="C466" s="152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0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57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0">
        <v>46190</v>
      </c>
      <c r="B467" s="114" t="s">
        <v>12</v>
      </c>
      <c r="C467" s="152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0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57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0">
        <v>46191</v>
      </c>
      <c r="B468" s="114" t="s">
        <v>12</v>
      </c>
      <c r="C468" s="152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0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57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0">
        <v>46191</v>
      </c>
      <c r="B469" s="114" t="s">
        <v>12</v>
      </c>
      <c r="C469" s="152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0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57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0">
        <v>46192</v>
      </c>
      <c r="B470" s="114" t="s">
        <v>12</v>
      </c>
      <c r="C470" s="152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57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0">
        <v>46192</v>
      </c>
      <c r="B471" s="114" t="s">
        <v>12</v>
      </c>
      <c r="C471" s="152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0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57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0">
        <v>46192</v>
      </c>
      <c r="B472" s="114" t="s">
        <v>12</v>
      </c>
      <c r="C472" s="152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0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57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0">
        <v>46192</v>
      </c>
      <c r="B473" s="114" t="s">
        <v>12</v>
      </c>
      <c r="C473" s="152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0">
        <v>46192</v>
      </c>
      <c r="B474" s="114" t="s">
        <v>12</v>
      </c>
      <c r="C474" s="152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0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57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0">
        <v>46193</v>
      </c>
      <c r="B475" s="114" t="s">
        <v>12</v>
      </c>
      <c r="C475" s="152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0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57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0">
        <v>46193</v>
      </c>
      <c r="B476" s="114" t="s">
        <v>12</v>
      </c>
      <c r="C476" s="152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0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57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0"/>
      <c r="C477" s="152"/>
      <c r="D477" s="39"/>
      <c r="F477" s="28"/>
      <c r="G477" s="28"/>
      <c r="H477" s="220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0">
        <v>46195</v>
      </c>
      <c r="B478" s="114" t="s">
        <v>12</v>
      </c>
      <c r="C478" s="152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0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57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0">
        <v>46195</v>
      </c>
      <c r="B479" s="114" t="s">
        <v>12</v>
      </c>
      <c r="C479" s="152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0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0">
        <v>46195</v>
      </c>
      <c r="B480" s="114" t="s">
        <v>12</v>
      </c>
      <c r="C480" s="152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57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0">
        <v>46196</v>
      </c>
      <c r="B481" s="114" t="s">
        <v>12</v>
      </c>
      <c r="C481" s="152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0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57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0">
        <v>46196</v>
      </c>
      <c r="B482" s="114" t="s">
        <v>12</v>
      </c>
      <c r="C482" s="152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0">
        <v>46196</v>
      </c>
      <c r="B483" s="114" t="s">
        <v>12</v>
      </c>
      <c r="C483" s="152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0">
        <v>46198</v>
      </c>
      <c r="B484" s="114" t="s">
        <v>12</v>
      </c>
      <c r="C484" s="152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0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57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0">
        <v>46198</v>
      </c>
      <c r="B485" s="114" t="s">
        <v>12</v>
      </c>
      <c r="C485" s="152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57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0">
        <v>46198</v>
      </c>
      <c r="B486" s="114" t="s">
        <v>12</v>
      </c>
      <c r="C486" s="152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57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0">
        <v>46198</v>
      </c>
      <c r="B487" s="114" t="s">
        <v>12</v>
      </c>
      <c r="C487" s="152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57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0">
        <v>46198</v>
      </c>
      <c r="B488" s="114" t="s">
        <v>12</v>
      </c>
      <c r="C488" s="152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57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0">
        <v>46199</v>
      </c>
      <c r="B489" s="114" t="s">
        <v>12</v>
      </c>
      <c r="C489" s="152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0">
        <v>46199</v>
      </c>
      <c r="B490" s="114" t="s">
        <v>12</v>
      </c>
      <c r="C490" s="152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0">
        <v>46199</v>
      </c>
      <c r="B491" s="114" t="s">
        <v>12</v>
      </c>
      <c r="C491" s="152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0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57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0">
        <v>46199</v>
      </c>
      <c r="B492" s="114" t="s">
        <v>12</v>
      </c>
      <c r="C492" s="152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0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57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0">
        <v>46200</v>
      </c>
      <c r="B493" s="114" t="s">
        <v>12</v>
      </c>
      <c r="C493" s="152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0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57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0">
        <v>46200</v>
      </c>
      <c r="B494" s="114" t="s">
        <v>12</v>
      </c>
      <c r="C494" s="152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57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0">
        <v>46200</v>
      </c>
      <c r="B495" s="114" t="s">
        <v>12</v>
      </c>
      <c r="C495" s="152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66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57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0"/>
      <c r="C496" s="152"/>
      <c r="D496" s="39"/>
      <c r="F496" s="28"/>
      <c r="G496" s="28"/>
      <c r="H496" s="220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0">
        <v>46202</v>
      </c>
      <c r="B497" s="114" t="s">
        <v>12</v>
      </c>
      <c r="C497" s="152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0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57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0">
        <v>46203</v>
      </c>
      <c r="B498" s="114" t="s">
        <v>12</v>
      </c>
      <c r="C498" s="152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0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57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0">
        <v>46203</v>
      </c>
      <c r="B499" s="114" t="s">
        <v>12</v>
      </c>
      <c r="C499" s="152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0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57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0">
        <v>46204</v>
      </c>
      <c r="B500" s="114" t="s">
        <v>12</v>
      </c>
      <c r="C500" s="152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0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57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0">
        <v>46204</v>
      </c>
      <c r="B501" s="114" t="s">
        <v>12</v>
      </c>
      <c r="C501" s="152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0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57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0">
        <v>46204</v>
      </c>
      <c r="B502" s="114" t="s">
        <v>12</v>
      </c>
      <c r="C502" s="152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57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0">
        <v>46205</v>
      </c>
      <c r="B503" s="114" t="s">
        <v>12</v>
      </c>
      <c r="C503" s="152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0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57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0">
        <v>46205</v>
      </c>
      <c r="B504" s="114" t="s">
        <v>12</v>
      </c>
      <c r="C504" s="152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0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57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0">
        <v>46206</v>
      </c>
      <c r="B505" s="114" t="s">
        <v>12</v>
      </c>
      <c r="C505" s="152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0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57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0">
        <v>46206</v>
      </c>
      <c r="B506" s="114" t="s">
        <v>12</v>
      </c>
      <c r="C506" s="152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57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0">
        <v>46207</v>
      </c>
      <c r="B507" s="114" t="s">
        <v>12</v>
      </c>
      <c r="C507" s="152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0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57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0"/>
      <c r="C508" s="152"/>
      <c r="D508" s="39"/>
      <c r="F508" s="28"/>
      <c r="G508" s="28"/>
      <c r="H508" s="220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57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0"/>
      <c r="C509" s="152"/>
      <c r="D509" s="39"/>
      <c r="F509" s="28"/>
      <c r="G509" s="28"/>
      <c r="H509" s="220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57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0">
        <v>46209</v>
      </c>
      <c r="B510" s="114" t="s">
        <v>12</v>
      </c>
      <c r="C510" s="152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0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57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0">
        <v>46210</v>
      </c>
      <c r="B511" s="114" t="s">
        <v>12</v>
      </c>
      <c r="C511" s="152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0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57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0">
        <v>46211</v>
      </c>
      <c r="B512" s="114" t="s">
        <v>12</v>
      </c>
      <c r="C512" s="152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57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0">
        <v>46211</v>
      </c>
      <c r="B513" s="114" t="s">
        <v>12</v>
      </c>
      <c r="C513" s="152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0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57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0">
        <v>46212</v>
      </c>
      <c r="B514" s="114" t="s">
        <v>12</v>
      </c>
      <c r="C514" s="152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0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57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0">
        <v>46212</v>
      </c>
      <c r="B515" s="114" t="s">
        <v>12</v>
      </c>
      <c r="C515" s="152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0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57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0">
        <v>46212</v>
      </c>
      <c r="B516" s="114" t="s">
        <v>12</v>
      </c>
      <c r="C516" s="152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0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57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0">
        <v>46213</v>
      </c>
      <c r="B517" s="114" t="s">
        <v>12</v>
      </c>
      <c r="C517" s="152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0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57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0">
        <v>46214</v>
      </c>
      <c r="B518" s="114" t="s">
        <v>12</v>
      </c>
      <c r="C518" s="152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0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57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85">
        <v>0</v>
      </c>
      <c r="Q518" s="385">
        <v>500</v>
      </c>
    </row>
    <row r="519" spans="1:17" x14ac:dyDescent="0.25">
      <c r="A519" s="350">
        <v>46214</v>
      </c>
      <c r="B519" s="114" t="s">
        <v>12</v>
      </c>
      <c r="C519" s="152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0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57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85">
        <v>500</v>
      </c>
      <c r="Q519" s="385">
        <v>2200</v>
      </c>
    </row>
    <row r="520" spans="1:17" x14ac:dyDescent="0.25">
      <c r="A520" s="350">
        <v>46215</v>
      </c>
      <c r="B520" s="114" t="s">
        <v>12</v>
      </c>
      <c r="C520" s="152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0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57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85">
        <v>2200</v>
      </c>
      <c r="Q520" s="385">
        <v>3400</v>
      </c>
    </row>
    <row r="521" spans="1:17" x14ac:dyDescent="0.25">
      <c r="A521" s="350"/>
      <c r="C521" s="152"/>
      <c r="D521" s="39"/>
      <c r="F521" s="28"/>
      <c r="G521" s="28"/>
      <c r="H521" s="220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57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85">
        <v>3400</v>
      </c>
      <c r="Q521" s="385">
        <v>5750</v>
      </c>
    </row>
    <row r="522" spans="1:17" x14ac:dyDescent="0.25">
      <c r="A522" s="350">
        <v>46216</v>
      </c>
      <c r="B522" s="114" t="s">
        <v>12</v>
      </c>
      <c r="C522" s="152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0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57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0">
        <v>46217</v>
      </c>
      <c r="B523" s="114" t="s">
        <v>12</v>
      </c>
      <c r="C523" s="152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0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57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0">
        <v>46218</v>
      </c>
      <c r="B524" s="114" t="s">
        <v>12</v>
      </c>
      <c r="C524" s="152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0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57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0">
        <v>46219</v>
      </c>
      <c r="B525" s="114" t="s">
        <v>12</v>
      </c>
      <c r="C525" s="152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57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0">
        <v>46219</v>
      </c>
      <c r="B526" s="114" t="s">
        <v>12</v>
      </c>
      <c r="C526" s="152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57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0">
        <v>46219</v>
      </c>
      <c r="B527" s="114" t="s">
        <v>12</v>
      </c>
      <c r="C527" s="152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0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57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0">
        <v>46219</v>
      </c>
      <c r="B528" s="114" t="s">
        <v>12</v>
      </c>
      <c r="C528" s="152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57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0">
        <v>46219</v>
      </c>
      <c r="B529" s="114" t="s">
        <v>12</v>
      </c>
      <c r="C529" s="152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57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0">
        <v>46219</v>
      </c>
      <c r="B530" s="114" t="s">
        <v>12</v>
      </c>
      <c r="C530" s="152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0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57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0">
        <v>46220</v>
      </c>
      <c r="B531" s="114" t="s">
        <v>12</v>
      </c>
      <c r="C531" s="152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57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0">
        <v>46220</v>
      </c>
      <c r="B532" s="114" t="s">
        <v>12</v>
      </c>
      <c r="C532" s="152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57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0">
        <v>46220</v>
      </c>
      <c r="B533" s="114" t="s">
        <v>12</v>
      </c>
      <c r="C533" s="152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57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0">
        <v>46220</v>
      </c>
      <c r="B534" s="114" t="s">
        <v>12</v>
      </c>
      <c r="C534" s="152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57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0">
        <v>46220</v>
      </c>
      <c r="B535" s="114" t="s">
        <v>12</v>
      </c>
      <c r="C535" s="152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0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57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0">
        <v>46220</v>
      </c>
      <c r="B536" s="114" t="s">
        <v>12</v>
      </c>
      <c r="C536" s="152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0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57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0">
        <v>46220</v>
      </c>
      <c r="B537" s="114" t="s">
        <v>12</v>
      </c>
      <c r="C537" s="152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0">
        <v>46220</v>
      </c>
      <c r="B538" s="114" t="s">
        <v>12</v>
      </c>
      <c r="C538" s="152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0">
        <v>46221</v>
      </c>
      <c r="B539" s="114" t="s">
        <v>12</v>
      </c>
      <c r="C539" s="152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0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57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0"/>
      <c r="B540" s="114"/>
      <c r="C540" s="152"/>
      <c r="D540" s="39"/>
      <c r="F540" s="28"/>
      <c r="G540" s="28"/>
      <c r="H540" s="220"/>
      <c r="I540" s="66"/>
      <c r="J540" s="76"/>
      <c r="L540" s="36"/>
      <c r="M54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0">
        <v>46223</v>
      </c>
      <c r="B541" s="114" t="s">
        <v>12</v>
      </c>
      <c r="C541" s="152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0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57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0">
        <v>46225</v>
      </c>
      <c r="B542" s="114" t="s">
        <v>12</v>
      </c>
      <c r="C542" s="152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0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57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0">
        <v>46225</v>
      </c>
      <c r="B543" s="114" t="s">
        <v>12</v>
      </c>
      <c r="C543" s="152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0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57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0">
        <v>46225</v>
      </c>
      <c r="B544" s="114" t="s">
        <v>12</v>
      </c>
      <c r="C544" s="152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0">
        <v>46226</v>
      </c>
      <c r="B545" s="114" t="s">
        <v>12</v>
      </c>
      <c r="C545" s="152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57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0">
        <v>46226</v>
      </c>
      <c r="B546" s="114" t="s">
        <v>12</v>
      </c>
      <c r="C546" s="152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57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0">
        <v>46226</v>
      </c>
      <c r="B547" s="114" t="s">
        <v>12</v>
      </c>
      <c r="C547" s="152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0">
        <v>46226</v>
      </c>
      <c r="B548" s="114" t="s">
        <v>12</v>
      </c>
      <c r="C548" s="152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57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0">
        <v>46226</v>
      </c>
      <c r="B549" s="114" t="s">
        <v>12</v>
      </c>
      <c r="C549" s="152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0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57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0">
        <v>46226</v>
      </c>
      <c r="B550" s="114" t="s">
        <v>12</v>
      </c>
      <c r="C550" s="152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0">
        <v>46226</v>
      </c>
      <c r="B551" s="114" t="s">
        <v>12</v>
      </c>
      <c r="C551" s="152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0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0">
        <v>46227</v>
      </c>
      <c r="B552" s="114" t="s">
        <v>12</v>
      </c>
      <c r="C552" s="152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0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57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0">
        <v>46227</v>
      </c>
      <c r="B553" s="114" t="s">
        <v>12</v>
      </c>
      <c r="C553" s="152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0">
        <v>46227</v>
      </c>
      <c r="B554" s="114" t="s">
        <v>12</v>
      </c>
      <c r="C554" s="152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0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57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0">
        <v>46227</v>
      </c>
      <c r="B555" s="114" t="s">
        <v>12</v>
      </c>
      <c r="C555" s="152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0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57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0">
        <v>46228</v>
      </c>
      <c r="B556" s="114" t="s">
        <v>12</v>
      </c>
      <c r="C556" s="152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0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57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0"/>
      <c r="C557" s="152"/>
      <c r="D557" s="39"/>
      <c r="F557" s="28"/>
      <c r="G557" s="28"/>
      <c r="H557" s="220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57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0">
        <v>46230</v>
      </c>
      <c r="B558" s="114" t="s">
        <v>12</v>
      </c>
      <c r="C558" s="152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0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57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0">
        <v>46230</v>
      </c>
      <c r="B559" s="114" t="s">
        <v>12</v>
      </c>
      <c r="C559" s="152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0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57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0">
        <v>46230</v>
      </c>
      <c r="B560" s="114" t="s">
        <v>12</v>
      </c>
      <c r="C560" s="152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0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57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0">
        <v>46231</v>
      </c>
      <c r="B561" s="114" t="s">
        <v>12</v>
      </c>
      <c r="C561" s="152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0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57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0">
        <v>46232</v>
      </c>
      <c r="B562" s="114" t="s">
        <v>12</v>
      </c>
      <c r="C562" s="152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57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0">
        <v>46232</v>
      </c>
      <c r="B563" s="114" t="s">
        <v>12</v>
      </c>
      <c r="C563" s="152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57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0">
        <v>46232</v>
      </c>
      <c r="B564" s="114" t="s">
        <v>12</v>
      </c>
      <c r="C564" s="152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57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0">
        <v>46232</v>
      </c>
      <c r="B565" s="114" t="s">
        <v>12</v>
      </c>
      <c r="C565" s="152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0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57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0">
        <v>46232</v>
      </c>
      <c r="B566" s="114" t="s">
        <v>12</v>
      </c>
      <c r="C566" s="152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0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57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0">
        <v>46232</v>
      </c>
      <c r="B567" s="114" t="s">
        <v>12</v>
      </c>
      <c r="C567" s="152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0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57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0">
        <v>46233</v>
      </c>
      <c r="B568" s="114" t="s">
        <v>12</v>
      </c>
      <c r="C568" s="152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0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57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0">
        <v>46234</v>
      </c>
      <c r="B569" s="114" t="s">
        <v>12</v>
      </c>
      <c r="C569" s="152" t="s">
        <v>329</v>
      </c>
      <c r="D569" s="39" t="s">
        <v>225</v>
      </c>
      <c r="E569" s="40" t="s">
        <v>36</v>
      </c>
      <c r="F569" s="28">
        <v>4000</v>
      </c>
      <c r="G569" s="170">
        <v>6168</v>
      </c>
      <c r="H569" s="220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57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07" t="s">
        <v>517</v>
      </c>
    </row>
    <row r="570" spans="1:17" x14ac:dyDescent="0.25">
      <c r="A570" s="350">
        <v>46235</v>
      </c>
      <c r="B570" s="114" t="s">
        <v>12</v>
      </c>
      <c r="C570" s="152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0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57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0"/>
      <c r="B571" s="114"/>
      <c r="C571" s="152"/>
      <c r="D571" s="39"/>
      <c r="F571" s="28"/>
      <c r="G571" s="28"/>
      <c r="H571" s="220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57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0">
        <v>46237</v>
      </c>
      <c r="B572" s="114" t="s">
        <v>12</v>
      </c>
      <c r="C572" s="152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0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57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0">
        <v>46238</v>
      </c>
      <c r="B573" s="114" t="s">
        <v>12</v>
      </c>
      <c r="C573" s="152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57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0">
        <v>46238</v>
      </c>
      <c r="B574" s="114" t="s">
        <v>12</v>
      </c>
      <c r="C574" s="152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0">
        <v>46238</v>
      </c>
      <c r="B575" s="114" t="s">
        <v>12</v>
      </c>
      <c r="C575" s="152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0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57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0">
        <v>46239</v>
      </c>
      <c r="B576" s="114" t="s">
        <v>12</v>
      </c>
      <c r="C576" s="152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57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85">
        <v>0</v>
      </c>
      <c r="Q576" s="385">
        <v>500</v>
      </c>
    </row>
    <row r="577" spans="1:18" x14ac:dyDescent="0.25">
      <c r="A577" s="350">
        <v>46239</v>
      </c>
      <c r="B577" s="114" t="s">
        <v>12</v>
      </c>
      <c r="C577" s="152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85">
        <v>500</v>
      </c>
      <c r="Q577" s="385">
        <v>1600</v>
      </c>
    </row>
    <row r="578" spans="1:18" x14ac:dyDescent="0.25">
      <c r="A578" s="350">
        <v>46239</v>
      </c>
      <c r="B578" s="114" t="s">
        <v>12</v>
      </c>
      <c r="C578" s="152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57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85">
        <v>1600</v>
      </c>
      <c r="Q578" s="385">
        <v>2300</v>
      </c>
    </row>
    <row r="579" spans="1:18" x14ac:dyDescent="0.25">
      <c r="A579" s="350">
        <v>46240</v>
      </c>
      <c r="B579" s="114" t="s">
        <v>12</v>
      </c>
      <c r="C579" s="152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0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57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48">
        <f>+P580-Q578</f>
        <v>1000</v>
      </c>
    </row>
    <row r="580" spans="1:18" x14ac:dyDescent="0.25">
      <c r="A580" s="350">
        <v>46241</v>
      </c>
      <c r="B580" s="114" t="s">
        <v>12</v>
      </c>
      <c r="C580" s="152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0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57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85">
        <v>3300</v>
      </c>
      <c r="Q580" s="385">
        <v>3400</v>
      </c>
    </row>
    <row r="581" spans="1:18" x14ac:dyDescent="0.25">
      <c r="A581" s="350">
        <v>46241</v>
      </c>
      <c r="B581" s="114" t="s">
        <v>12</v>
      </c>
      <c r="C581" s="152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0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57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85">
        <v>3400</v>
      </c>
      <c r="Q581" s="385">
        <v>5872</v>
      </c>
      <c r="R581" s="348"/>
    </row>
    <row r="582" spans="1:18" x14ac:dyDescent="0.25">
      <c r="A582" s="350">
        <v>46243</v>
      </c>
      <c r="B582" s="114" t="s">
        <v>12</v>
      </c>
      <c r="C582" s="152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0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57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0"/>
      <c r="C583" s="152"/>
      <c r="D583" s="39"/>
      <c r="F583" s="28"/>
      <c r="G583" s="28"/>
      <c r="H583" s="220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57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0">
        <v>46247</v>
      </c>
      <c r="B584" s="114" t="s">
        <v>12</v>
      </c>
      <c r="C584" s="152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0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57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0">
        <v>46248</v>
      </c>
      <c r="B585" s="114" t="s">
        <v>12</v>
      </c>
      <c r="C585" s="152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0">
        <v>46248</v>
      </c>
      <c r="B586" s="114" t="s">
        <v>12</v>
      </c>
      <c r="C586" s="152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0">
        <v>46249</v>
      </c>
      <c r="B587" s="114" t="s">
        <v>12</v>
      </c>
      <c r="C587" s="152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0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57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0">
        <v>46248</v>
      </c>
      <c r="B588" s="114" t="s">
        <v>12</v>
      </c>
      <c r="C588" s="152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0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0">
        <v>46250</v>
      </c>
      <c r="B589" s="114" t="s">
        <v>12</v>
      </c>
      <c r="C589" s="152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0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57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0"/>
      <c r="C590" s="152"/>
      <c r="D590" s="39"/>
      <c r="F590" s="28"/>
      <c r="G590" s="28"/>
      <c r="H590" s="220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57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0">
        <v>46251</v>
      </c>
      <c r="B591" s="114" t="s">
        <v>12</v>
      </c>
      <c r="C591" s="152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0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57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0">
        <v>46252</v>
      </c>
      <c r="B592" s="114" t="s">
        <v>12</v>
      </c>
      <c r="C592" s="152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0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57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0">
        <v>46253</v>
      </c>
      <c r="B593" s="114" t="s">
        <v>12</v>
      </c>
      <c r="C593" s="152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0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57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0">
        <v>46253</v>
      </c>
      <c r="B594" s="114" t="s">
        <v>12</v>
      </c>
      <c r="C594" s="152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0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57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0">
        <v>46254</v>
      </c>
      <c r="B595" s="114" t="s">
        <v>12</v>
      </c>
      <c r="C595" s="152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0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57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0">
        <v>46255</v>
      </c>
      <c r="B596" s="114" t="s">
        <v>12</v>
      </c>
      <c r="C596" s="152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0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57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0">
        <v>46255</v>
      </c>
      <c r="B597" s="114" t="s">
        <v>12</v>
      </c>
      <c r="C597" s="152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0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57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0">
        <v>46256</v>
      </c>
      <c r="B598" s="114" t="s">
        <v>12</v>
      </c>
      <c r="C598" s="152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0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57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0">
        <v>46256</v>
      </c>
      <c r="B599" s="114" t="s">
        <v>12</v>
      </c>
      <c r="C599" s="152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0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57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0"/>
      <c r="C600" s="152"/>
      <c r="D600" s="39"/>
      <c r="F600" s="28"/>
      <c r="G600" s="28"/>
      <c r="H600" s="220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57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0">
        <v>46258</v>
      </c>
      <c r="B601" s="114" t="s">
        <v>12</v>
      </c>
      <c r="C601" s="152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0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57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0">
        <v>46258</v>
      </c>
      <c r="B602" s="114" t="s">
        <v>12</v>
      </c>
      <c r="C602" s="152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0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57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0">
        <v>46262</v>
      </c>
      <c r="B603" s="114" t="s">
        <v>12</v>
      </c>
      <c r="C603" s="152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0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57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0"/>
      <c r="B604" s="114"/>
      <c r="C604" s="152"/>
      <c r="D604" s="39"/>
      <c r="F604" s="28"/>
      <c r="G604" s="28"/>
      <c r="H604" s="220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57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0">
        <v>46265</v>
      </c>
      <c r="B605" s="114" t="s">
        <v>12</v>
      </c>
      <c r="C605" s="152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0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57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0">
        <v>46266</v>
      </c>
      <c r="B606" s="114" t="s">
        <v>12</v>
      </c>
      <c r="C606" s="152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0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57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0">
        <v>46267</v>
      </c>
      <c r="B607" s="114" t="s">
        <v>12</v>
      </c>
      <c r="C607" s="152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0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57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0">
        <v>46268</v>
      </c>
      <c r="B608" s="114" t="s">
        <v>12</v>
      </c>
      <c r="C608" s="152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0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57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0"/>
      <c r="B609" s="114"/>
      <c r="C609" s="152"/>
      <c r="D609" s="39"/>
      <c r="F609" s="28"/>
      <c r="G609" s="28"/>
      <c r="H609" s="220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57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0">
        <v>46272</v>
      </c>
      <c r="B610" s="114" t="s">
        <v>12</v>
      </c>
      <c r="C610" s="152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0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57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0">
        <v>46273</v>
      </c>
      <c r="B611" s="114" t="s">
        <v>12</v>
      </c>
      <c r="C611" s="152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0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57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0">
        <v>46274</v>
      </c>
      <c r="B612" s="114" t="s">
        <v>12</v>
      </c>
      <c r="C612" s="152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0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57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0">
        <v>46274</v>
      </c>
      <c r="B613" s="114" t="s">
        <v>12</v>
      </c>
      <c r="C613" s="152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0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57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0">
        <v>46275</v>
      </c>
      <c r="B614" s="114" t="s">
        <v>12</v>
      </c>
      <c r="C614" s="152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0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57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0">
        <v>46276</v>
      </c>
      <c r="B615" s="114" t="s">
        <v>12</v>
      </c>
      <c r="C615" s="152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0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57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0">
        <v>46276</v>
      </c>
      <c r="B616" s="114" t="s">
        <v>12</v>
      </c>
      <c r="C616" s="152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0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57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0">
        <v>46277</v>
      </c>
      <c r="B617" s="114" t="s">
        <v>12</v>
      </c>
      <c r="C617" s="152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0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57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0"/>
      <c r="B618" s="114"/>
      <c r="C618" s="152"/>
      <c r="D618" s="39"/>
      <c r="F618" s="28"/>
      <c r="G618" s="28"/>
      <c r="H618" s="220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57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0">
        <v>46279</v>
      </c>
      <c r="B619" s="114" t="s">
        <v>12</v>
      </c>
      <c r="C619" s="152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0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57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0">
        <v>46280</v>
      </c>
      <c r="B620" s="114" t="s">
        <v>12</v>
      </c>
      <c r="C620" s="152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0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57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0">
        <v>46281</v>
      </c>
      <c r="B621" s="114" t="s">
        <v>30</v>
      </c>
      <c r="C621" s="152" t="s">
        <v>411</v>
      </c>
      <c r="D621" s="39" t="s">
        <v>359</v>
      </c>
      <c r="E621" s="40" t="s">
        <v>31</v>
      </c>
      <c r="F621" s="28"/>
      <c r="G621" s="28"/>
      <c r="H621" s="220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57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0">
        <v>46281</v>
      </c>
      <c r="B622" s="114" t="s">
        <v>30</v>
      </c>
      <c r="C622" s="152" t="s">
        <v>411</v>
      </c>
      <c r="D622" s="39" t="s">
        <v>361</v>
      </c>
      <c r="E622" s="40" t="s">
        <v>31</v>
      </c>
      <c r="F622" s="28"/>
      <c r="G622" s="28"/>
      <c r="H622" s="220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57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0">
        <v>46281</v>
      </c>
      <c r="B623" s="114" t="s">
        <v>30</v>
      </c>
      <c r="C623" s="152" t="s">
        <v>411</v>
      </c>
      <c r="D623" s="39" t="s">
        <v>360</v>
      </c>
      <c r="E623" s="40" t="s">
        <v>31</v>
      </c>
      <c r="F623" s="28"/>
      <c r="G623" s="28"/>
      <c r="H623" s="220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57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0">
        <v>46284</v>
      </c>
      <c r="B624" s="114" t="s">
        <v>30</v>
      </c>
      <c r="C624" s="152" t="s">
        <v>411</v>
      </c>
      <c r="D624" s="39" t="s">
        <v>359</v>
      </c>
      <c r="E624" s="40" t="s">
        <v>31</v>
      </c>
      <c r="F624" s="28"/>
      <c r="G624" s="28"/>
      <c r="H624" s="220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57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0"/>
      <c r="B625" s="114"/>
      <c r="C625" s="152"/>
      <c r="D625" s="39"/>
      <c r="F625" s="28"/>
      <c r="G625" s="28"/>
      <c r="H625" s="220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57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0">
        <v>46286</v>
      </c>
      <c r="B626" s="114" t="s">
        <v>30</v>
      </c>
      <c r="C626" s="152" t="s">
        <v>560</v>
      </c>
      <c r="D626" s="39" t="s">
        <v>377</v>
      </c>
      <c r="E626" s="40" t="s">
        <v>31</v>
      </c>
      <c r="F626" s="28">
        <v>0</v>
      </c>
      <c r="G626" s="28">
        <v>623</v>
      </c>
      <c r="H626" s="220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57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0">
        <v>46286</v>
      </c>
      <c r="B627" s="114" t="s">
        <v>30</v>
      </c>
      <c r="C627" s="152" t="s">
        <v>560</v>
      </c>
      <c r="D627" s="39" t="s">
        <v>375</v>
      </c>
      <c r="E627" s="40" t="s">
        <v>31</v>
      </c>
      <c r="F627" s="28">
        <v>0</v>
      </c>
      <c r="G627" s="28"/>
      <c r="H627" s="220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57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0">
        <v>46287</v>
      </c>
      <c r="B628" s="114" t="s">
        <v>30</v>
      </c>
      <c r="C628" s="152" t="s">
        <v>560</v>
      </c>
      <c r="D628" s="39" t="s">
        <v>374</v>
      </c>
      <c r="E628" s="40" t="s">
        <v>31</v>
      </c>
      <c r="F628" s="28">
        <v>0</v>
      </c>
      <c r="G628" s="28">
        <v>608</v>
      </c>
      <c r="H628" s="220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57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0">
        <v>46287</v>
      </c>
      <c r="B629" s="114" t="s">
        <v>30</v>
      </c>
      <c r="C629" s="152" t="s">
        <v>560</v>
      </c>
      <c r="D629" s="39" t="s">
        <v>373</v>
      </c>
      <c r="E629" s="40" t="s">
        <v>31</v>
      </c>
      <c r="F629" s="28">
        <v>0</v>
      </c>
      <c r="G629" s="28"/>
      <c r="H629" s="220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57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0">
        <v>46288</v>
      </c>
      <c r="B630" s="114" t="s">
        <v>30</v>
      </c>
      <c r="C630" s="152" t="s">
        <v>560</v>
      </c>
      <c r="D630" s="39" t="s">
        <v>372</v>
      </c>
      <c r="E630" s="40" t="s">
        <v>31</v>
      </c>
      <c r="F630" s="28">
        <v>0</v>
      </c>
      <c r="G630" s="28"/>
      <c r="H630" s="220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57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0">
        <v>46288</v>
      </c>
      <c r="B631" s="114" t="s">
        <v>30</v>
      </c>
      <c r="C631" s="152" t="s">
        <v>560</v>
      </c>
      <c r="D631" s="39" t="s">
        <v>370</v>
      </c>
      <c r="E631" s="40" t="s">
        <v>31</v>
      </c>
      <c r="F631" s="28">
        <v>0</v>
      </c>
      <c r="G631" s="28"/>
      <c r="H631" s="220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57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0">
        <v>46289</v>
      </c>
      <c r="B632" s="114" t="s">
        <v>30</v>
      </c>
      <c r="C632" s="152" t="s">
        <v>560</v>
      </c>
      <c r="D632" s="39" t="s">
        <v>368</v>
      </c>
      <c r="E632" s="40" t="s">
        <v>31</v>
      </c>
      <c r="F632" s="28">
        <v>0</v>
      </c>
      <c r="G632" s="28"/>
      <c r="H632" s="220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57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0">
        <v>46289</v>
      </c>
      <c r="B633" s="114" t="s">
        <v>30</v>
      </c>
      <c r="C633" s="152" t="s">
        <v>560</v>
      </c>
      <c r="D633" s="39" t="s">
        <v>378</v>
      </c>
      <c r="E633" s="40" t="s">
        <v>31</v>
      </c>
      <c r="F633" s="28">
        <v>0</v>
      </c>
      <c r="G633" s="28"/>
      <c r="H633" s="220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57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0">
        <v>46290</v>
      </c>
      <c r="B634" s="114" t="s">
        <v>30</v>
      </c>
      <c r="C634" s="152" t="s">
        <v>560</v>
      </c>
      <c r="D634" s="39" t="s">
        <v>376</v>
      </c>
      <c r="E634" s="40" t="s">
        <v>31</v>
      </c>
      <c r="F634" s="28">
        <v>0</v>
      </c>
      <c r="G634" s="28"/>
      <c r="H634" s="220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57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0">
        <v>46290</v>
      </c>
      <c r="B635" s="114" t="s">
        <v>30</v>
      </c>
      <c r="C635" s="152" t="s">
        <v>560</v>
      </c>
      <c r="D635" s="39" t="s">
        <v>371</v>
      </c>
      <c r="E635" s="40" t="s">
        <v>31</v>
      </c>
      <c r="F635" s="28">
        <v>0</v>
      </c>
      <c r="G635" s="28"/>
      <c r="H635" s="220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57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0">
        <v>46290</v>
      </c>
      <c r="B636" s="114" t="s">
        <v>30</v>
      </c>
      <c r="C636" s="152" t="s">
        <v>560</v>
      </c>
      <c r="D636" s="39" t="s">
        <v>369</v>
      </c>
      <c r="E636" s="40" t="s">
        <v>31</v>
      </c>
      <c r="F636" s="28">
        <v>0</v>
      </c>
      <c r="G636" s="28"/>
      <c r="H636" s="220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57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0">
        <v>46290</v>
      </c>
      <c r="B637" s="114" t="s">
        <v>30</v>
      </c>
      <c r="C637" s="152" t="s">
        <v>560</v>
      </c>
      <c r="D637" s="39" t="s">
        <v>367</v>
      </c>
      <c r="E637" s="40" t="s">
        <v>31</v>
      </c>
      <c r="F637" s="28">
        <v>0</v>
      </c>
      <c r="G637" s="28"/>
      <c r="H637" s="220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57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0">
        <v>46291</v>
      </c>
      <c r="B638" s="114" t="s">
        <v>30</v>
      </c>
      <c r="C638" s="152" t="s">
        <v>329</v>
      </c>
      <c r="D638" s="39" t="s">
        <v>504</v>
      </c>
      <c r="E638" s="40" t="s">
        <v>31</v>
      </c>
      <c r="F638" s="28">
        <v>0</v>
      </c>
      <c r="G638" s="28"/>
      <c r="H638" s="220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57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0"/>
      <c r="B639" s="114"/>
      <c r="C639" s="152"/>
      <c r="D639" s="39"/>
      <c r="F639" s="28"/>
      <c r="G639" s="28"/>
      <c r="H639" s="220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57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0">
        <v>46293</v>
      </c>
      <c r="B640" s="114" t="s">
        <v>12</v>
      </c>
      <c r="C640" s="152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0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57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0">
        <v>46294</v>
      </c>
      <c r="B641" s="114" t="s">
        <v>12</v>
      </c>
      <c r="C641" s="152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0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57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0">
        <v>46295</v>
      </c>
      <c r="B642" s="114" t="s">
        <v>12</v>
      </c>
      <c r="C642" s="152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0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57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0">
        <v>46296</v>
      </c>
      <c r="B643" s="114" t="s">
        <v>12</v>
      </c>
      <c r="C643" s="152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0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57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0">
        <v>46297</v>
      </c>
      <c r="B644" s="114" t="s">
        <v>12</v>
      </c>
      <c r="C644" s="152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0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57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0"/>
      <c r="B645" s="114"/>
      <c r="C645" s="152"/>
      <c r="D645" s="39"/>
      <c r="F645" s="28"/>
      <c r="G645" s="28"/>
      <c r="H645" s="220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57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0">
        <v>46300</v>
      </c>
      <c r="B646" s="114" t="s">
        <v>12</v>
      </c>
      <c r="C646" s="152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0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57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0">
        <v>46301</v>
      </c>
      <c r="B647" s="114" t="s">
        <v>12</v>
      </c>
      <c r="C647" s="152" t="s">
        <v>560</v>
      </c>
      <c r="D647" s="39" t="s">
        <v>377</v>
      </c>
      <c r="E647" s="40" t="s">
        <v>16</v>
      </c>
      <c r="F647" s="28">
        <v>0</v>
      </c>
      <c r="G647" s="28">
        <v>624</v>
      </c>
      <c r="H647" s="220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57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0">
        <v>46301</v>
      </c>
      <c r="B648" s="114" t="s">
        <v>12</v>
      </c>
      <c r="C648" s="152" t="s">
        <v>560</v>
      </c>
      <c r="D648" s="39" t="s">
        <v>374</v>
      </c>
      <c r="E648" s="40" t="s">
        <v>16</v>
      </c>
      <c r="F648" s="28">
        <v>0</v>
      </c>
      <c r="G648" s="28">
        <v>608</v>
      </c>
      <c r="H648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57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0">
        <v>46301</v>
      </c>
      <c r="B649" s="114" t="s">
        <v>12</v>
      </c>
      <c r="C649" s="152" t="s">
        <v>560</v>
      </c>
      <c r="D649" s="39" t="s">
        <v>367</v>
      </c>
      <c r="E649" s="40" t="s">
        <v>16</v>
      </c>
      <c r="F649" s="28">
        <v>0</v>
      </c>
      <c r="G649" s="28">
        <v>3</v>
      </c>
      <c r="H649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57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0">
        <v>46301</v>
      </c>
      <c r="B650" s="114" t="s">
        <v>12</v>
      </c>
      <c r="C650" s="152" t="s">
        <v>560</v>
      </c>
      <c r="D650" s="39" t="s">
        <v>369</v>
      </c>
      <c r="E650" s="40" t="s">
        <v>16</v>
      </c>
      <c r="F650" s="28">
        <v>0</v>
      </c>
      <c r="G650" s="28">
        <v>7</v>
      </c>
      <c r="H650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57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0">
        <v>46301</v>
      </c>
      <c r="B651" s="114" t="s">
        <v>12</v>
      </c>
      <c r="C651" s="152" t="s">
        <v>560</v>
      </c>
      <c r="D651" s="39" t="s">
        <v>370</v>
      </c>
      <c r="E651" s="40" t="s">
        <v>16</v>
      </c>
      <c r="F651" s="28">
        <v>0</v>
      </c>
      <c r="G651" s="28">
        <v>16</v>
      </c>
      <c r="H651" s="220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57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0">
        <v>46301</v>
      </c>
      <c r="B652" s="114" t="s">
        <v>12</v>
      </c>
      <c r="C652" s="152" t="s">
        <v>560</v>
      </c>
      <c r="D652" s="39" t="s">
        <v>371</v>
      </c>
      <c r="E652" s="40" t="s">
        <v>16</v>
      </c>
      <c r="F652" s="28">
        <v>0</v>
      </c>
      <c r="G652" s="28">
        <v>17</v>
      </c>
      <c r="H652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57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0">
        <v>46302</v>
      </c>
      <c r="B653" s="114" t="s">
        <v>12</v>
      </c>
      <c r="C653" s="152" t="s">
        <v>560</v>
      </c>
      <c r="D653" s="39" t="s">
        <v>375</v>
      </c>
      <c r="E653" s="40" t="s">
        <v>16</v>
      </c>
      <c r="F653" s="28">
        <v>0</v>
      </c>
      <c r="G653" s="28">
        <v>170</v>
      </c>
      <c r="H653" s="220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57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0">
        <v>46302</v>
      </c>
      <c r="B654" s="114" t="s">
        <v>12</v>
      </c>
      <c r="C654" s="152" t="s">
        <v>560</v>
      </c>
      <c r="D654" s="39" t="s">
        <v>378</v>
      </c>
      <c r="E654" s="40" t="s">
        <v>16</v>
      </c>
      <c r="F654" s="28">
        <v>0</v>
      </c>
      <c r="G654" s="28">
        <v>8.5</v>
      </c>
      <c r="H654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57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0">
        <v>46302</v>
      </c>
      <c r="B655" s="114" t="s">
        <v>12</v>
      </c>
      <c r="C655" s="152" t="s">
        <v>560</v>
      </c>
      <c r="D655" s="39" t="s">
        <v>376</v>
      </c>
      <c r="E655" s="40" t="s">
        <v>16</v>
      </c>
      <c r="F655" s="28">
        <v>0</v>
      </c>
      <c r="G655" s="28">
        <v>13</v>
      </c>
      <c r="H655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57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0">
        <v>46302</v>
      </c>
      <c r="B656" s="114" t="s">
        <v>12</v>
      </c>
      <c r="C656" s="152" t="s">
        <v>560</v>
      </c>
      <c r="D656" s="39" t="s">
        <v>373</v>
      </c>
      <c r="E656" s="40" t="s">
        <v>16</v>
      </c>
      <c r="F656" s="28">
        <v>0</v>
      </c>
      <c r="G656" s="28">
        <v>53</v>
      </c>
      <c r="H656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57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0">
        <v>46302</v>
      </c>
      <c r="B657" s="114" t="s">
        <v>12</v>
      </c>
      <c r="C657" s="152" t="s">
        <v>560</v>
      </c>
      <c r="D657" s="39" t="s">
        <v>372</v>
      </c>
      <c r="E657" s="40" t="s">
        <v>16</v>
      </c>
      <c r="F657" s="28">
        <v>0</v>
      </c>
      <c r="G657" s="28">
        <v>8</v>
      </c>
      <c r="H657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0">
        <v>46303</v>
      </c>
      <c r="B658" s="114" t="s">
        <v>12</v>
      </c>
      <c r="C658" s="152" t="s">
        <v>560</v>
      </c>
      <c r="D658" s="39" t="s">
        <v>377</v>
      </c>
      <c r="E658" s="40" t="s">
        <v>36</v>
      </c>
      <c r="F658" s="28">
        <v>0</v>
      </c>
      <c r="G658" s="28">
        <v>624</v>
      </c>
      <c r="H658" s="220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57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0">
        <v>46303</v>
      </c>
      <c r="B659" s="114" t="s">
        <v>12</v>
      </c>
      <c r="C659" s="152" t="s">
        <v>560</v>
      </c>
      <c r="D659" s="39" t="s">
        <v>374</v>
      </c>
      <c r="E659" s="40" t="s">
        <v>36</v>
      </c>
      <c r="F659" s="28">
        <v>0</v>
      </c>
      <c r="G659" s="28">
        <v>608</v>
      </c>
      <c r="H659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57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0">
        <v>46303</v>
      </c>
      <c r="B660" s="114" t="s">
        <v>12</v>
      </c>
      <c r="C660" s="152" t="s">
        <v>560</v>
      </c>
      <c r="D660" s="39" t="s">
        <v>367</v>
      </c>
      <c r="E660" s="40" t="s">
        <v>36</v>
      </c>
      <c r="F660" s="28">
        <v>0</v>
      </c>
      <c r="G660" s="28">
        <v>3</v>
      </c>
      <c r="H660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57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0">
        <v>46303</v>
      </c>
      <c r="B661" s="114" t="s">
        <v>12</v>
      </c>
      <c r="C661" s="152" t="s">
        <v>560</v>
      </c>
      <c r="D661" s="39" t="s">
        <v>369</v>
      </c>
      <c r="E661" s="40" t="s">
        <v>36</v>
      </c>
      <c r="F661" s="28">
        <v>0</v>
      </c>
      <c r="G661" s="28">
        <v>7</v>
      </c>
      <c r="H661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0">
        <v>46303</v>
      </c>
      <c r="B662" s="114" t="s">
        <v>12</v>
      </c>
      <c r="C662" s="152" t="s">
        <v>560</v>
      </c>
      <c r="D662" s="39" t="s">
        <v>370</v>
      </c>
      <c r="E662" s="40" t="s">
        <v>36</v>
      </c>
      <c r="F662" s="28">
        <v>0</v>
      </c>
      <c r="G662" s="28">
        <v>16</v>
      </c>
      <c r="H662" s="220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57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0">
        <v>46303</v>
      </c>
      <c r="B663" s="114" t="s">
        <v>12</v>
      </c>
      <c r="C663" s="152" t="s">
        <v>560</v>
      </c>
      <c r="D663" s="39" t="s">
        <v>371</v>
      </c>
      <c r="E663" s="40" t="s">
        <v>36</v>
      </c>
      <c r="F663" s="28">
        <v>0</v>
      </c>
      <c r="G663" s="28">
        <v>17</v>
      </c>
      <c r="H663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57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0">
        <v>46303</v>
      </c>
      <c r="B664" s="114" t="s">
        <v>12</v>
      </c>
      <c r="C664" s="152" t="s">
        <v>560</v>
      </c>
      <c r="D664" s="39" t="s">
        <v>375</v>
      </c>
      <c r="E664" s="40" t="s">
        <v>36</v>
      </c>
      <c r="F664" s="28">
        <v>0</v>
      </c>
      <c r="G664" s="28">
        <v>170</v>
      </c>
      <c r="H664" s="220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57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0">
        <v>46303</v>
      </c>
      <c r="B665" s="114" t="s">
        <v>12</v>
      </c>
      <c r="C665" s="152" t="s">
        <v>560</v>
      </c>
      <c r="D665" s="39" t="s">
        <v>378</v>
      </c>
      <c r="E665" s="40" t="s">
        <v>36</v>
      </c>
      <c r="F665" s="28">
        <v>0</v>
      </c>
      <c r="G665" s="28">
        <v>8.5</v>
      </c>
      <c r="H665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57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0">
        <v>46303</v>
      </c>
      <c r="B666" s="114" t="s">
        <v>12</v>
      </c>
      <c r="C666" s="152" t="s">
        <v>560</v>
      </c>
      <c r="D666" s="39" t="s">
        <v>376</v>
      </c>
      <c r="E666" s="40" t="s">
        <v>36</v>
      </c>
      <c r="F666" s="28">
        <v>0</v>
      </c>
      <c r="G666" s="28">
        <v>13</v>
      </c>
      <c r="H666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0">
        <v>46303</v>
      </c>
      <c r="B667" s="114" t="s">
        <v>12</v>
      </c>
      <c r="C667" s="152" t="s">
        <v>560</v>
      </c>
      <c r="D667" s="39" t="s">
        <v>373</v>
      </c>
      <c r="E667" s="40" t="s">
        <v>36</v>
      </c>
      <c r="F667" s="28">
        <v>0</v>
      </c>
      <c r="G667" s="28">
        <v>53</v>
      </c>
      <c r="H667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57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0">
        <v>46303</v>
      </c>
      <c r="B668" s="114" t="s">
        <v>12</v>
      </c>
      <c r="C668" s="152" t="s">
        <v>560</v>
      </c>
      <c r="D668" s="39" t="s">
        <v>372</v>
      </c>
      <c r="E668" s="40" t="s">
        <v>36</v>
      </c>
      <c r="F668" s="28">
        <v>0</v>
      </c>
      <c r="G668" s="28">
        <v>8</v>
      </c>
      <c r="H668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0">
        <v>46303</v>
      </c>
      <c r="B669" s="114" t="s">
        <v>12</v>
      </c>
      <c r="C669" s="152" t="s">
        <v>560</v>
      </c>
      <c r="D669" s="39" t="s">
        <v>368</v>
      </c>
      <c r="E669" s="40" t="s">
        <v>36</v>
      </c>
      <c r="F669" s="28">
        <v>0</v>
      </c>
      <c r="G669" s="28">
        <v>97</v>
      </c>
      <c r="H669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57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0">
        <v>46303</v>
      </c>
      <c r="B670" s="114" t="s">
        <v>12</v>
      </c>
      <c r="C670" s="152" t="s">
        <v>560</v>
      </c>
      <c r="D670" s="39" t="s">
        <v>368</v>
      </c>
      <c r="E670" s="40" t="s">
        <v>16</v>
      </c>
      <c r="F670" s="28">
        <v>0</v>
      </c>
      <c r="G670" s="28">
        <v>97</v>
      </c>
      <c r="H670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57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0">
        <v>46304</v>
      </c>
      <c r="B671" s="114" t="s">
        <v>12</v>
      </c>
      <c r="C671" s="152" t="s">
        <v>560</v>
      </c>
      <c r="D671" s="39" t="s">
        <v>377</v>
      </c>
      <c r="E671" s="40" t="s">
        <v>28</v>
      </c>
      <c r="F671" s="28">
        <v>0</v>
      </c>
      <c r="G671" s="28">
        <v>624</v>
      </c>
      <c r="H671" s="220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57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0">
        <v>46304</v>
      </c>
      <c r="B672" s="114" t="s">
        <v>12</v>
      </c>
      <c r="C672" s="152" t="s">
        <v>560</v>
      </c>
      <c r="D672" s="39" t="s">
        <v>367</v>
      </c>
      <c r="E672" s="40" t="s">
        <v>28</v>
      </c>
      <c r="F672" s="28">
        <v>0</v>
      </c>
      <c r="G672" s="28">
        <v>3</v>
      </c>
      <c r="H672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57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0">
        <v>46304</v>
      </c>
      <c r="B673" s="114" t="s">
        <v>12</v>
      </c>
      <c r="C673" s="152" t="s">
        <v>560</v>
      </c>
      <c r="D673" s="39" t="s">
        <v>370</v>
      </c>
      <c r="E673" s="40" t="s">
        <v>28</v>
      </c>
      <c r="F673" s="28">
        <v>0</v>
      </c>
      <c r="G673" s="28">
        <v>16</v>
      </c>
      <c r="H673" s="220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57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0">
        <v>46304</v>
      </c>
      <c r="B674" s="114" t="s">
        <v>12</v>
      </c>
      <c r="C674" s="152" t="s">
        <v>560</v>
      </c>
      <c r="D674" s="39" t="s">
        <v>371</v>
      </c>
      <c r="E674" s="40" t="s">
        <v>28</v>
      </c>
      <c r="F674" s="28">
        <v>0</v>
      </c>
      <c r="G674" s="28">
        <v>17</v>
      </c>
      <c r="H674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57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0">
        <v>46304</v>
      </c>
      <c r="B675" s="114" t="s">
        <v>12</v>
      </c>
      <c r="C675" s="152" t="s">
        <v>560</v>
      </c>
      <c r="D675" s="39" t="s">
        <v>376</v>
      </c>
      <c r="E675" s="40" t="s">
        <v>28</v>
      </c>
      <c r="F675" s="28">
        <v>0</v>
      </c>
      <c r="G675" s="28">
        <v>13</v>
      </c>
      <c r="H675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0">
        <v>46304</v>
      </c>
      <c r="B676" s="114" t="s">
        <v>12</v>
      </c>
      <c r="C676" s="152" t="s">
        <v>560</v>
      </c>
      <c r="D676" s="39" t="s">
        <v>373</v>
      </c>
      <c r="E676" s="40" t="s">
        <v>28</v>
      </c>
      <c r="F676" s="28">
        <v>0</v>
      </c>
      <c r="G676" s="28">
        <v>53</v>
      </c>
      <c r="H676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57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0">
        <v>46304</v>
      </c>
      <c r="B677" s="114" t="s">
        <v>12</v>
      </c>
      <c r="C677" s="152" t="s">
        <v>560</v>
      </c>
      <c r="D677" s="39" t="s">
        <v>372</v>
      </c>
      <c r="E677" s="40" t="s">
        <v>28</v>
      </c>
      <c r="F677" s="28">
        <v>0</v>
      </c>
      <c r="G677" s="28">
        <v>8</v>
      </c>
      <c r="H677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0"/>
      <c r="B678" s="114"/>
      <c r="C678" s="152"/>
      <c r="D678" s="39"/>
      <c r="F678" s="28"/>
      <c r="G678" s="28"/>
      <c r="H678" s="220"/>
      <c r="I678" s="66"/>
      <c r="J678" s="76"/>
      <c r="L678" s="36"/>
      <c r="M678" s="257"/>
    </row>
    <row r="679" spans="1:14" x14ac:dyDescent="0.25">
      <c r="A679" s="350">
        <v>46308</v>
      </c>
      <c r="B679" s="114" t="s">
        <v>12</v>
      </c>
      <c r="C679" s="152" t="s">
        <v>560</v>
      </c>
      <c r="D679" s="39" t="s">
        <v>368</v>
      </c>
      <c r="E679" s="40" t="s">
        <v>28</v>
      </c>
      <c r="F679" s="28">
        <v>0</v>
      </c>
      <c r="G679" s="28">
        <v>97</v>
      </c>
      <c r="H679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57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0">
        <v>46308</v>
      </c>
      <c r="B680" s="114" t="s">
        <v>12</v>
      </c>
      <c r="C680" s="152" t="s">
        <v>560</v>
      </c>
      <c r="D680" s="39" t="s">
        <v>374</v>
      </c>
      <c r="E680" s="40" t="s">
        <v>28</v>
      </c>
      <c r="F680" s="28">
        <v>0</v>
      </c>
      <c r="G680" s="28">
        <v>608</v>
      </c>
      <c r="H680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57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0">
        <v>46308</v>
      </c>
      <c r="B681" s="114" t="s">
        <v>12</v>
      </c>
      <c r="C681" s="152" t="s">
        <v>560</v>
      </c>
      <c r="D681" s="39" t="s">
        <v>375</v>
      </c>
      <c r="E681" s="40" t="s">
        <v>28</v>
      </c>
      <c r="F681" s="28">
        <v>0</v>
      </c>
      <c r="G681" s="28">
        <v>170</v>
      </c>
      <c r="H681" s="220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57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0">
        <v>46308</v>
      </c>
      <c r="B682" s="114" t="s">
        <v>12</v>
      </c>
      <c r="C682" s="152" t="s">
        <v>560</v>
      </c>
      <c r="D682" s="39" t="s">
        <v>378</v>
      </c>
      <c r="E682" s="40" t="s">
        <v>28</v>
      </c>
      <c r="F682" s="28">
        <v>0</v>
      </c>
      <c r="G682" s="28">
        <v>8.5</v>
      </c>
      <c r="H682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57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0"/>
      <c r="B683" s="114"/>
      <c r="C683" s="152"/>
      <c r="D683" s="39"/>
      <c r="F683" s="28"/>
      <c r="G683" s="28"/>
      <c r="H683" s="220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57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0">
        <v>46309</v>
      </c>
      <c r="B684" s="114" t="s">
        <v>12</v>
      </c>
      <c r="C684" s="152" t="s">
        <v>560</v>
      </c>
      <c r="D684" s="39" t="s">
        <v>369</v>
      </c>
      <c r="E684" s="40" t="s">
        <v>28</v>
      </c>
      <c r="F684" s="28">
        <v>0</v>
      </c>
      <c r="G684" s="28">
        <v>7</v>
      </c>
      <c r="H684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0">
        <v>46309</v>
      </c>
      <c r="B685" s="114" t="s">
        <v>12</v>
      </c>
      <c r="C685" s="152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0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57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0">
        <v>46309</v>
      </c>
      <c r="B686" s="114" t="s">
        <v>12</v>
      </c>
      <c r="C686" s="152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0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57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0">
        <v>46310</v>
      </c>
      <c r="B687" s="114" t="s">
        <v>12</v>
      </c>
      <c r="C687" s="152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0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57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0">
        <v>46311</v>
      </c>
      <c r="B688" s="114" t="s">
        <v>12</v>
      </c>
      <c r="C688" s="152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0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57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0">
        <v>46312</v>
      </c>
      <c r="B689" s="114" t="s">
        <v>12</v>
      </c>
      <c r="C689" s="152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0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57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0">
        <v>46312</v>
      </c>
      <c r="B690" s="114" t="s">
        <v>12</v>
      </c>
      <c r="C690" s="152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0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57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0"/>
      <c r="B691" s="114"/>
      <c r="C691" s="152"/>
      <c r="D691" s="39"/>
      <c r="F691" s="28"/>
      <c r="G691" s="28"/>
      <c r="H691" s="220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57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0">
        <v>46319</v>
      </c>
      <c r="B692" s="114" t="s">
        <v>12</v>
      </c>
      <c r="C692" s="152" t="s">
        <v>411</v>
      </c>
      <c r="D692" s="39" t="s">
        <v>351</v>
      </c>
      <c r="E692" s="40" t="s">
        <v>16</v>
      </c>
      <c r="F692" s="28">
        <v>32219</v>
      </c>
      <c r="G692" s="28">
        <v>33719</v>
      </c>
      <c r="H692" s="220">
        <f>IF(Tabla1[[#This Row],[Codigo_actividad]]&lt;&gt;2.5,IF(((Tabla1[[#This Row],[fin]]-Tabla1[[#This Row],[inicio]])/1000)=0,"",((Tabla1[[#This Row],[fin]]-Tabla1[[#This Row],[inicio]])/1000)),"")</f>
        <v>1.5</v>
      </c>
      <c r="I692" s="66"/>
      <c r="J692" s="76">
        <v>2.6</v>
      </c>
      <c r="K692" s="66" t="str">
        <f>IF(_xlfn.XLOOKUP($J692,Catalogo!$B$7:$B$210,Catalogo!$I$7:$I$210,"",0)=0,"",_xlfn.XLOOKUP($J692,Catalogo!$B$7:$B$210,Catalogo!$I$7:$I$210,"",0))</f>
        <v>Localizacion</v>
      </c>
      <c r="L692" s="36">
        <f>+_xlfn.XLOOKUP(Tabla1[[#This Row],[Ducto]],'R (s04)'!B:B,'R (s04)'!C:C)</f>
        <v>47.596499999999999</v>
      </c>
      <c r="M692" s="257">
        <f>IF(Tabla1[[#This Row],[Avance_km]]&lt;&gt;"",Tabla1[[#This Row],[Avance_km]],Tabla1[[#This Row],[Avance_Med]])*_xlfn.XLOOKUP(Tabla1[[#This Row],[Codigo_actividad]],Catalogo!$B$6:$B$51,Catalogo!$F$6:$F$51,0)</f>
        <v>3386.13</v>
      </c>
    </row>
    <row r="693" spans="1:14" x14ac:dyDescent="0.25">
      <c r="A693" s="350"/>
      <c r="B693" s="114"/>
      <c r="C693" s="152"/>
      <c r="D693" s="39"/>
      <c r="F693" s="28"/>
      <c r="G693" s="28"/>
      <c r="H693" s="220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57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0">
        <v>46321</v>
      </c>
      <c r="B694" s="114" t="s">
        <v>12</v>
      </c>
      <c r="C694" s="152" t="s">
        <v>411</v>
      </c>
      <c r="D694" s="39" t="s">
        <v>351</v>
      </c>
      <c r="E694" s="40" t="s">
        <v>16</v>
      </c>
      <c r="F694" s="28">
        <v>33719</v>
      </c>
      <c r="G694" s="28">
        <v>36000</v>
      </c>
      <c r="H694" s="220">
        <f>IF(Tabla1[[#This Row],[Codigo_actividad]]&lt;&gt;2.5,IF(((Tabla1[[#This Row],[fin]]-Tabla1[[#This Row],[inicio]])/1000)=0,"",((Tabla1[[#This Row],[fin]]-Tabla1[[#This Row],[inicio]])/1000)),"")</f>
        <v>2.2810000000000001</v>
      </c>
      <c r="I694" s="66"/>
      <c r="J694" s="76">
        <v>2.6</v>
      </c>
      <c r="K694" s="66" t="str">
        <f>IF(_xlfn.XLOOKUP($J694,Catalogo!$B$7:$B$210,Catalogo!$I$7:$I$210,"",0)=0,"",_xlfn.XLOOKUP($J694,Catalogo!$B$7:$B$210,Catalogo!$I$7:$I$210,"",0))</f>
        <v>Localizacion</v>
      </c>
      <c r="L694" s="36">
        <f>+_xlfn.XLOOKUP(Tabla1[[#This Row],[Ducto]],'R (s04)'!B:B,'R (s04)'!C:C)</f>
        <v>47.596499999999999</v>
      </c>
      <c r="M694" s="257">
        <f>IF(Tabla1[[#This Row],[Avance_km]]&lt;&gt;"",Tabla1[[#This Row],[Avance_km]],Tabla1[[#This Row],[Avance_Med]])*_xlfn.XLOOKUP(Tabla1[[#This Row],[Codigo_actividad]],Catalogo!$B$6:$B$51,Catalogo!$F$6:$F$51,0)</f>
        <v>5149.1750200000006</v>
      </c>
    </row>
    <row r="695" spans="1:14" x14ac:dyDescent="0.25">
      <c r="A695" s="350">
        <v>46322</v>
      </c>
      <c r="B695" s="114" t="s">
        <v>12</v>
      </c>
      <c r="C695" s="152" t="s">
        <v>411</v>
      </c>
      <c r="D695" s="39" t="s">
        <v>351</v>
      </c>
      <c r="E695" s="40" t="s">
        <v>28</v>
      </c>
      <c r="F695" s="28">
        <v>31253</v>
      </c>
      <c r="G695" s="28">
        <v>33265</v>
      </c>
      <c r="H695" s="220">
        <f>IF(Tabla1[[#This Row],[Codigo_actividad]]&lt;&gt;2.5,IF(((Tabla1[[#This Row],[fin]]-Tabla1[[#This Row],[inicio]])/1000)=0,"",((Tabla1[[#This Row],[fin]]-Tabla1[[#This Row],[inicio]])/1000)),"")</f>
        <v>2.012</v>
      </c>
      <c r="I695" s="66"/>
      <c r="J695" s="76">
        <v>2.1</v>
      </c>
      <c r="K695" s="66" t="str">
        <f>IF(_xlfn.XLOOKUP($J695,Catalogo!$B$7:$B$210,Catalogo!$I$7:$I$210,"",0)=0,"",_xlfn.XLOOKUP($J695,Catalogo!$B$7:$B$210,Catalogo!$I$7:$I$210,"",0))</f>
        <v>CIPS</v>
      </c>
      <c r="L695" s="36">
        <f>+_xlfn.XLOOKUP(Tabla1[[#This Row],[Ducto]],'R (s04)'!B:B,'R (s04)'!C:C)</f>
        <v>47.596499999999999</v>
      </c>
      <c r="M695" s="257">
        <f>IF(Tabla1[[#This Row],[Avance_km]]&lt;&gt;"",Tabla1[[#This Row],[Avance_km]],Tabla1[[#This Row],[Avance_Med]])*_xlfn.XLOOKUP(Tabla1[[#This Row],[Codigo_actividad]],Catalogo!$B$6:$B$51,Catalogo!$F$6:$F$51,0)</f>
        <v>29217.07692</v>
      </c>
      <c r="N695" t="str">
        <f>_xlfn.IFNA(_xlfn.XLOOKUP(Tabla1[[#This Row],[fin]],$P$379:$P$398,$T$379:$T$398),"")</f>
        <v/>
      </c>
    </row>
    <row r="696" spans="1:14" x14ac:dyDescent="0.25">
      <c r="A696" s="350">
        <v>46323</v>
      </c>
      <c r="B696" s="114" t="s">
        <v>12</v>
      </c>
      <c r="C696" s="152" t="s">
        <v>411</v>
      </c>
      <c r="D696" s="39" t="s">
        <v>351</v>
      </c>
      <c r="E696" s="40" t="s">
        <v>16</v>
      </c>
      <c r="F696" s="28">
        <v>36000</v>
      </c>
      <c r="G696" s="28">
        <v>37000</v>
      </c>
      <c r="H696" s="220">
        <f>IF(Tabla1[[#This Row],[Codigo_actividad]]&lt;&gt;2.5,IF(((Tabla1[[#This Row],[fin]]-Tabla1[[#This Row],[inicio]])/1000)=0,"",((Tabla1[[#This Row],[fin]]-Tabla1[[#This Row],[inicio]])/1000)),"")</f>
        <v>1</v>
      </c>
      <c r="I696" s="66"/>
      <c r="J696" s="76">
        <v>2.6</v>
      </c>
      <c r="K696" s="66" t="str">
        <f>IF(_xlfn.XLOOKUP($J696,Catalogo!$B$7:$B$210,Catalogo!$I$7:$I$210,"",0)=0,"",_xlfn.XLOOKUP($J696,Catalogo!$B$7:$B$210,Catalogo!$I$7:$I$210,"",0))</f>
        <v>Localizacion</v>
      </c>
      <c r="L696" s="36">
        <f>+_xlfn.XLOOKUP(Tabla1[[#This Row],[Ducto]],'R (s04)'!B:B,'R (s04)'!C:C)</f>
        <v>47.596499999999999</v>
      </c>
      <c r="M696" s="257">
        <f>IF(Tabla1[[#This Row],[Avance_km]]&lt;&gt;"",Tabla1[[#This Row],[Avance_km]],Tabla1[[#This Row],[Avance_Med]])*_xlfn.XLOOKUP(Tabla1[[#This Row],[Codigo_actividad]],Catalogo!$B$6:$B$51,Catalogo!$F$6:$F$51,0)</f>
        <v>2257.42</v>
      </c>
      <c r="N696" t="str">
        <f>_xlfn.IFNA(_xlfn.XLOOKUP(Tabla1[[#This Row],[fin]],$P$379:$P$398,$T$379:$T$398),"")</f>
        <v/>
      </c>
    </row>
    <row r="697" spans="1:14" x14ac:dyDescent="0.25">
      <c r="A697" s="350">
        <v>46324</v>
      </c>
      <c r="B697" s="114"/>
      <c r="C697" s="152"/>
      <c r="D697" s="39"/>
      <c r="F697" s="28"/>
      <c r="G697" s="28"/>
      <c r="H697" s="220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57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0">
        <v>46325</v>
      </c>
      <c r="B698" s="114"/>
      <c r="C698" s="152"/>
      <c r="D698" s="39"/>
      <c r="F698" s="28"/>
      <c r="G698" s="28"/>
      <c r="H698" s="220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57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0">
        <v>46326</v>
      </c>
      <c r="B699" s="114"/>
      <c r="C699" s="152"/>
      <c r="D699" s="39"/>
      <c r="F699" s="28"/>
      <c r="G699" s="28"/>
      <c r="H699" s="220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57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0"/>
      <c r="B700" s="114"/>
      <c r="C700" s="152"/>
      <c r="D700" s="39"/>
      <c r="F700" s="28"/>
      <c r="G700" s="28"/>
      <c r="H700" s="220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57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0"/>
      <c r="B701" s="114"/>
      <c r="C701" s="152"/>
      <c r="D701" s="39"/>
      <c r="F701" s="28"/>
      <c r="G701" s="28"/>
      <c r="H701" s="220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57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0"/>
      <c r="B702" s="114"/>
      <c r="C702" s="152"/>
      <c r="D702" s="39"/>
      <c r="F702" s="28"/>
      <c r="G702" s="28"/>
      <c r="H702" s="220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57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0"/>
      <c r="B703" s="114"/>
      <c r="C703" s="152"/>
      <c r="D703" s="39"/>
      <c r="F703" s="28"/>
      <c r="G703" s="28"/>
      <c r="H703" s="220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57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0"/>
      <c r="B704" s="114"/>
      <c r="C704" s="152"/>
      <c r="D704" s="39"/>
      <c r="F704" s="28"/>
      <c r="G704" s="28"/>
      <c r="H704" s="220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57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0"/>
      <c r="B705" s="114"/>
      <c r="C705" s="152"/>
      <c r="D705" s="39"/>
      <c r="F705" s="28"/>
      <c r="G705" s="28"/>
      <c r="H705" s="220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57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0"/>
      <c r="B706" s="114"/>
      <c r="C706" s="152"/>
      <c r="D706" s="39"/>
      <c r="F706" s="28"/>
      <c r="G706" s="28"/>
      <c r="H706" s="220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57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0"/>
      <c r="B707" s="114"/>
      <c r="C707" s="152"/>
      <c r="D707" s="39"/>
      <c r="F707" s="28"/>
      <c r="G707" s="28"/>
      <c r="H707" s="220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57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0"/>
      <c r="B708" s="114"/>
      <c r="C708" s="152"/>
      <c r="D708" s="39"/>
      <c r="F708" s="28"/>
      <c r="G708" s="28"/>
      <c r="H708" s="220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57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5"/>
      <c r="B709" s="279"/>
      <c r="C709" s="280"/>
      <c r="D709" s="281"/>
      <c r="E709" s="376"/>
      <c r="F709" s="282"/>
      <c r="G709" s="282"/>
      <c r="H709" s="511" t="str">
        <f>IF(Tabla1[[#This Row],[Codigo_actividad]]&lt;&gt;2.5,IF(((Tabla1[[#This Row],[fin]]-Tabla1[[#This Row],[inicio]])/1000)=0,"",((Tabla1[[#This Row],[fin]]-Tabla1[[#This Row],[inicio]])/1000)),"")</f>
        <v/>
      </c>
      <c r="I709" s="512"/>
      <c r="J709" s="512"/>
      <c r="K709" s="512" t="str">
        <f>IF(_xlfn.XLOOKUP($J709,Catalogo!$B$7:$B$21,Catalogo!$I$7:$I$21,"",0)=0,"",_xlfn.XLOOKUP($J709,Catalogo!$B$7:$B$21,Catalogo!$I$7:$I$21,"",0))</f>
        <v/>
      </c>
      <c r="L709" s="513"/>
      <c r="M709" s="514">
        <f>IF(Tabla1[[#This Row],[Avance_km]]&lt;&gt;"",Tabla1[[#This Row],[Avance_km]],Tabla1[[#This Row],[Avance_Med]])*_xlfn.XLOOKUP(Tabla1[[#This Row],[Codigo_actividad]],Catalogo!$B$6:$B$51,Catalogo!$F$6:$F$51,0)</f>
        <v>0</v>
      </c>
      <c r="N709" s="515" t="str">
        <f>_xlfn.IFNA(_xlfn.XLOOKUP(Tabla1[[#This Row],[fin]],$P$379:$P$398,$T$379:$T$398),"")</f>
        <v/>
      </c>
    </row>
    <row r="710" spans="1:14" x14ac:dyDescent="0.25">
      <c r="A710" s="350"/>
      <c r="B710" s="114"/>
      <c r="C710" s="152"/>
      <c r="D710" s="39"/>
      <c r="F710" s="28"/>
      <c r="G710" s="28"/>
      <c r="H710" s="220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66" t="str">
        <f>IF(_xlfn.XLOOKUP($J710,Catalogo!$B$7:$B$21,Catalogo!$I$7:$I$21,"",0)=0,"",_xlfn.XLOOKUP($J710,Catalogo!$B$7:$B$21,Catalogo!$I$7:$I$21,"",0))</f>
        <v/>
      </c>
      <c r="L710" s="36"/>
      <c r="M710" s="257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0">
        <v>46280</v>
      </c>
      <c r="B711" s="114" t="s">
        <v>30</v>
      </c>
      <c r="C711" s="508" t="s">
        <v>13</v>
      </c>
      <c r="D711" s="39" t="s">
        <v>14</v>
      </c>
      <c r="E711" s="40" t="s">
        <v>119</v>
      </c>
      <c r="F711" s="489">
        <v>3901</v>
      </c>
      <c r="G711" s="28" t="s">
        <v>617</v>
      </c>
      <c r="H711" s="220"/>
      <c r="I711" s="497">
        <v>1</v>
      </c>
      <c r="J711" s="76">
        <v>3.2</v>
      </c>
      <c r="K711" s="66" t="str">
        <f>IF(_xlfn.XLOOKUP($J711,Catalogo!$B$7:$B$210,Catalogo!$I$7:$I$210,"",0)=0,"",_xlfn.XLOOKUP($J711,Catalogo!$B$7:$B$210,Catalogo!$I$7:$I$210,"",0))</f>
        <v>DATA EXC</v>
      </c>
      <c r="L711" s="36"/>
      <c r="M711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2" spans="1:14" x14ac:dyDescent="0.25">
      <c r="A712" s="350">
        <v>46280</v>
      </c>
      <c r="B712" s="114" t="s">
        <v>30</v>
      </c>
      <c r="C712" s="508" t="s">
        <v>13</v>
      </c>
      <c r="D712" s="39" t="s">
        <v>14</v>
      </c>
      <c r="E712" s="40" t="s">
        <v>531</v>
      </c>
      <c r="F712" s="489">
        <v>3901</v>
      </c>
      <c r="G712" s="28" t="s">
        <v>617</v>
      </c>
      <c r="H712" s="220"/>
      <c r="I712" s="497">
        <v>1</v>
      </c>
      <c r="J712" s="76" t="s">
        <v>122</v>
      </c>
      <c r="K712" s="66" t="str">
        <f>IF(_xlfn.XLOOKUP($J712,Catalogo!$B$7:$B$210,Catalogo!$I$7:$I$210,"",0)=0,"",_xlfn.XLOOKUP($J712,Catalogo!$B$7:$B$210,Catalogo!$I$7:$I$210,"",0))</f>
        <v>VT</v>
      </c>
      <c r="L712" s="36"/>
      <c r="M712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3" spans="1:14" x14ac:dyDescent="0.25">
      <c r="A713" s="350">
        <v>46280</v>
      </c>
      <c r="B713" s="114" t="s">
        <v>30</v>
      </c>
      <c r="C713" s="508" t="s">
        <v>13</v>
      </c>
      <c r="D713" s="39" t="s">
        <v>14</v>
      </c>
      <c r="E713" s="40" t="s">
        <v>125</v>
      </c>
      <c r="F713" s="489">
        <v>3901</v>
      </c>
      <c r="G713" s="28" t="s">
        <v>617</v>
      </c>
      <c r="H713" s="220"/>
      <c r="I713" s="497">
        <v>1</v>
      </c>
      <c r="J713" s="76" t="s">
        <v>124</v>
      </c>
      <c r="K713" s="66" t="str">
        <f>IF(_xlfn.XLOOKUP($J713,Catalogo!$B$7:$B$210,Catalogo!$I$7:$I$210,"",0)=0,"",_xlfn.XLOOKUP($J713,Catalogo!$B$7:$B$210,Catalogo!$I$7:$I$210,"",0))</f>
        <v>SANIDAD Y ESPESORES</v>
      </c>
      <c r="L713" s="36"/>
      <c r="M713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4" spans="1:14" x14ac:dyDescent="0.25">
      <c r="A714" s="350">
        <v>46280</v>
      </c>
      <c r="B714" s="114" t="s">
        <v>30</v>
      </c>
      <c r="C714" s="508" t="s">
        <v>13</v>
      </c>
      <c r="D714" s="39" t="s">
        <v>14</v>
      </c>
      <c r="E714" s="40" t="s">
        <v>128</v>
      </c>
      <c r="F714" s="489">
        <v>3901</v>
      </c>
      <c r="G714" s="28" t="s">
        <v>617</v>
      </c>
      <c r="H714" s="220"/>
      <c r="I714" s="497">
        <v>1</v>
      </c>
      <c r="J714" s="76" t="s">
        <v>127</v>
      </c>
      <c r="K714" s="66" t="str">
        <f>IF(_xlfn.XLOOKUP($J714,Catalogo!$B$7:$B$210,Catalogo!$I$7:$I$210,"",0)=0,"",_xlfn.XLOOKUP($J714,Catalogo!$B$7:$B$210,Catalogo!$I$7:$I$210,"",0))</f>
        <v>CARACTERIZACION</v>
      </c>
      <c r="L714" s="36"/>
      <c r="M714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15" spans="1:14" x14ac:dyDescent="0.25">
      <c r="A715" s="350">
        <v>46280</v>
      </c>
      <c r="B715" s="114" t="s">
        <v>30</v>
      </c>
      <c r="C715" s="508" t="s">
        <v>13</v>
      </c>
      <c r="D715" s="39" t="s">
        <v>14</v>
      </c>
      <c r="E715" s="40" t="s">
        <v>132</v>
      </c>
      <c r="F715" s="489">
        <v>3901</v>
      </c>
      <c r="G715" s="28" t="s">
        <v>617</v>
      </c>
      <c r="H715" s="220"/>
      <c r="I715" s="497">
        <v>1</v>
      </c>
      <c r="J715" s="76" t="s">
        <v>131</v>
      </c>
      <c r="K715" s="66" t="str">
        <f>IF(_xlfn.XLOOKUP($J715,Catalogo!$B$7:$B$210,Catalogo!$I$7:$I$210,"",0)=0,"",_xlfn.XLOOKUP($J715,Catalogo!$B$7:$B$210,Catalogo!$I$7:$I$210,"",0))</f>
        <v>UT RECTO</v>
      </c>
      <c r="L715" s="36"/>
      <c r="M715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16" spans="1:14" x14ac:dyDescent="0.25">
      <c r="A716" s="350">
        <v>46280</v>
      </c>
      <c r="B716" s="114" t="s">
        <v>30</v>
      </c>
      <c r="C716" s="508" t="s">
        <v>13</v>
      </c>
      <c r="D716" s="39" t="s">
        <v>14</v>
      </c>
      <c r="E716" s="40" t="s">
        <v>138</v>
      </c>
      <c r="F716" s="489">
        <v>3901</v>
      </c>
      <c r="G716" s="28" t="s">
        <v>617</v>
      </c>
      <c r="H716" s="220"/>
      <c r="I716" s="497">
        <v>1</v>
      </c>
      <c r="J716" s="76" t="s">
        <v>137</v>
      </c>
      <c r="K716" s="66" t="str">
        <f>IF(_xlfn.XLOOKUP($J716,Catalogo!$B$7:$B$210,Catalogo!$I$7:$I$210,"",0)=0,"",_xlfn.XLOOKUP($J716,Catalogo!$B$7:$B$210,Catalogo!$I$7:$I$210,"",0))</f>
        <v>PH EXC</v>
      </c>
      <c r="L716" s="36"/>
      <c r="M716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17" spans="1:14" x14ac:dyDescent="0.25">
      <c r="A717" s="350">
        <v>46280</v>
      </c>
      <c r="B717" s="114" t="s">
        <v>30</v>
      </c>
      <c r="C717" s="508" t="s">
        <v>13</v>
      </c>
      <c r="D717" s="39" t="s">
        <v>14</v>
      </c>
      <c r="E717" s="40" t="s">
        <v>140</v>
      </c>
      <c r="F717" s="489">
        <v>3901</v>
      </c>
      <c r="G717" s="28" t="s">
        <v>617</v>
      </c>
      <c r="H717" s="220"/>
      <c r="I717" s="497">
        <v>1</v>
      </c>
      <c r="J717" s="76" t="s">
        <v>139</v>
      </c>
      <c r="K717" s="66" t="str">
        <f>IF(_xlfn.XLOOKUP($J717,Catalogo!$B$7:$B$210,Catalogo!$I$7:$I$210,"",0)=0,"",_xlfn.XLOOKUP($J717,Catalogo!$B$7:$B$210,Catalogo!$I$7:$I$210,"",0))</f>
        <v>BACTERIAS EXC</v>
      </c>
      <c r="L717" s="36"/>
      <c r="M717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18" spans="1:14" x14ac:dyDescent="0.25">
      <c r="A718" s="350"/>
      <c r="B718" s="114"/>
      <c r="C718" s="508"/>
      <c r="D718" s="39"/>
      <c r="F718" s="28"/>
      <c r="G718" s="28"/>
      <c r="H718" s="220" t="str">
        <f>IF(Tabla1[[#This Row],[Codigo_actividad]]&lt;&gt;2.5,IF(((Tabla1[[#This Row],[fin]]-Tabla1[[#This Row],[inicio]])/1000)=0,"",((Tabla1[[#This Row],[fin]]-Tabla1[[#This Row],[inicio]])/1000)),"")</f>
        <v/>
      </c>
      <c r="I718" s="66"/>
      <c r="J718" s="76"/>
      <c r="K718" s="66" t="str">
        <f>IF(_xlfn.XLOOKUP($J718,Catalogo!$B$7:$B$21,Catalogo!$I$7:$I$21,"",0)=0,"",_xlfn.XLOOKUP($J718,Catalogo!$B$7:$B$21,Catalogo!$I$7:$I$21,"",0))</f>
        <v/>
      </c>
      <c r="L718" s="36"/>
      <c r="M718" s="257">
        <f>IF(Tabla1[[#This Row],[Avance_km]]&lt;&gt;"",Tabla1[[#This Row],[Avance_km]],Tabla1[[#This Row],[Avance_Med]])*_xlfn.XLOOKUP(Tabla1[[#This Row],[Codigo_actividad]],Catalogo!$B$6:$B$51,Catalogo!$F$6:$F$51,0)</f>
        <v>0</v>
      </c>
      <c r="N718" t="str">
        <f>_xlfn.IFNA(_xlfn.XLOOKUP(Tabla1[[#This Row],[fin]],$P$379:$P$398,$T$379:$T$398),"")</f>
        <v/>
      </c>
    </row>
    <row r="719" spans="1:14" x14ac:dyDescent="0.25">
      <c r="A719" s="350">
        <v>46259</v>
      </c>
      <c r="B719" s="114" t="s">
        <v>30</v>
      </c>
      <c r="C719" s="508" t="s">
        <v>13</v>
      </c>
      <c r="D719" s="39" t="s">
        <v>14</v>
      </c>
      <c r="E719" s="40" t="s">
        <v>119</v>
      </c>
      <c r="F719" s="489">
        <v>12165.28</v>
      </c>
      <c r="G719" s="28" t="s">
        <v>617</v>
      </c>
      <c r="H719" s="220"/>
      <c r="I719" s="497">
        <v>1</v>
      </c>
      <c r="J719" s="76">
        <v>3.2</v>
      </c>
      <c r="K719" s="66" t="str">
        <f>IF(_xlfn.XLOOKUP($J719,Catalogo!$B$7:$B$210,Catalogo!$I$7:$I$210,"",0)=0,"",_xlfn.XLOOKUP($J719,Catalogo!$B$7:$B$210,Catalogo!$I$7:$I$210,"",0))</f>
        <v>DATA EXC</v>
      </c>
      <c r="L719" s="36"/>
      <c r="M719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19" t="s">
        <v>559</v>
      </c>
    </row>
    <row r="720" spans="1:14" x14ac:dyDescent="0.25">
      <c r="A720" s="350">
        <v>46259</v>
      </c>
      <c r="B720" s="114" t="s">
        <v>30</v>
      </c>
      <c r="C720" s="508" t="s">
        <v>13</v>
      </c>
      <c r="D720" s="39" t="s">
        <v>14</v>
      </c>
      <c r="E720" s="40" t="s">
        <v>531</v>
      </c>
      <c r="F720" s="489">
        <v>12165.28</v>
      </c>
      <c r="G720" s="28" t="s">
        <v>617</v>
      </c>
      <c r="H720" s="220"/>
      <c r="I720" s="497">
        <v>1</v>
      </c>
      <c r="J720" s="76" t="s">
        <v>122</v>
      </c>
      <c r="K720" s="66" t="str">
        <f>IF(_xlfn.XLOOKUP($J720,Catalogo!$B$7:$B$210,Catalogo!$I$7:$I$210,"",0)=0,"",_xlfn.XLOOKUP($J720,Catalogo!$B$7:$B$210,Catalogo!$I$7:$I$210,"",0))</f>
        <v>VT</v>
      </c>
      <c r="L720" s="36"/>
      <c r="M720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20" t="s">
        <v>559</v>
      </c>
    </row>
    <row r="721" spans="1:14" x14ac:dyDescent="0.25">
      <c r="A721" s="350">
        <v>46259</v>
      </c>
      <c r="B721" s="114" t="s">
        <v>30</v>
      </c>
      <c r="C721" s="508" t="s">
        <v>13</v>
      </c>
      <c r="D721" s="39" t="s">
        <v>14</v>
      </c>
      <c r="E721" s="40" t="s">
        <v>125</v>
      </c>
      <c r="F721" s="489">
        <v>12165.28</v>
      </c>
      <c r="G721" s="28" t="s">
        <v>617</v>
      </c>
      <c r="H721" s="220"/>
      <c r="I721" s="497">
        <v>1</v>
      </c>
      <c r="J721" s="76" t="s">
        <v>124</v>
      </c>
      <c r="K721" s="66" t="str">
        <f>IF(_xlfn.XLOOKUP($J721,Catalogo!$B$7:$B$210,Catalogo!$I$7:$I$210,"",0)=0,"",_xlfn.XLOOKUP($J721,Catalogo!$B$7:$B$210,Catalogo!$I$7:$I$210,"",0))</f>
        <v>SANIDAD Y ESPESORES</v>
      </c>
      <c r="L721" s="36"/>
      <c r="M721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21" t="s">
        <v>559</v>
      </c>
    </row>
    <row r="722" spans="1:14" x14ac:dyDescent="0.25">
      <c r="A722" s="350">
        <v>46259</v>
      </c>
      <c r="B722" s="114" t="s">
        <v>30</v>
      </c>
      <c r="C722" s="508" t="s">
        <v>13</v>
      </c>
      <c r="D722" s="39" t="s">
        <v>14</v>
      </c>
      <c r="E722" s="40" t="s">
        <v>128</v>
      </c>
      <c r="F722" s="489">
        <v>12165.28</v>
      </c>
      <c r="G722" s="28" t="s">
        <v>617</v>
      </c>
      <c r="H722" s="220"/>
      <c r="I722" s="497">
        <v>1</v>
      </c>
      <c r="J722" s="76" t="s">
        <v>127</v>
      </c>
      <c r="K722" s="66" t="str">
        <f>IF(_xlfn.XLOOKUP($J722,Catalogo!$B$7:$B$210,Catalogo!$I$7:$I$210,"",0)=0,"",_xlfn.XLOOKUP($J722,Catalogo!$B$7:$B$210,Catalogo!$I$7:$I$210,"",0))</f>
        <v>CARACTERIZACION</v>
      </c>
      <c r="L722" s="36"/>
      <c r="M722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22" t="s">
        <v>559</v>
      </c>
    </row>
    <row r="723" spans="1:14" x14ac:dyDescent="0.25">
      <c r="A723" s="350">
        <v>46259</v>
      </c>
      <c r="B723" s="114" t="s">
        <v>30</v>
      </c>
      <c r="C723" s="508" t="s">
        <v>13</v>
      </c>
      <c r="D723" s="39" t="s">
        <v>14</v>
      </c>
      <c r="E723" s="40" t="s">
        <v>132</v>
      </c>
      <c r="F723" s="489">
        <v>12165.28</v>
      </c>
      <c r="G723" s="28" t="s">
        <v>617</v>
      </c>
      <c r="H723" s="220"/>
      <c r="I723" s="497">
        <v>1</v>
      </c>
      <c r="J723" s="76" t="s">
        <v>131</v>
      </c>
      <c r="K723" s="66" t="str">
        <f>IF(_xlfn.XLOOKUP($J723,Catalogo!$B$7:$B$210,Catalogo!$I$7:$I$210,"",0)=0,"",_xlfn.XLOOKUP($J723,Catalogo!$B$7:$B$210,Catalogo!$I$7:$I$210,"",0))</f>
        <v>UT RECTO</v>
      </c>
      <c r="L723" s="36"/>
      <c r="M72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23" t="s">
        <v>559</v>
      </c>
    </row>
    <row r="724" spans="1:14" x14ac:dyDescent="0.25">
      <c r="A724" s="350">
        <v>46259</v>
      </c>
      <c r="B724" s="114" t="s">
        <v>30</v>
      </c>
      <c r="C724" s="508" t="s">
        <v>13</v>
      </c>
      <c r="D724" s="39" t="s">
        <v>14</v>
      </c>
      <c r="E724" s="40" t="s">
        <v>138</v>
      </c>
      <c r="F724" s="489">
        <v>12165.28</v>
      </c>
      <c r="G724" s="28" t="s">
        <v>617</v>
      </c>
      <c r="H724" s="220"/>
      <c r="I724" s="497">
        <v>1</v>
      </c>
      <c r="J724" s="76" t="s">
        <v>137</v>
      </c>
      <c r="K724" s="66" t="str">
        <f>IF(_xlfn.XLOOKUP($J724,Catalogo!$B$7:$B$210,Catalogo!$I$7:$I$210,"",0)=0,"",_xlfn.XLOOKUP($J724,Catalogo!$B$7:$B$210,Catalogo!$I$7:$I$210,"",0))</f>
        <v>PH EXC</v>
      </c>
      <c r="L724" s="36"/>
      <c r="M724" s="257">
        <f>IF(Tabla1[[#This Row],[Avance_km]]&lt;&gt;"",Tabla1[[#This Row],[Avance_km]],Tabla1[[#This Row],[Avance_Med]])*_xlfn.XLOOKUP(Tabla1[[#This Row],[Codigo_actividad]],Catalogo!$B$6:$B$51,Catalogo!$F$6:$F$51,0)</f>
        <v>656</v>
      </c>
      <c r="N724" t="s">
        <v>559</v>
      </c>
    </row>
    <row r="725" spans="1:14" x14ac:dyDescent="0.25">
      <c r="A725" s="350">
        <v>46259</v>
      </c>
      <c r="B725" s="114" t="s">
        <v>30</v>
      </c>
      <c r="C725" s="508" t="s">
        <v>13</v>
      </c>
      <c r="D725" s="39" t="s">
        <v>14</v>
      </c>
      <c r="E725" s="40" t="s">
        <v>140</v>
      </c>
      <c r="F725" s="489">
        <v>12165.28</v>
      </c>
      <c r="G725" s="28" t="s">
        <v>617</v>
      </c>
      <c r="H725" s="220"/>
      <c r="I725" s="497">
        <v>1</v>
      </c>
      <c r="J725" s="76" t="s">
        <v>139</v>
      </c>
      <c r="K725" s="66" t="str">
        <f>IF(_xlfn.XLOOKUP($J725,Catalogo!$B$7:$B$210,Catalogo!$I$7:$I$210,"",0)=0,"",_xlfn.XLOOKUP($J725,Catalogo!$B$7:$B$210,Catalogo!$I$7:$I$210,"",0))</f>
        <v>BACTERIAS EXC</v>
      </c>
      <c r="L725" s="36"/>
      <c r="M725" s="257">
        <f>IF(Tabla1[[#This Row],[Avance_km]]&lt;&gt;"",Tabla1[[#This Row],[Avance_km]],Tabla1[[#This Row],[Avance_Med]])*_xlfn.XLOOKUP(Tabla1[[#This Row],[Codigo_actividad]],Catalogo!$B$6:$B$51,Catalogo!$F$6:$F$51,0)</f>
        <v>4676</v>
      </c>
      <c r="N725" t="s">
        <v>559</v>
      </c>
    </row>
    <row r="726" spans="1:14" x14ac:dyDescent="0.25">
      <c r="A726" s="350"/>
      <c r="C726" s="508"/>
      <c r="D726" s="39"/>
      <c r="F726" s="28"/>
      <c r="G726" s="28"/>
      <c r="H726" s="220" t="str">
        <f>IF(Tabla1[[#This Row],[Codigo_actividad]]&lt;&gt;2.5,IF(((Tabla1[[#This Row],[fin]]-Tabla1[[#This Row],[inicio]])/1000)=0,"",((Tabla1[[#This Row],[fin]]-Tabla1[[#This Row],[inicio]])/1000)),"")</f>
        <v/>
      </c>
      <c r="J726" s="76"/>
      <c r="K726" s="66" t="str">
        <f>IF(_xlfn.XLOOKUP($J726,Catalogo!$B$7:$B$21,Catalogo!$I$7:$I$21,"",0)=0,"",_xlfn.XLOOKUP($J726,Catalogo!$B$7:$B$21,Catalogo!$I$7:$I$21,"",0))</f>
        <v/>
      </c>
      <c r="L726" s="36"/>
      <c r="M726" s="257">
        <f>IF(Tabla1[[#This Row],[Avance_km]]&lt;&gt;"",Tabla1[[#This Row],[Avance_km]],Tabla1[[#This Row],[Avance_Med]])*_xlfn.XLOOKUP(Tabla1[[#This Row],[Codigo_actividad]],Catalogo!$B$6:$B$51,Catalogo!$F$6:$F$51,0)</f>
        <v>0</v>
      </c>
      <c r="N726" t="str">
        <f>_xlfn.IFNA(_xlfn.XLOOKUP(Tabla1[[#This Row],[fin]],$P$379:$P$398,$T$379:$T$398),"")</f>
        <v/>
      </c>
    </row>
    <row r="727" spans="1:14" x14ac:dyDescent="0.25">
      <c r="A727" s="350">
        <v>46282</v>
      </c>
      <c r="B727" s="114" t="s">
        <v>30</v>
      </c>
      <c r="C727" s="508" t="s">
        <v>13</v>
      </c>
      <c r="D727" s="39" t="s">
        <v>14</v>
      </c>
      <c r="E727" s="40" t="s">
        <v>119</v>
      </c>
      <c r="F727" s="489">
        <v>12168</v>
      </c>
      <c r="G727" s="28" t="s">
        <v>617</v>
      </c>
      <c r="H727" s="220"/>
      <c r="I727" s="497">
        <v>1</v>
      </c>
      <c r="J727" s="76">
        <v>3.2</v>
      </c>
      <c r="K727" s="66" t="str">
        <f>IF(_xlfn.XLOOKUP($J727,Catalogo!$B$7:$B$210,Catalogo!$I$7:$I$210,"",0)=0,"",_xlfn.XLOOKUP($J727,Catalogo!$B$7:$B$210,Catalogo!$I$7:$I$210,"",0))</f>
        <v>DATA EXC</v>
      </c>
      <c r="L727" s="36"/>
      <c r="M727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27" t="s">
        <v>558</v>
      </c>
    </row>
    <row r="728" spans="1:14" x14ac:dyDescent="0.25">
      <c r="A728" s="350">
        <v>46282</v>
      </c>
      <c r="B728" s="114" t="s">
        <v>30</v>
      </c>
      <c r="C728" s="508" t="s">
        <v>13</v>
      </c>
      <c r="D728" s="39" t="s">
        <v>14</v>
      </c>
      <c r="E728" s="40" t="s">
        <v>531</v>
      </c>
      <c r="F728" s="489">
        <v>12168</v>
      </c>
      <c r="G728" s="28" t="s">
        <v>617</v>
      </c>
      <c r="H728" s="220"/>
      <c r="I728" s="497">
        <v>1</v>
      </c>
      <c r="J728" s="76" t="s">
        <v>122</v>
      </c>
      <c r="K728" s="66" t="str">
        <f>IF(_xlfn.XLOOKUP($J728,Catalogo!$B$7:$B$210,Catalogo!$I$7:$I$210,"",0)=0,"",_xlfn.XLOOKUP($J728,Catalogo!$B$7:$B$210,Catalogo!$I$7:$I$210,"",0))</f>
        <v>VT</v>
      </c>
      <c r="L728" s="36"/>
      <c r="M728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28" t="s">
        <v>558</v>
      </c>
    </row>
    <row r="729" spans="1:14" x14ac:dyDescent="0.25">
      <c r="A729" s="350">
        <v>46282</v>
      </c>
      <c r="B729" s="114" t="s">
        <v>30</v>
      </c>
      <c r="C729" s="508" t="s">
        <v>13</v>
      </c>
      <c r="D729" s="39" t="s">
        <v>14</v>
      </c>
      <c r="E729" s="40" t="s">
        <v>125</v>
      </c>
      <c r="F729" s="489">
        <v>12168</v>
      </c>
      <c r="G729" s="28" t="s">
        <v>617</v>
      </c>
      <c r="H729" s="220"/>
      <c r="I729" s="497">
        <v>1</v>
      </c>
      <c r="J729" s="76" t="s">
        <v>124</v>
      </c>
      <c r="K729" s="66" t="str">
        <f>IF(_xlfn.XLOOKUP($J729,Catalogo!$B$7:$B$210,Catalogo!$I$7:$I$210,"",0)=0,"",_xlfn.XLOOKUP($J729,Catalogo!$B$7:$B$210,Catalogo!$I$7:$I$210,"",0))</f>
        <v>SANIDAD Y ESPESORES</v>
      </c>
      <c r="L729" s="36"/>
      <c r="M729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29" t="s">
        <v>558</v>
      </c>
    </row>
    <row r="730" spans="1:14" x14ac:dyDescent="0.25">
      <c r="A730" s="350">
        <v>46282</v>
      </c>
      <c r="B730" s="114" t="s">
        <v>30</v>
      </c>
      <c r="C730" s="508" t="s">
        <v>13</v>
      </c>
      <c r="D730" s="39" t="s">
        <v>14</v>
      </c>
      <c r="E730" s="40" t="s">
        <v>128</v>
      </c>
      <c r="F730" s="489">
        <v>12168</v>
      </c>
      <c r="G730" s="28" t="s">
        <v>617</v>
      </c>
      <c r="H730" s="220"/>
      <c r="I730" s="497">
        <v>1</v>
      </c>
      <c r="J730" s="76" t="s">
        <v>127</v>
      </c>
      <c r="K730" s="66" t="str">
        <f>IF(_xlfn.XLOOKUP($J730,Catalogo!$B$7:$B$210,Catalogo!$I$7:$I$210,"",0)=0,"",_xlfn.XLOOKUP($J730,Catalogo!$B$7:$B$210,Catalogo!$I$7:$I$210,"",0))</f>
        <v>CARACTERIZACION</v>
      </c>
      <c r="L730" s="36"/>
      <c r="M730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30" t="s">
        <v>558</v>
      </c>
    </row>
    <row r="731" spans="1:14" x14ac:dyDescent="0.25">
      <c r="A731" s="350">
        <v>46282</v>
      </c>
      <c r="B731" s="114" t="s">
        <v>30</v>
      </c>
      <c r="C731" s="508" t="s">
        <v>13</v>
      </c>
      <c r="D731" s="39" t="s">
        <v>14</v>
      </c>
      <c r="E731" s="40" t="s">
        <v>132</v>
      </c>
      <c r="F731" s="489">
        <v>12168</v>
      </c>
      <c r="G731" s="28" t="s">
        <v>617</v>
      </c>
      <c r="H731" s="220"/>
      <c r="I731" s="497">
        <v>1</v>
      </c>
      <c r="J731" s="76" t="s">
        <v>131</v>
      </c>
      <c r="K731" s="66" t="str">
        <f>IF(_xlfn.XLOOKUP($J731,Catalogo!$B$7:$B$210,Catalogo!$I$7:$I$210,"",0)=0,"",_xlfn.XLOOKUP($J731,Catalogo!$B$7:$B$210,Catalogo!$I$7:$I$210,"",0))</f>
        <v>UT RECTO</v>
      </c>
      <c r="L731" s="36"/>
      <c r="M731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31" t="s">
        <v>558</v>
      </c>
    </row>
    <row r="732" spans="1:14" x14ac:dyDescent="0.25">
      <c r="A732" s="350">
        <v>46282</v>
      </c>
      <c r="B732" s="114" t="s">
        <v>30</v>
      </c>
      <c r="C732" s="508" t="s">
        <v>13</v>
      </c>
      <c r="D732" s="39" t="s">
        <v>14</v>
      </c>
      <c r="E732" s="40" t="s">
        <v>138</v>
      </c>
      <c r="F732" s="489">
        <v>12168</v>
      </c>
      <c r="G732" s="28" t="s">
        <v>617</v>
      </c>
      <c r="H732" s="220"/>
      <c r="I732" s="497">
        <v>1</v>
      </c>
      <c r="J732" s="76" t="s">
        <v>137</v>
      </c>
      <c r="K732" s="66" t="str">
        <f>IF(_xlfn.XLOOKUP($J732,Catalogo!$B$7:$B$210,Catalogo!$I$7:$I$210,"",0)=0,"",_xlfn.XLOOKUP($J732,Catalogo!$B$7:$B$210,Catalogo!$I$7:$I$210,"",0))</f>
        <v>PH EXC</v>
      </c>
      <c r="L732" s="36"/>
      <c r="M732" s="257">
        <f>IF(Tabla1[[#This Row],[Avance_km]]&lt;&gt;"",Tabla1[[#This Row],[Avance_km]],Tabla1[[#This Row],[Avance_Med]])*_xlfn.XLOOKUP(Tabla1[[#This Row],[Codigo_actividad]],Catalogo!$B$6:$B$51,Catalogo!$F$6:$F$51,0)</f>
        <v>656</v>
      </c>
      <c r="N732" t="s">
        <v>558</v>
      </c>
    </row>
    <row r="733" spans="1:14" x14ac:dyDescent="0.25">
      <c r="A733" s="350">
        <v>46282</v>
      </c>
      <c r="B733" s="114" t="s">
        <v>30</v>
      </c>
      <c r="C733" s="508" t="s">
        <v>13</v>
      </c>
      <c r="D733" s="39" t="s">
        <v>14</v>
      </c>
      <c r="E733" s="40" t="s">
        <v>140</v>
      </c>
      <c r="F733" s="489">
        <v>12168</v>
      </c>
      <c r="G733" s="28" t="s">
        <v>617</v>
      </c>
      <c r="H733" s="220"/>
      <c r="I733" s="497">
        <v>1</v>
      </c>
      <c r="J733" s="76" t="s">
        <v>139</v>
      </c>
      <c r="K733" s="66" t="str">
        <f>IF(_xlfn.XLOOKUP($J733,Catalogo!$B$7:$B$210,Catalogo!$I$7:$I$210,"",0)=0,"",_xlfn.XLOOKUP($J733,Catalogo!$B$7:$B$210,Catalogo!$I$7:$I$210,"",0))</f>
        <v>BACTERIAS EXC</v>
      </c>
      <c r="L733" s="36"/>
      <c r="M733" s="257">
        <f>IF(Tabla1[[#This Row],[Avance_km]]&lt;&gt;"",Tabla1[[#This Row],[Avance_km]],Tabla1[[#This Row],[Avance_Med]])*_xlfn.XLOOKUP(Tabla1[[#This Row],[Codigo_actividad]],Catalogo!$B$6:$B$51,Catalogo!$F$6:$F$51,0)</f>
        <v>4676</v>
      </c>
      <c r="N733" t="s">
        <v>558</v>
      </c>
    </row>
    <row r="734" spans="1:14" x14ac:dyDescent="0.25">
      <c r="A734" s="350"/>
      <c r="B734" s="114"/>
      <c r="C734" s="508"/>
      <c r="D734" s="39"/>
      <c r="F734" s="28"/>
      <c r="G734" s="28"/>
      <c r="H734" s="220" t="str">
        <f>IF(Tabla1[[#This Row],[Codigo_actividad]]&lt;&gt;2.5,IF(((Tabla1[[#This Row],[fin]]-Tabla1[[#This Row],[inicio]])/1000)=0,"",((Tabla1[[#This Row],[fin]]-Tabla1[[#This Row],[inicio]])/1000)),"")</f>
        <v/>
      </c>
      <c r="I734" s="66"/>
      <c r="J734" s="76"/>
      <c r="K734" s="66" t="str">
        <f>IF(_xlfn.XLOOKUP($J734,Catalogo!$B$7:$B$21,Catalogo!$I$7:$I$21,"",0)=0,"",_xlfn.XLOOKUP($J734,Catalogo!$B$7:$B$21,Catalogo!$I$7:$I$21,"",0))</f>
        <v/>
      </c>
      <c r="L734" s="36"/>
      <c r="M734" s="257">
        <f>IF(Tabla1[[#This Row],[Avance_km]]&lt;&gt;"",Tabla1[[#This Row],[Avance_km]],Tabla1[[#This Row],[Avance_Med]])*_xlfn.XLOOKUP(Tabla1[[#This Row],[Codigo_actividad]],Catalogo!$B$6:$B$51,Catalogo!$F$6:$F$51,0)</f>
        <v>0</v>
      </c>
      <c r="N734" t="str">
        <f>_xlfn.IFNA(_xlfn.XLOOKUP(Tabla1[[#This Row],[fin]],$P$379:$P$398,$T$379:$T$398),"")</f>
        <v/>
      </c>
    </row>
    <row r="735" spans="1:14" x14ac:dyDescent="0.25">
      <c r="A735" s="350">
        <v>46261</v>
      </c>
      <c r="B735" s="114" t="s">
        <v>30</v>
      </c>
      <c r="C735" s="508" t="s">
        <v>13</v>
      </c>
      <c r="D735" s="39" t="s">
        <v>14</v>
      </c>
      <c r="E735" s="40" t="s">
        <v>119</v>
      </c>
      <c r="F735" s="489">
        <v>15734.73</v>
      </c>
      <c r="G735" s="28" t="s">
        <v>617</v>
      </c>
      <c r="H735" s="220"/>
      <c r="I735" s="497">
        <v>1</v>
      </c>
      <c r="J735" s="76">
        <v>3.2</v>
      </c>
      <c r="K735" s="66" t="str">
        <f>IF(_xlfn.XLOOKUP($J735,Catalogo!$B$7:$B$210,Catalogo!$I$7:$I$210,"",0)=0,"",_xlfn.XLOOKUP($J735,Catalogo!$B$7:$B$210,Catalogo!$I$7:$I$210,"",0))</f>
        <v>DATA EXC</v>
      </c>
      <c r="L735" s="36"/>
      <c r="M735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35" t="str">
        <f>_xlfn.IFNA(_xlfn.XLOOKUP(Tabla1[[#This Row],[fin]],$P$379:$P$398,$T$379:$T$398),"")</f>
        <v/>
      </c>
    </row>
    <row r="736" spans="1:14" x14ac:dyDescent="0.25">
      <c r="A736" s="350">
        <v>46261</v>
      </c>
      <c r="B736" s="114" t="s">
        <v>30</v>
      </c>
      <c r="C736" s="508" t="s">
        <v>13</v>
      </c>
      <c r="D736" s="39" t="s">
        <v>14</v>
      </c>
      <c r="E736" s="40" t="s">
        <v>531</v>
      </c>
      <c r="F736" s="489">
        <v>15734.73</v>
      </c>
      <c r="G736" s="28" t="s">
        <v>617</v>
      </c>
      <c r="H736" s="220"/>
      <c r="I736" s="497">
        <v>1</v>
      </c>
      <c r="J736" s="76" t="s">
        <v>122</v>
      </c>
      <c r="K736" s="66" t="str">
        <f>IF(_xlfn.XLOOKUP($J736,Catalogo!$B$7:$B$210,Catalogo!$I$7:$I$210,"",0)=0,"",_xlfn.XLOOKUP($J736,Catalogo!$B$7:$B$210,Catalogo!$I$7:$I$210,"",0))</f>
        <v>VT</v>
      </c>
      <c r="L736" s="36"/>
      <c r="M736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36" t="str">
        <f>_xlfn.IFNA(_xlfn.XLOOKUP(Tabla1[[#This Row],[fin]],$P$379:$P$398,$T$379:$T$398),"")</f>
        <v/>
      </c>
    </row>
    <row r="737" spans="1:14" x14ac:dyDescent="0.25">
      <c r="A737" s="350">
        <v>46261</v>
      </c>
      <c r="B737" s="114" t="s">
        <v>30</v>
      </c>
      <c r="C737" s="508" t="s">
        <v>13</v>
      </c>
      <c r="D737" s="39" t="s">
        <v>14</v>
      </c>
      <c r="E737" s="40" t="s">
        <v>125</v>
      </c>
      <c r="F737" s="489">
        <v>15734.73</v>
      </c>
      <c r="G737" s="28" t="s">
        <v>617</v>
      </c>
      <c r="H737" s="220"/>
      <c r="I737" s="497">
        <v>1</v>
      </c>
      <c r="J737" s="76" t="s">
        <v>124</v>
      </c>
      <c r="K737" s="66" t="str">
        <f>IF(_xlfn.XLOOKUP($J737,Catalogo!$B$7:$B$210,Catalogo!$I$7:$I$210,"",0)=0,"",_xlfn.XLOOKUP($J737,Catalogo!$B$7:$B$210,Catalogo!$I$7:$I$210,"",0))</f>
        <v>SANIDAD Y ESPESORES</v>
      </c>
      <c r="L737" s="36"/>
      <c r="M737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37" t="str">
        <f>_xlfn.IFNA(_xlfn.XLOOKUP(Tabla1[[#This Row],[fin]],$P$379:$P$398,$T$379:$T$398),"")</f>
        <v/>
      </c>
    </row>
    <row r="738" spans="1:14" x14ac:dyDescent="0.25">
      <c r="A738" s="350">
        <v>46261</v>
      </c>
      <c r="B738" s="114" t="s">
        <v>30</v>
      </c>
      <c r="C738" s="508" t="s">
        <v>13</v>
      </c>
      <c r="D738" s="39" t="s">
        <v>14</v>
      </c>
      <c r="E738" s="40" t="s">
        <v>128</v>
      </c>
      <c r="F738" s="489">
        <v>15734.73</v>
      </c>
      <c r="G738" s="28" t="s">
        <v>617</v>
      </c>
      <c r="H738" s="220"/>
      <c r="I738" s="497">
        <v>1</v>
      </c>
      <c r="J738" s="76" t="s">
        <v>127</v>
      </c>
      <c r="K738" s="66" t="str">
        <f>IF(_xlfn.XLOOKUP($J738,Catalogo!$B$7:$B$210,Catalogo!$I$7:$I$210,"",0)=0,"",_xlfn.XLOOKUP($J738,Catalogo!$B$7:$B$210,Catalogo!$I$7:$I$210,"",0))</f>
        <v>CARACTERIZACION</v>
      </c>
      <c r="L738" s="36"/>
      <c r="M738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38" t="str">
        <f>_xlfn.IFNA(_xlfn.XLOOKUP(Tabla1[[#This Row],[fin]],$P$379:$P$398,$T$379:$T$398),"")</f>
        <v/>
      </c>
    </row>
    <row r="739" spans="1:14" x14ac:dyDescent="0.25">
      <c r="A739" s="350">
        <v>46261</v>
      </c>
      <c r="B739" s="114" t="s">
        <v>30</v>
      </c>
      <c r="C739" s="508" t="s">
        <v>13</v>
      </c>
      <c r="D739" s="39" t="s">
        <v>14</v>
      </c>
      <c r="E739" s="40" t="s">
        <v>132</v>
      </c>
      <c r="F739" s="489">
        <v>15734.73</v>
      </c>
      <c r="G739" s="28" t="s">
        <v>617</v>
      </c>
      <c r="H739" s="220"/>
      <c r="I739" s="497">
        <v>1</v>
      </c>
      <c r="J739" s="76" t="s">
        <v>131</v>
      </c>
      <c r="K739" s="66" t="str">
        <f>IF(_xlfn.XLOOKUP($J739,Catalogo!$B$7:$B$210,Catalogo!$I$7:$I$210,"",0)=0,"",_xlfn.XLOOKUP($J739,Catalogo!$B$7:$B$210,Catalogo!$I$7:$I$210,"",0))</f>
        <v>UT RECTO</v>
      </c>
      <c r="L739" s="36"/>
      <c r="M739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39" t="str">
        <f>_xlfn.IFNA(_xlfn.XLOOKUP(Tabla1[[#This Row],[fin]],$P$379:$P$398,$T$379:$T$398),"")</f>
        <v/>
      </c>
    </row>
    <row r="740" spans="1:14" x14ac:dyDescent="0.25">
      <c r="A740" s="350">
        <v>46261</v>
      </c>
      <c r="B740" s="114" t="s">
        <v>30</v>
      </c>
      <c r="C740" s="508" t="s">
        <v>13</v>
      </c>
      <c r="D740" s="39" t="s">
        <v>14</v>
      </c>
      <c r="E740" s="40" t="s">
        <v>138</v>
      </c>
      <c r="F740" s="489">
        <v>15734.73</v>
      </c>
      <c r="G740" s="28" t="s">
        <v>617</v>
      </c>
      <c r="H740" s="220"/>
      <c r="I740" s="497">
        <v>1</v>
      </c>
      <c r="J740" s="76" t="s">
        <v>137</v>
      </c>
      <c r="K740" s="66" t="str">
        <f>IF(_xlfn.XLOOKUP($J740,Catalogo!$B$7:$B$210,Catalogo!$I$7:$I$210,"",0)=0,"",_xlfn.XLOOKUP($J740,Catalogo!$B$7:$B$210,Catalogo!$I$7:$I$210,"",0))</f>
        <v>PH EXC</v>
      </c>
      <c r="L740" s="36"/>
      <c r="M740" s="257">
        <f>IF(Tabla1[[#This Row],[Avance_km]]&lt;&gt;"",Tabla1[[#This Row],[Avance_km]],Tabla1[[#This Row],[Avance_Med]])*_xlfn.XLOOKUP(Tabla1[[#This Row],[Codigo_actividad]],Catalogo!$B$6:$B$51,Catalogo!$F$6:$F$51,0)</f>
        <v>656</v>
      </c>
      <c r="N740" t="str">
        <f>_xlfn.IFNA(_xlfn.XLOOKUP(Tabla1[[#This Row],[fin]],$P$379:$P$398,$T$379:$T$398),"")</f>
        <v/>
      </c>
    </row>
    <row r="741" spans="1:14" x14ac:dyDescent="0.25">
      <c r="A741" s="350">
        <v>46261</v>
      </c>
      <c r="B741" s="114" t="s">
        <v>30</v>
      </c>
      <c r="C741" s="508" t="s">
        <v>13</v>
      </c>
      <c r="D741" s="39" t="s">
        <v>14</v>
      </c>
      <c r="E741" s="40" t="s">
        <v>140</v>
      </c>
      <c r="F741" s="489">
        <v>15734.73</v>
      </c>
      <c r="G741" s="28" t="s">
        <v>617</v>
      </c>
      <c r="H741" s="220"/>
      <c r="I741" s="497">
        <v>1</v>
      </c>
      <c r="J741" s="76" t="s">
        <v>139</v>
      </c>
      <c r="K741" s="66" t="str">
        <f>IF(_xlfn.XLOOKUP($J741,Catalogo!$B$7:$B$210,Catalogo!$I$7:$I$210,"",0)=0,"",_xlfn.XLOOKUP($J741,Catalogo!$B$7:$B$210,Catalogo!$I$7:$I$210,"",0))</f>
        <v>BACTERIAS EXC</v>
      </c>
      <c r="L741" s="36"/>
      <c r="M741" s="257">
        <f>IF(Tabla1[[#This Row],[Avance_km]]&lt;&gt;"",Tabla1[[#This Row],[Avance_km]],Tabla1[[#This Row],[Avance_Med]])*_xlfn.XLOOKUP(Tabla1[[#This Row],[Codigo_actividad]],Catalogo!$B$6:$B$51,Catalogo!$F$6:$F$51,0)</f>
        <v>4676</v>
      </c>
      <c r="N741" t="str">
        <f>_xlfn.IFNA(_xlfn.XLOOKUP(Tabla1[[#This Row],[fin]],$P$379:$P$398,$T$379:$T$398),"")</f>
        <v/>
      </c>
    </row>
    <row r="742" spans="1:14" x14ac:dyDescent="0.25">
      <c r="A742" s="350"/>
      <c r="B742" s="114"/>
      <c r="C742" s="508"/>
      <c r="D742" s="39"/>
      <c r="F742" s="28"/>
      <c r="G742" s="28"/>
      <c r="H742" s="220" t="str">
        <f>IF(Tabla1[[#This Row],[Codigo_actividad]]&lt;&gt;2.5,IF(((Tabla1[[#This Row],[fin]]-Tabla1[[#This Row],[inicio]])/1000)=0,"",((Tabla1[[#This Row],[fin]]-Tabla1[[#This Row],[inicio]])/1000)),"")</f>
        <v/>
      </c>
      <c r="I742" s="66"/>
      <c r="J742" s="76"/>
      <c r="K742" s="66" t="str">
        <f>IF(_xlfn.XLOOKUP($J742,Catalogo!$B$7:$B$21,Catalogo!$I$7:$I$21,"",0)=0,"",_xlfn.XLOOKUP($J742,Catalogo!$B$7:$B$21,Catalogo!$I$7:$I$21,"",0))</f>
        <v/>
      </c>
      <c r="L742" s="36"/>
      <c r="M742" s="257">
        <f>IF(Tabla1[[#This Row],[Avance_km]]&lt;&gt;"",Tabla1[[#This Row],[Avance_km]],Tabla1[[#This Row],[Avance_Med]])*_xlfn.XLOOKUP(Tabla1[[#This Row],[Codigo_actividad]],Catalogo!$B$6:$B$51,Catalogo!$F$6:$F$51,0)</f>
        <v>0</v>
      </c>
      <c r="N742" t="str">
        <f>_xlfn.IFNA(_xlfn.XLOOKUP(Tabla1[[#This Row],[fin]],$P$379:$P$398,$T$379:$T$398),"")</f>
        <v/>
      </c>
    </row>
    <row r="743" spans="1:14" x14ac:dyDescent="0.25">
      <c r="A743" s="350">
        <v>46296</v>
      </c>
      <c r="B743" s="114" t="s">
        <v>30</v>
      </c>
      <c r="C743" s="508" t="s">
        <v>13</v>
      </c>
      <c r="D743" s="39" t="s">
        <v>14</v>
      </c>
      <c r="E743" s="40" t="s">
        <v>119</v>
      </c>
      <c r="F743" s="489">
        <v>22765</v>
      </c>
      <c r="G743" s="520" t="s">
        <v>618</v>
      </c>
      <c r="H743" s="220"/>
      <c r="I743" s="497">
        <v>1</v>
      </c>
      <c r="J743" s="76">
        <v>3.2</v>
      </c>
      <c r="K743" s="66" t="str">
        <f>IF(_xlfn.XLOOKUP($J743,Catalogo!$B$7:$B$210,Catalogo!$I$7:$I$210,"",0)=0,"",_xlfn.XLOOKUP($J743,Catalogo!$B$7:$B$210,Catalogo!$I$7:$I$210,"",0))</f>
        <v>DATA EXC</v>
      </c>
      <c r="L743" s="36"/>
      <c r="M743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4" spans="1:14" x14ac:dyDescent="0.25">
      <c r="A744" s="350">
        <v>46296</v>
      </c>
      <c r="B744" s="114" t="s">
        <v>30</v>
      </c>
      <c r="C744" s="508" t="s">
        <v>13</v>
      </c>
      <c r="D744" s="39" t="s">
        <v>14</v>
      </c>
      <c r="E744" s="40" t="s">
        <v>531</v>
      </c>
      <c r="F744" s="489">
        <v>22765</v>
      </c>
      <c r="G744" s="520" t="s">
        <v>618</v>
      </c>
      <c r="H744" s="220"/>
      <c r="I744" s="497">
        <v>1</v>
      </c>
      <c r="J744" s="76" t="s">
        <v>122</v>
      </c>
      <c r="K744" s="66" t="str">
        <f>IF(_xlfn.XLOOKUP($J744,Catalogo!$B$7:$B$210,Catalogo!$I$7:$I$210,"",0)=0,"",_xlfn.XLOOKUP($J744,Catalogo!$B$7:$B$210,Catalogo!$I$7:$I$210,"",0))</f>
        <v>VT</v>
      </c>
      <c r="L744" s="36"/>
      <c r="M744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45" spans="1:14" x14ac:dyDescent="0.25">
      <c r="A745" s="440">
        <v>46296</v>
      </c>
      <c r="B745" s="441" t="s">
        <v>30</v>
      </c>
      <c r="C745" s="518" t="s">
        <v>13</v>
      </c>
      <c r="D745" s="442" t="s">
        <v>14</v>
      </c>
      <c r="E745" s="439" t="s">
        <v>125</v>
      </c>
      <c r="F745" s="170">
        <v>22765</v>
      </c>
      <c r="G745" s="519" t="s">
        <v>618</v>
      </c>
      <c r="H745" s="443"/>
      <c r="I745" s="278">
        <v>1</v>
      </c>
      <c r="J745" s="278" t="s">
        <v>124</v>
      </c>
      <c r="K745" s="278" t="str">
        <f>IF(_xlfn.XLOOKUP($J745,Catalogo!$B$7:$B$210,Catalogo!$I$7:$I$210,"",0)=0,"",_xlfn.XLOOKUP($J745,Catalogo!$B$7:$B$210,Catalogo!$I$7:$I$210,"",0))</f>
        <v>SANIDAD Y ESPESORES</v>
      </c>
      <c r="L745" s="158"/>
      <c r="M745" s="444">
        <f>IF(Tabla1[[#This Row],[Avance_km]]&lt;&gt;"",Tabla1[[#This Row],[Avance_km]],Tabla1[[#This Row],[Avance_Med]])*_xlfn.XLOOKUP(Tabla1[[#This Row],[Codigo_actividad]],Catalogo!$B$6:$B$51,Catalogo!$F$6:$F$51,0)</f>
        <v>1934.59</v>
      </c>
      <c r="N745" s="207"/>
    </row>
    <row r="746" spans="1:14" x14ac:dyDescent="0.25">
      <c r="A746" s="350">
        <v>46296</v>
      </c>
      <c r="B746" s="114" t="s">
        <v>30</v>
      </c>
      <c r="C746" s="508" t="s">
        <v>13</v>
      </c>
      <c r="D746" s="39" t="s">
        <v>14</v>
      </c>
      <c r="E746" s="40" t="s">
        <v>128</v>
      </c>
      <c r="F746" s="489">
        <v>22765</v>
      </c>
      <c r="G746" s="520" t="s">
        <v>618</v>
      </c>
      <c r="H746" s="220"/>
      <c r="I746" s="497">
        <v>1</v>
      </c>
      <c r="J746" s="76" t="s">
        <v>127</v>
      </c>
      <c r="K746" s="66" t="str">
        <f>IF(_xlfn.XLOOKUP($J746,Catalogo!$B$7:$B$210,Catalogo!$I$7:$I$210,"",0)=0,"",_xlfn.XLOOKUP($J746,Catalogo!$B$7:$B$210,Catalogo!$I$7:$I$210,"",0))</f>
        <v>CARACTERIZACION</v>
      </c>
      <c r="L746" s="36"/>
      <c r="M746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47" spans="1:14" x14ac:dyDescent="0.25">
      <c r="A747" s="440">
        <v>46296</v>
      </c>
      <c r="B747" s="441" t="s">
        <v>30</v>
      </c>
      <c r="C747" s="518" t="s">
        <v>13</v>
      </c>
      <c r="D747" s="442" t="s">
        <v>14</v>
      </c>
      <c r="E747" s="439" t="s">
        <v>132</v>
      </c>
      <c r="F747" s="170">
        <v>22765</v>
      </c>
      <c r="G747" s="519" t="s">
        <v>618</v>
      </c>
      <c r="H747" s="443"/>
      <c r="I747" s="278">
        <v>1</v>
      </c>
      <c r="J747" s="278" t="s">
        <v>131</v>
      </c>
      <c r="K747" s="278" t="str">
        <f>IF(_xlfn.XLOOKUP($J747,Catalogo!$B$7:$B$210,Catalogo!$I$7:$I$210,"",0)=0,"",_xlfn.XLOOKUP($J747,Catalogo!$B$7:$B$210,Catalogo!$I$7:$I$210,"",0))</f>
        <v>UT RECTO</v>
      </c>
      <c r="L747" s="158"/>
      <c r="M747" s="444">
        <f>IF(Tabla1[[#This Row],[Avance_km]]&lt;&gt;"",Tabla1[[#This Row],[Avance_km]],Tabla1[[#This Row],[Avance_Med]])*_xlfn.XLOOKUP(Tabla1[[#This Row],[Codigo_actividad]],Catalogo!$B$6:$B$51,Catalogo!$F$6:$F$51,0)</f>
        <v>2220.59</v>
      </c>
      <c r="N747" s="207"/>
    </row>
    <row r="748" spans="1:14" x14ac:dyDescent="0.25">
      <c r="A748" s="350">
        <v>46296</v>
      </c>
      <c r="B748" s="114" t="s">
        <v>30</v>
      </c>
      <c r="C748" s="508" t="s">
        <v>13</v>
      </c>
      <c r="D748" s="39" t="s">
        <v>14</v>
      </c>
      <c r="E748" s="40" t="s">
        <v>138</v>
      </c>
      <c r="F748" s="489">
        <v>22765</v>
      </c>
      <c r="G748" s="520" t="s">
        <v>618</v>
      </c>
      <c r="H748" s="220"/>
      <c r="I748" s="497">
        <v>1</v>
      </c>
      <c r="J748" s="76" t="s">
        <v>137</v>
      </c>
      <c r="K748" s="66" t="str">
        <f>IF(_xlfn.XLOOKUP($J748,Catalogo!$B$7:$B$210,Catalogo!$I$7:$I$210,"",0)=0,"",_xlfn.XLOOKUP($J748,Catalogo!$B$7:$B$210,Catalogo!$I$7:$I$210,"",0))</f>
        <v>PH EXC</v>
      </c>
      <c r="L748" s="36"/>
      <c r="M748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49" spans="1:14" x14ac:dyDescent="0.25">
      <c r="A749" s="350">
        <v>46296</v>
      </c>
      <c r="B749" s="114" t="s">
        <v>30</v>
      </c>
      <c r="C749" s="508" t="s">
        <v>13</v>
      </c>
      <c r="D749" s="39" t="s">
        <v>14</v>
      </c>
      <c r="E749" s="40" t="s">
        <v>140</v>
      </c>
      <c r="F749" s="489">
        <v>22765</v>
      </c>
      <c r="G749" s="520" t="s">
        <v>618</v>
      </c>
      <c r="H749" s="220"/>
      <c r="I749" s="497">
        <v>1</v>
      </c>
      <c r="J749" s="76" t="s">
        <v>139</v>
      </c>
      <c r="K749" s="66" t="str">
        <f>IF(_xlfn.XLOOKUP($J749,Catalogo!$B$7:$B$210,Catalogo!$I$7:$I$210,"",0)=0,"",_xlfn.XLOOKUP($J749,Catalogo!$B$7:$B$210,Catalogo!$I$7:$I$210,"",0))</f>
        <v>BACTERIAS EXC</v>
      </c>
      <c r="L749" s="36"/>
      <c r="M749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0" spans="1:14" x14ac:dyDescent="0.25">
      <c r="A750" s="350"/>
      <c r="B750" s="114"/>
      <c r="C750" s="508"/>
      <c r="D750" s="39"/>
      <c r="F750" s="28"/>
      <c r="G750" s="28"/>
      <c r="H750" s="220" t="str">
        <f>IF(Tabla1[[#This Row],[Codigo_actividad]]&lt;&gt;2.5,IF(((Tabla1[[#This Row],[fin]]-Tabla1[[#This Row],[inicio]])/1000)=0,"",((Tabla1[[#This Row],[fin]]-Tabla1[[#This Row],[inicio]])/1000)),"")</f>
        <v/>
      </c>
      <c r="I750" s="66"/>
      <c r="J750" s="76"/>
      <c r="K750" s="66" t="str">
        <f>IF(_xlfn.XLOOKUP($J750,Catalogo!$B$7:$B$21,Catalogo!$I$7:$I$21,"",0)=0,"",_xlfn.XLOOKUP($J750,Catalogo!$B$7:$B$21,Catalogo!$I$7:$I$21,"",0))</f>
        <v/>
      </c>
      <c r="L750" s="36"/>
      <c r="M750" s="257">
        <f>IF(Tabla1[[#This Row],[Avance_km]]&lt;&gt;"",Tabla1[[#This Row],[Avance_km]],Tabla1[[#This Row],[Avance_Med]])*_xlfn.XLOOKUP(Tabla1[[#This Row],[Codigo_actividad]],Catalogo!$B$6:$B$51,Catalogo!$F$6:$F$51,0)</f>
        <v>0</v>
      </c>
      <c r="N750" t="str">
        <f>_xlfn.IFNA(_xlfn.XLOOKUP(Tabla1[[#This Row],[fin]],$P$379:$P$398,$T$379:$T$398),"")</f>
        <v/>
      </c>
    </row>
    <row r="751" spans="1:14" x14ac:dyDescent="0.25">
      <c r="A751" s="440">
        <v>46315</v>
      </c>
      <c r="B751" s="114" t="s">
        <v>30</v>
      </c>
      <c r="C751" s="508" t="s">
        <v>13</v>
      </c>
      <c r="D751" s="39" t="s">
        <v>14</v>
      </c>
      <c r="E751" s="40" t="s">
        <v>119</v>
      </c>
      <c r="F751" s="199">
        <v>28512</v>
      </c>
      <c r="G751" s="28"/>
      <c r="H751" s="220"/>
      <c r="I751" s="278"/>
      <c r="J751" s="76">
        <v>3.2</v>
      </c>
      <c r="K751" s="66" t="str">
        <f>IF(_xlfn.XLOOKUP($J751,Catalogo!$B$7:$B$210,Catalogo!$I$7:$I$210,"",0)=0,"",_xlfn.XLOOKUP($J751,Catalogo!$B$7:$B$210,Catalogo!$I$7:$I$210,"",0))</f>
        <v>DATA EXC</v>
      </c>
      <c r="L751" s="36"/>
      <c r="M7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2" spans="1:14" x14ac:dyDescent="0.25">
      <c r="A752" s="440">
        <v>46315</v>
      </c>
      <c r="B752" s="114" t="s">
        <v>30</v>
      </c>
      <c r="C752" s="508" t="s">
        <v>13</v>
      </c>
      <c r="D752" s="39" t="s">
        <v>14</v>
      </c>
      <c r="E752" s="40" t="s">
        <v>531</v>
      </c>
      <c r="F752" s="199">
        <v>28512</v>
      </c>
      <c r="G752" s="28"/>
      <c r="H752" s="220"/>
      <c r="I752" s="278"/>
      <c r="J752" s="76" t="s">
        <v>122</v>
      </c>
      <c r="K752" s="66" t="str">
        <f>IF(_xlfn.XLOOKUP($J752,Catalogo!$B$7:$B$210,Catalogo!$I$7:$I$210,"",0)=0,"",_xlfn.XLOOKUP($J752,Catalogo!$B$7:$B$210,Catalogo!$I$7:$I$210,"",0))</f>
        <v>VT</v>
      </c>
      <c r="L752" s="36"/>
      <c r="M75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3" spans="1:14" x14ac:dyDescent="0.25">
      <c r="A753" s="440">
        <v>46315</v>
      </c>
      <c r="B753" s="114" t="s">
        <v>30</v>
      </c>
      <c r="C753" s="508" t="s">
        <v>13</v>
      </c>
      <c r="D753" s="39" t="s">
        <v>14</v>
      </c>
      <c r="E753" s="40" t="s">
        <v>125</v>
      </c>
      <c r="F753" s="199">
        <v>28512</v>
      </c>
      <c r="G753" s="28"/>
      <c r="H753" s="220"/>
      <c r="I753" s="278"/>
      <c r="J753" s="76" t="s">
        <v>124</v>
      </c>
      <c r="K753" s="66" t="str">
        <f>IF(_xlfn.XLOOKUP($J753,Catalogo!$B$7:$B$210,Catalogo!$I$7:$I$210,"",0)=0,"",_xlfn.XLOOKUP($J753,Catalogo!$B$7:$B$210,Catalogo!$I$7:$I$210,"",0))</f>
        <v>SANIDAD Y ESPESORES</v>
      </c>
      <c r="L753" s="36"/>
      <c r="M7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4" spans="1:14" x14ac:dyDescent="0.25">
      <c r="A754" s="440">
        <v>46315</v>
      </c>
      <c r="B754" s="114" t="s">
        <v>30</v>
      </c>
      <c r="C754" s="508" t="s">
        <v>13</v>
      </c>
      <c r="D754" s="39" t="s">
        <v>14</v>
      </c>
      <c r="E754" s="40" t="s">
        <v>128</v>
      </c>
      <c r="F754" s="199">
        <v>28512</v>
      </c>
      <c r="G754" s="28"/>
      <c r="H754" s="220"/>
      <c r="I754" s="278"/>
      <c r="J754" s="76" t="s">
        <v>127</v>
      </c>
      <c r="K754" s="66" t="str">
        <f>IF(_xlfn.XLOOKUP($J754,Catalogo!$B$7:$B$210,Catalogo!$I$7:$I$210,"",0)=0,"",_xlfn.XLOOKUP($J754,Catalogo!$B$7:$B$210,Catalogo!$I$7:$I$210,"",0))</f>
        <v>CARACTERIZACION</v>
      </c>
      <c r="L754" s="36"/>
      <c r="M75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5" spans="1:14" x14ac:dyDescent="0.25">
      <c r="A755" s="440">
        <v>46315</v>
      </c>
      <c r="B755" s="114" t="s">
        <v>30</v>
      </c>
      <c r="C755" s="508" t="s">
        <v>13</v>
      </c>
      <c r="D755" s="39" t="s">
        <v>14</v>
      </c>
      <c r="E755" s="40" t="s">
        <v>132</v>
      </c>
      <c r="F755" s="199">
        <v>28512</v>
      </c>
      <c r="G755" s="28"/>
      <c r="H755" s="220"/>
      <c r="I755" s="278"/>
      <c r="J755" s="76" t="s">
        <v>131</v>
      </c>
      <c r="K755" s="66" t="str">
        <f>IF(_xlfn.XLOOKUP($J755,Catalogo!$B$7:$B$210,Catalogo!$I$7:$I$210,"",0)=0,"",_xlfn.XLOOKUP($J755,Catalogo!$B$7:$B$210,Catalogo!$I$7:$I$210,"",0))</f>
        <v>UT RECTO</v>
      </c>
      <c r="L755" s="36"/>
      <c r="M75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6" spans="1:14" x14ac:dyDescent="0.25">
      <c r="A756" s="440">
        <v>46315</v>
      </c>
      <c r="B756" s="114" t="s">
        <v>30</v>
      </c>
      <c r="C756" s="508" t="s">
        <v>13</v>
      </c>
      <c r="D756" s="39" t="s">
        <v>14</v>
      </c>
      <c r="E756" s="40" t="s">
        <v>138</v>
      </c>
      <c r="F756" s="199">
        <v>28512</v>
      </c>
      <c r="G756" s="28"/>
      <c r="H756" s="220"/>
      <c r="I756" s="278"/>
      <c r="J756" s="76" t="s">
        <v>137</v>
      </c>
      <c r="K756" s="66" t="str">
        <f>IF(_xlfn.XLOOKUP($J756,Catalogo!$B$7:$B$210,Catalogo!$I$7:$I$210,"",0)=0,"",_xlfn.XLOOKUP($J756,Catalogo!$B$7:$B$210,Catalogo!$I$7:$I$210,"",0))</f>
        <v>PH EXC</v>
      </c>
      <c r="L756" s="36"/>
      <c r="M75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0">
        <v>46315</v>
      </c>
      <c r="B757" s="114" t="s">
        <v>30</v>
      </c>
      <c r="C757" s="508" t="s">
        <v>13</v>
      </c>
      <c r="D757" s="39" t="s">
        <v>14</v>
      </c>
      <c r="E757" s="40" t="s">
        <v>140</v>
      </c>
      <c r="F757" s="199">
        <v>28512</v>
      </c>
      <c r="G757" s="28"/>
      <c r="H757" s="220"/>
      <c r="I757" s="278"/>
      <c r="J757" s="76" t="s">
        <v>139</v>
      </c>
      <c r="K757" s="66" t="str">
        <f>IF(_xlfn.XLOOKUP($J757,Catalogo!$B$7:$B$210,Catalogo!$I$7:$I$210,"",0)=0,"",_xlfn.XLOOKUP($J757,Catalogo!$B$7:$B$210,Catalogo!$I$7:$I$210,"",0))</f>
        <v>BACTERIAS EXC</v>
      </c>
      <c r="L757" s="36"/>
      <c r="M75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350"/>
      <c r="B758" s="114"/>
      <c r="C758" s="508"/>
      <c r="D758" s="39"/>
      <c r="F758" s="28"/>
      <c r="G758" s="28"/>
      <c r="H758" s="220" t="str">
        <f>IF(Tabla1[[#This Row],[Codigo_actividad]]&lt;&gt;2.5,IF(((Tabla1[[#This Row],[fin]]-Tabla1[[#This Row],[inicio]])/1000)=0,"",((Tabla1[[#This Row],[fin]]-Tabla1[[#This Row],[inicio]])/1000)),"")</f>
        <v/>
      </c>
      <c r="I758" s="66"/>
      <c r="J758" s="76"/>
      <c r="K758" s="66" t="str">
        <f>IF(_xlfn.XLOOKUP($J758,Catalogo!$B$7:$B$21,Catalogo!$I$7:$I$21,"",0)=0,"",_xlfn.XLOOKUP($J758,Catalogo!$B$7:$B$21,Catalogo!$I$7:$I$21,"",0))</f>
        <v/>
      </c>
      <c r="L758" s="36"/>
      <c r="M758" s="257">
        <f>IF(Tabla1[[#This Row],[Avance_km]]&lt;&gt;"",Tabla1[[#This Row],[Avance_km]],Tabla1[[#This Row],[Avance_Med]])*_xlfn.XLOOKUP(Tabla1[[#This Row],[Codigo_actividad]],Catalogo!$B$6:$B$51,Catalogo!$F$6:$F$51,0)</f>
        <v>0</v>
      </c>
      <c r="N758" t="str">
        <f>_xlfn.IFNA(_xlfn.XLOOKUP(Tabla1[[#This Row],[fin]],$P$379:$P$398,$T$379:$T$398),"")</f>
        <v/>
      </c>
    </row>
    <row r="759" spans="1:14" x14ac:dyDescent="0.25">
      <c r="A759" s="350">
        <v>46308</v>
      </c>
      <c r="B759" s="114" t="s">
        <v>30</v>
      </c>
      <c r="C759" s="508" t="s">
        <v>13</v>
      </c>
      <c r="D759" s="39" t="s">
        <v>14</v>
      </c>
      <c r="E759" s="40" t="s">
        <v>119</v>
      </c>
      <c r="F759" s="489">
        <v>28591</v>
      </c>
      <c r="G759" s="28" t="s">
        <v>617</v>
      </c>
      <c r="H759" s="220"/>
      <c r="I759" s="497">
        <v>1</v>
      </c>
      <c r="J759" s="76">
        <v>3.2</v>
      </c>
      <c r="K759" s="66" t="str">
        <f>IF(_xlfn.XLOOKUP($J759,Catalogo!$B$7:$B$210,Catalogo!$I$7:$I$210,"",0)=0,"",_xlfn.XLOOKUP($J759,Catalogo!$B$7:$B$210,Catalogo!$I$7:$I$210,"",0))</f>
        <v>DATA EXC</v>
      </c>
      <c r="L759" s="36"/>
      <c r="M759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0" spans="1:14" x14ac:dyDescent="0.25">
      <c r="A760" s="350">
        <v>46308</v>
      </c>
      <c r="B760" s="114" t="s">
        <v>30</v>
      </c>
      <c r="C760" s="508" t="s">
        <v>13</v>
      </c>
      <c r="D760" s="39" t="s">
        <v>14</v>
      </c>
      <c r="E760" s="40" t="s">
        <v>531</v>
      </c>
      <c r="F760" s="489">
        <v>28591</v>
      </c>
      <c r="G760" s="28" t="s">
        <v>617</v>
      </c>
      <c r="H760" s="220"/>
      <c r="I760" s="497">
        <v>1</v>
      </c>
      <c r="J760" s="76" t="s">
        <v>122</v>
      </c>
      <c r="K760" s="66" t="str">
        <f>IF(_xlfn.XLOOKUP($J760,Catalogo!$B$7:$B$210,Catalogo!$I$7:$I$210,"",0)=0,"",_xlfn.XLOOKUP($J760,Catalogo!$B$7:$B$210,Catalogo!$I$7:$I$210,"",0))</f>
        <v>VT</v>
      </c>
      <c r="L760" s="36"/>
      <c r="M760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1" spans="1:14" x14ac:dyDescent="0.25">
      <c r="A761" s="350">
        <v>46308</v>
      </c>
      <c r="B761" s="114" t="s">
        <v>30</v>
      </c>
      <c r="C761" s="508" t="s">
        <v>13</v>
      </c>
      <c r="D761" s="39" t="s">
        <v>14</v>
      </c>
      <c r="E761" s="40" t="s">
        <v>125</v>
      </c>
      <c r="F761" s="489">
        <v>28591</v>
      </c>
      <c r="G761" s="28" t="s">
        <v>617</v>
      </c>
      <c r="H761" s="220"/>
      <c r="I761" s="497">
        <v>1</v>
      </c>
      <c r="J761" s="76" t="s">
        <v>124</v>
      </c>
      <c r="K761" s="66" t="str">
        <f>IF(_xlfn.XLOOKUP($J761,Catalogo!$B$7:$B$210,Catalogo!$I$7:$I$210,"",0)=0,"",_xlfn.XLOOKUP($J761,Catalogo!$B$7:$B$210,Catalogo!$I$7:$I$210,"",0))</f>
        <v>SANIDAD Y ESPESORES</v>
      </c>
      <c r="L761" s="36"/>
      <c r="M761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2" spans="1:14" x14ac:dyDescent="0.25">
      <c r="A762" s="350">
        <v>46308</v>
      </c>
      <c r="B762" s="114" t="s">
        <v>30</v>
      </c>
      <c r="C762" s="508" t="s">
        <v>13</v>
      </c>
      <c r="D762" s="39" t="s">
        <v>14</v>
      </c>
      <c r="E762" s="40" t="s">
        <v>128</v>
      </c>
      <c r="F762" s="489">
        <v>28591</v>
      </c>
      <c r="G762" s="28" t="s">
        <v>617</v>
      </c>
      <c r="H762" s="220"/>
      <c r="I762" s="497">
        <v>1</v>
      </c>
      <c r="J762" s="76" t="s">
        <v>127</v>
      </c>
      <c r="K762" s="66" t="str">
        <f>IF(_xlfn.XLOOKUP($J762,Catalogo!$B$7:$B$210,Catalogo!$I$7:$I$210,"",0)=0,"",_xlfn.XLOOKUP($J762,Catalogo!$B$7:$B$210,Catalogo!$I$7:$I$210,"",0))</f>
        <v>CARACTERIZACION</v>
      </c>
      <c r="L762" s="36"/>
      <c r="M762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3" spans="1:14" x14ac:dyDescent="0.25">
      <c r="A763" s="350">
        <v>46308</v>
      </c>
      <c r="B763" s="114" t="s">
        <v>30</v>
      </c>
      <c r="C763" s="508" t="s">
        <v>13</v>
      </c>
      <c r="D763" s="39" t="s">
        <v>14</v>
      </c>
      <c r="E763" s="40" t="s">
        <v>132</v>
      </c>
      <c r="F763" s="489">
        <v>28591</v>
      </c>
      <c r="G763" s="28" t="s">
        <v>617</v>
      </c>
      <c r="H763" s="220"/>
      <c r="I763" s="497">
        <v>1</v>
      </c>
      <c r="J763" s="76" t="s">
        <v>131</v>
      </c>
      <c r="K763" s="66" t="str">
        <f>IF(_xlfn.XLOOKUP($J763,Catalogo!$B$7:$B$210,Catalogo!$I$7:$I$210,"",0)=0,"",_xlfn.XLOOKUP($J763,Catalogo!$B$7:$B$210,Catalogo!$I$7:$I$210,"",0))</f>
        <v>UT RECTO</v>
      </c>
      <c r="L763" s="36"/>
      <c r="M763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4" spans="1:14" x14ac:dyDescent="0.25">
      <c r="A764" s="350">
        <v>46308</v>
      </c>
      <c r="B764" s="114" t="s">
        <v>30</v>
      </c>
      <c r="C764" s="508" t="s">
        <v>13</v>
      </c>
      <c r="D764" s="39" t="s">
        <v>14</v>
      </c>
      <c r="E764" s="40" t="s">
        <v>138</v>
      </c>
      <c r="F764" s="489">
        <v>28591</v>
      </c>
      <c r="G764" s="28" t="s">
        <v>617</v>
      </c>
      <c r="H764" s="220"/>
      <c r="I764" s="497">
        <v>1</v>
      </c>
      <c r="J764" s="76" t="s">
        <v>137</v>
      </c>
      <c r="K764" s="66" t="str">
        <f>IF(_xlfn.XLOOKUP($J764,Catalogo!$B$7:$B$210,Catalogo!$I$7:$I$210,"",0)=0,"",_xlfn.XLOOKUP($J764,Catalogo!$B$7:$B$210,Catalogo!$I$7:$I$210,"",0))</f>
        <v>PH EXC</v>
      </c>
      <c r="L764" s="36"/>
      <c r="M764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65" spans="1:14" x14ac:dyDescent="0.25">
      <c r="A765" s="350">
        <v>46308</v>
      </c>
      <c r="B765" s="114" t="s">
        <v>30</v>
      </c>
      <c r="C765" s="508" t="s">
        <v>13</v>
      </c>
      <c r="D765" s="39" t="s">
        <v>14</v>
      </c>
      <c r="E765" s="40" t="s">
        <v>140</v>
      </c>
      <c r="F765" s="489">
        <v>28591</v>
      </c>
      <c r="G765" s="28" t="s">
        <v>617</v>
      </c>
      <c r="H765" s="220"/>
      <c r="I765" s="497">
        <v>1</v>
      </c>
      <c r="J765" s="76" t="s">
        <v>139</v>
      </c>
      <c r="K765" s="66" t="str">
        <f>IF(_xlfn.XLOOKUP($J765,Catalogo!$B$7:$B$210,Catalogo!$I$7:$I$210,"",0)=0,"",_xlfn.XLOOKUP($J765,Catalogo!$B$7:$B$210,Catalogo!$I$7:$I$210,"",0))</f>
        <v>BACTERIAS EXC</v>
      </c>
      <c r="L765" s="36"/>
      <c r="M765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66" spans="1:14" x14ac:dyDescent="0.25">
      <c r="A766" s="350"/>
      <c r="B766" s="114"/>
      <c r="C766" s="508"/>
      <c r="D766" s="39"/>
      <c r="F766" s="28"/>
      <c r="G766" s="28"/>
      <c r="H766" s="220" t="str">
        <f>IF(Tabla1[[#This Row],[Codigo_actividad]]&lt;&gt;2.5,IF(((Tabla1[[#This Row],[fin]]-Tabla1[[#This Row],[inicio]])/1000)=0,"",((Tabla1[[#This Row],[fin]]-Tabla1[[#This Row],[inicio]])/1000)),"")</f>
        <v/>
      </c>
      <c r="I766" s="66"/>
      <c r="J766" s="76"/>
      <c r="K766" s="66" t="str">
        <f>IF(_xlfn.XLOOKUP($J766,Catalogo!$B$7:$B$21,Catalogo!$I$7:$I$21,"",0)=0,"",_xlfn.XLOOKUP($J766,Catalogo!$B$7:$B$21,Catalogo!$I$7:$I$21,"",0))</f>
        <v/>
      </c>
      <c r="L766" s="36"/>
      <c r="M766" s="257">
        <f>IF(Tabla1[[#This Row],[Avance_km]]&lt;&gt;"",Tabla1[[#This Row],[Avance_km]],Tabla1[[#This Row],[Avance_Med]])*_xlfn.XLOOKUP(Tabla1[[#This Row],[Codigo_actividad]],Catalogo!$B$6:$B$51,Catalogo!$F$6:$F$51,0)</f>
        <v>0</v>
      </c>
      <c r="N766" t="str">
        <f>_xlfn.IFNA(_xlfn.XLOOKUP(Tabla1[[#This Row],[fin]],$P$379:$P$398,$T$379:$T$398),"")</f>
        <v/>
      </c>
    </row>
    <row r="767" spans="1:14" x14ac:dyDescent="0.25">
      <c r="A767" s="350">
        <v>46307</v>
      </c>
      <c r="B767" s="114" t="s">
        <v>30</v>
      </c>
      <c r="C767" s="508" t="s">
        <v>13</v>
      </c>
      <c r="D767" s="39" t="s">
        <v>50</v>
      </c>
      <c r="E767" s="40" t="s">
        <v>119</v>
      </c>
      <c r="F767" s="489">
        <v>5713.29</v>
      </c>
      <c r="G767" s="28" t="s">
        <v>617</v>
      </c>
      <c r="H767" s="220"/>
      <c r="I767" s="497">
        <v>1</v>
      </c>
      <c r="J767" s="76">
        <v>3.2</v>
      </c>
      <c r="K767" s="66" t="str">
        <f>IF(_xlfn.XLOOKUP($J767,Catalogo!$B$7:$B$210,Catalogo!$I$7:$I$210,"",0)=0,"",_xlfn.XLOOKUP($J767,Catalogo!$B$7:$B$210,Catalogo!$I$7:$I$210,"",0))</f>
        <v>DATA EXC</v>
      </c>
      <c r="L767" s="36"/>
      <c r="M767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8" spans="1:14" x14ac:dyDescent="0.25">
      <c r="A768" s="350">
        <v>46307</v>
      </c>
      <c r="B768" s="114" t="s">
        <v>30</v>
      </c>
      <c r="C768" s="508" t="s">
        <v>13</v>
      </c>
      <c r="D768" s="39" t="s">
        <v>50</v>
      </c>
      <c r="E768" s="40" t="s">
        <v>531</v>
      </c>
      <c r="F768" s="489">
        <v>5713.29</v>
      </c>
      <c r="G768" s="28" t="s">
        <v>617</v>
      </c>
      <c r="H768" s="220"/>
      <c r="I768" s="497">
        <v>1</v>
      </c>
      <c r="J768" s="76" t="s">
        <v>122</v>
      </c>
      <c r="K768" s="66" t="str">
        <f>IF(_xlfn.XLOOKUP($J768,Catalogo!$B$7:$B$210,Catalogo!$I$7:$I$210,"",0)=0,"",_xlfn.XLOOKUP($J768,Catalogo!$B$7:$B$210,Catalogo!$I$7:$I$210,"",0))</f>
        <v>VT</v>
      </c>
      <c r="L768" s="36"/>
      <c r="M768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9" spans="1:14" x14ac:dyDescent="0.25">
      <c r="A769" s="350">
        <v>46307</v>
      </c>
      <c r="B769" s="114" t="s">
        <v>30</v>
      </c>
      <c r="C769" s="508" t="s">
        <v>13</v>
      </c>
      <c r="D769" s="39" t="s">
        <v>50</v>
      </c>
      <c r="E769" s="40" t="s">
        <v>125</v>
      </c>
      <c r="F769" s="489">
        <v>5713.29</v>
      </c>
      <c r="G769" s="28" t="s">
        <v>617</v>
      </c>
      <c r="H769" s="220"/>
      <c r="I769" s="497">
        <v>1</v>
      </c>
      <c r="J769" s="76" t="s">
        <v>124</v>
      </c>
      <c r="K769" s="66" t="str">
        <f>IF(_xlfn.XLOOKUP($J769,Catalogo!$B$7:$B$210,Catalogo!$I$7:$I$210,"",0)=0,"",_xlfn.XLOOKUP($J769,Catalogo!$B$7:$B$210,Catalogo!$I$7:$I$210,"",0))</f>
        <v>SANIDAD Y ESPESORES</v>
      </c>
      <c r="L769" s="36"/>
      <c r="M769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0" spans="1:14" x14ac:dyDescent="0.25">
      <c r="A770" s="350">
        <v>46307</v>
      </c>
      <c r="B770" s="114" t="s">
        <v>30</v>
      </c>
      <c r="C770" s="508" t="s">
        <v>13</v>
      </c>
      <c r="D770" s="39" t="s">
        <v>50</v>
      </c>
      <c r="E770" s="40" t="s">
        <v>128</v>
      </c>
      <c r="F770" s="489">
        <v>5713.29</v>
      </c>
      <c r="G770" s="28" t="s">
        <v>617</v>
      </c>
      <c r="H770" s="220"/>
      <c r="I770" s="497">
        <v>1</v>
      </c>
      <c r="J770" s="76" t="s">
        <v>127</v>
      </c>
      <c r="K770" s="66" t="str">
        <f>IF(_xlfn.XLOOKUP($J770,Catalogo!$B$7:$B$210,Catalogo!$I$7:$I$210,"",0)=0,"",_xlfn.XLOOKUP($J770,Catalogo!$B$7:$B$210,Catalogo!$I$7:$I$210,"",0))</f>
        <v>CARACTERIZACION</v>
      </c>
      <c r="L770" s="36"/>
      <c r="M770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1" spans="1:14" x14ac:dyDescent="0.25">
      <c r="A771" s="350">
        <v>46307</v>
      </c>
      <c r="B771" s="114" t="s">
        <v>30</v>
      </c>
      <c r="C771" s="508" t="s">
        <v>13</v>
      </c>
      <c r="D771" s="39" t="s">
        <v>50</v>
      </c>
      <c r="E771" s="40" t="s">
        <v>132</v>
      </c>
      <c r="F771" s="489">
        <v>5713.29</v>
      </c>
      <c r="G771" s="28" t="s">
        <v>617</v>
      </c>
      <c r="H771" s="220"/>
      <c r="I771" s="497">
        <v>1</v>
      </c>
      <c r="J771" s="76" t="s">
        <v>131</v>
      </c>
      <c r="K771" s="66" t="str">
        <f>IF(_xlfn.XLOOKUP($J771,Catalogo!$B$7:$B$210,Catalogo!$I$7:$I$210,"",0)=0,"",_xlfn.XLOOKUP($J771,Catalogo!$B$7:$B$210,Catalogo!$I$7:$I$210,"",0))</f>
        <v>UT RECTO</v>
      </c>
      <c r="L771" s="36"/>
      <c r="M771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2" spans="1:14" x14ac:dyDescent="0.25">
      <c r="A772" s="350">
        <v>46307</v>
      </c>
      <c r="B772" s="114" t="s">
        <v>30</v>
      </c>
      <c r="C772" s="508" t="s">
        <v>13</v>
      </c>
      <c r="D772" s="39" t="s">
        <v>50</v>
      </c>
      <c r="E772" s="40" t="s">
        <v>138</v>
      </c>
      <c r="F772" s="489">
        <v>5713.29</v>
      </c>
      <c r="G772" s="28" t="s">
        <v>617</v>
      </c>
      <c r="H772" s="220"/>
      <c r="I772" s="497">
        <v>1</v>
      </c>
      <c r="J772" s="76" t="s">
        <v>137</v>
      </c>
      <c r="K772" s="66" t="str">
        <f>IF(_xlfn.XLOOKUP($J772,Catalogo!$B$7:$B$210,Catalogo!$I$7:$I$210,"",0)=0,"",_xlfn.XLOOKUP($J772,Catalogo!$B$7:$B$210,Catalogo!$I$7:$I$210,"",0))</f>
        <v>PH EXC</v>
      </c>
      <c r="L772" s="36"/>
      <c r="M772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3" spans="1:14" x14ac:dyDescent="0.25">
      <c r="A773" s="350">
        <v>46307</v>
      </c>
      <c r="B773" s="114" t="s">
        <v>30</v>
      </c>
      <c r="C773" s="508" t="s">
        <v>13</v>
      </c>
      <c r="D773" s="39" t="s">
        <v>50</v>
      </c>
      <c r="E773" s="40" t="s">
        <v>140</v>
      </c>
      <c r="F773" s="489">
        <v>5713.29</v>
      </c>
      <c r="G773" s="28" t="s">
        <v>617</v>
      </c>
      <c r="H773" s="220"/>
      <c r="I773" s="497">
        <v>1</v>
      </c>
      <c r="J773" s="76" t="s">
        <v>139</v>
      </c>
      <c r="K773" s="66" t="str">
        <f>IF(_xlfn.XLOOKUP($J773,Catalogo!$B$7:$B$210,Catalogo!$I$7:$I$210,"",0)=0,"",_xlfn.XLOOKUP($J773,Catalogo!$B$7:$B$210,Catalogo!$I$7:$I$210,"",0))</f>
        <v>BACTERIAS EXC</v>
      </c>
      <c r="L773" s="36"/>
      <c r="M773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4" spans="1:14" x14ac:dyDescent="0.25">
      <c r="A774" s="350"/>
      <c r="B774" s="114"/>
      <c r="C774" s="508"/>
      <c r="D774" s="39"/>
      <c r="F774" s="28"/>
      <c r="G774" s="28"/>
      <c r="H774" s="220" t="str">
        <f>IF(Tabla1[[#This Row],[Codigo_actividad]]&lt;&gt;2.5,IF(((Tabla1[[#This Row],[fin]]-Tabla1[[#This Row],[inicio]])/1000)=0,"",((Tabla1[[#This Row],[fin]]-Tabla1[[#This Row],[inicio]])/1000)),"")</f>
        <v/>
      </c>
      <c r="I774" s="66"/>
      <c r="J774" s="76"/>
      <c r="K774" s="66" t="str">
        <f>IF(_xlfn.XLOOKUP($J774,Catalogo!$B$7:$B$21,Catalogo!$I$7:$I$21,"",0)=0,"",_xlfn.XLOOKUP($J774,Catalogo!$B$7:$B$21,Catalogo!$I$7:$I$21,"",0))</f>
        <v/>
      </c>
      <c r="L774" s="36"/>
      <c r="M774" s="257">
        <f>IF(Tabla1[[#This Row],[Avance_km]]&lt;&gt;"",Tabla1[[#This Row],[Avance_km]],Tabla1[[#This Row],[Avance_Med]])*_xlfn.XLOOKUP(Tabla1[[#This Row],[Codigo_actividad]],Catalogo!$B$6:$B$51,Catalogo!$F$6:$F$51,0)</f>
        <v>0</v>
      </c>
      <c r="N774" t="str">
        <f>_xlfn.IFNA(_xlfn.XLOOKUP(Tabla1[[#This Row],[fin]],$P$379:$P$398,$T$379:$T$398),"")</f>
        <v/>
      </c>
    </row>
    <row r="775" spans="1:14" x14ac:dyDescent="0.25">
      <c r="A775" s="350">
        <v>46294</v>
      </c>
      <c r="B775" s="114" t="s">
        <v>30</v>
      </c>
      <c r="C775" s="508" t="s">
        <v>13</v>
      </c>
      <c r="D775" s="39" t="s">
        <v>65</v>
      </c>
      <c r="E775" s="40" t="s">
        <v>119</v>
      </c>
      <c r="F775" s="489">
        <v>9632</v>
      </c>
      <c r="G775" s="28" t="s">
        <v>617</v>
      </c>
      <c r="H775" s="220"/>
      <c r="I775" s="497">
        <v>1</v>
      </c>
      <c r="J775" s="76">
        <v>3.2</v>
      </c>
      <c r="K775" s="66" t="str">
        <f>IF(_xlfn.XLOOKUP($J775,Catalogo!$B$7:$B$210,Catalogo!$I$7:$I$210,"",0)=0,"",_xlfn.XLOOKUP($J775,Catalogo!$B$7:$B$210,Catalogo!$I$7:$I$210,"",0))</f>
        <v>DATA EXC</v>
      </c>
      <c r="L775" s="36"/>
      <c r="M775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6" spans="1:14" x14ac:dyDescent="0.25">
      <c r="A776" s="350">
        <v>46294</v>
      </c>
      <c r="B776" s="114" t="s">
        <v>30</v>
      </c>
      <c r="C776" s="508" t="s">
        <v>13</v>
      </c>
      <c r="D776" s="39" t="s">
        <v>65</v>
      </c>
      <c r="E776" s="40" t="s">
        <v>531</v>
      </c>
      <c r="F776" s="489">
        <v>9632</v>
      </c>
      <c r="G776" s="28" t="s">
        <v>617</v>
      </c>
      <c r="H776" s="220"/>
      <c r="I776" s="497">
        <v>1</v>
      </c>
      <c r="J776" s="76" t="s">
        <v>122</v>
      </c>
      <c r="K776" s="66" t="str">
        <f>IF(_xlfn.XLOOKUP($J776,Catalogo!$B$7:$B$210,Catalogo!$I$7:$I$210,"",0)=0,"",_xlfn.XLOOKUP($J776,Catalogo!$B$7:$B$210,Catalogo!$I$7:$I$210,"",0))</f>
        <v>VT</v>
      </c>
      <c r="L776" s="36"/>
      <c r="M776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7" spans="1:14" x14ac:dyDescent="0.25">
      <c r="A777" s="350">
        <v>46294</v>
      </c>
      <c r="B777" s="114" t="s">
        <v>30</v>
      </c>
      <c r="C777" s="508" t="s">
        <v>13</v>
      </c>
      <c r="D777" s="39" t="s">
        <v>65</v>
      </c>
      <c r="E777" s="40" t="s">
        <v>125</v>
      </c>
      <c r="F777" s="489">
        <v>9632</v>
      </c>
      <c r="G777" s="28" t="s">
        <v>617</v>
      </c>
      <c r="H777" s="220"/>
      <c r="I777" s="497">
        <v>1</v>
      </c>
      <c r="J777" s="76" t="s">
        <v>124</v>
      </c>
      <c r="K777" s="66" t="str">
        <f>IF(_xlfn.XLOOKUP($J777,Catalogo!$B$7:$B$210,Catalogo!$I$7:$I$210,"",0)=0,"",_xlfn.XLOOKUP($J777,Catalogo!$B$7:$B$210,Catalogo!$I$7:$I$210,"",0))</f>
        <v>SANIDAD Y ESPESORES</v>
      </c>
      <c r="L777" s="36"/>
      <c r="M777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8" spans="1:14" x14ac:dyDescent="0.25">
      <c r="A778" s="350">
        <v>46294</v>
      </c>
      <c r="B778" s="114" t="s">
        <v>30</v>
      </c>
      <c r="C778" s="508" t="s">
        <v>13</v>
      </c>
      <c r="D778" s="39" t="s">
        <v>65</v>
      </c>
      <c r="E778" s="40" t="s">
        <v>128</v>
      </c>
      <c r="F778" s="489">
        <v>9632</v>
      </c>
      <c r="G778" s="28" t="s">
        <v>617</v>
      </c>
      <c r="H778" s="220"/>
      <c r="I778" s="497">
        <v>1</v>
      </c>
      <c r="J778" s="76" t="s">
        <v>127</v>
      </c>
      <c r="K778" s="66" t="str">
        <f>IF(_xlfn.XLOOKUP($J778,Catalogo!$B$7:$B$210,Catalogo!$I$7:$I$210,"",0)=0,"",_xlfn.XLOOKUP($J778,Catalogo!$B$7:$B$210,Catalogo!$I$7:$I$210,"",0))</f>
        <v>CARACTERIZACION</v>
      </c>
      <c r="L778" s="36"/>
      <c r="M778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9" spans="1:14" x14ac:dyDescent="0.25">
      <c r="A779" s="350">
        <v>46294</v>
      </c>
      <c r="B779" s="114" t="s">
        <v>30</v>
      </c>
      <c r="C779" s="508" t="s">
        <v>13</v>
      </c>
      <c r="D779" s="39" t="s">
        <v>65</v>
      </c>
      <c r="E779" s="40" t="s">
        <v>132</v>
      </c>
      <c r="F779" s="489">
        <v>9632</v>
      </c>
      <c r="G779" s="28" t="s">
        <v>617</v>
      </c>
      <c r="H779" s="220"/>
      <c r="I779" s="497">
        <v>1</v>
      </c>
      <c r="J779" s="76" t="s">
        <v>131</v>
      </c>
      <c r="K779" s="66" t="str">
        <f>IF(_xlfn.XLOOKUP($J779,Catalogo!$B$7:$B$210,Catalogo!$I$7:$I$210,"",0)=0,"",_xlfn.XLOOKUP($J779,Catalogo!$B$7:$B$210,Catalogo!$I$7:$I$210,"",0))</f>
        <v>UT RECTO</v>
      </c>
      <c r="L779" s="36"/>
      <c r="M779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0" spans="1:14" x14ac:dyDescent="0.25">
      <c r="A780" s="350">
        <v>46294</v>
      </c>
      <c r="B780" s="114" t="s">
        <v>30</v>
      </c>
      <c r="C780" s="508" t="s">
        <v>13</v>
      </c>
      <c r="D780" s="39" t="s">
        <v>65</v>
      </c>
      <c r="E780" s="40" t="s">
        <v>138</v>
      </c>
      <c r="F780" s="489">
        <v>9632</v>
      </c>
      <c r="G780" s="28" t="s">
        <v>617</v>
      </c>
      <c r="H780" s="220"/>
      <c r="I780" s="497">
        <v>1</v>
      </c>
      <c r="J780" s="76" t="s">
        <v>137</v>
      </c>
      <c r="K780" s="66" t="str">
        <f>IF(_xlfn.XLOOKUP($J780,Catalogo!$B$7:$B$210,Catalogo!$I$7:$I$210,"",0)=0,"",_xlfn.XLOOKUP($J780,Catalogo!$B$7:$B$210,Catalogo!$I$7:$I$210,"",0))</f>
        <v>PH EXC</v>
      </c>
      <c r="L780" s="36"/>
      <c r="M780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1" spans="1:14" x14ac:dyDescent="0.25">
      <c r="A781" s="350">
        <v>46294</v>
      </c>
      <c r="B781" s="114" t="s">
        <v>30</v>
      </c>
      <c r="C781" s="508" t="s">
        <v>13</v>
      </c>
      <c r="D781" s="39" t="s">
        <v>65</v>
      </c>
      <c r="E781" s="40" t="s">
        <v>140</v>
      </c>
      <c r="F781" s="489">
        <v>9632</v>
      </c>
      <c r="G781" s="28" t="s">
        <v>617</v>
      </c>
      <c r="H781" s="220"/>
      <c r="I781" s="497">
        <v>1</v>
      </c>
      <c r="J781" s="76" t="s">
        <v>139</v>
      </c>
      <c r="K781" s="66" t="str">
        <f>IF(_xlfn.XLOOKUP($J781,Catalogo!$B$7:$B$210,Catalogo!$I$7:$I$210,"",0)=0,"",_xlfn.XLOOKUP($J781,Catalogo!$B$7:$B$210,Catalogo!$I$7:$I$210,"",0))</f>
        <v>BACTERIAS EXC</v>
      </c>
      <c r="L781" s="36"/>
      <c r="M781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2" spans="1:14" x14ac:dyDescent="0.25">
      <c r="A782" s="350"/>
      <c r="B782" s="114"/>
      <c r="C782" s="508"/>
      <c r="D782" s="39"/>
      <c r="F782" s="28"/>
      <c r="G782" s="28"/>
      <c r="H782" s="220" t="str">
        <f>IF(Tabla1[[#This Row],[Codigo_actividad]]&lt;&gt;2.5,IF(((Tabla1[[#This Row],[fin]]-Tabla1[[#This Row],[inicio]])/1000)=0,"",((Tabla1[[#This Row],[fin]]-Tabla1[[#This Row],[inicio]])/1000)),"")</f>
        <v/>
      </c>
      <c r="I782" s="66"/>
      <c r="J782" s="76"/>
      <c r="K782" s="66" t="str">
        <f>IF(_xlfn.XLOOKUP($J782,Catalogo!$B$7:$B$21,Catalogo!$I$7:$I$21,"",0)=0,"",_xlfn.XLOOKUP($J782,Catalogo!$B$7:$B$21,Catalogo!$I$7:$I$21,"",0))</f>
        <v/>
      </c>
      <c r="L782" s="36"/>
      <c r="M782" s="257">
        <f>IF(Tabla1[[#This Row],[Avance_km]]&lt;&gt;"",Tabla1[[#This Row],[Avance_km]],Tabla1[[#This Row],[Avance_Med]])*_xlfn.XLOOKUP(Tabla1[[#This Row],[Codigo_actividad]],Catalogo!$B$6:$B$51,Catalogo!$F$6:$F$51,0)</f>
        <v>0</v>
      </c>
      <c r="N782" t="str">
        <f>_xlfn.IFNA(_xlfn.XLOOKUP(Tabla1[[#This Row],[fin]],$P$379:$P$398,$T$379:$T$398),"")</f>
        <v/>
      </c>
    </row>
    <row r="783" spans="1:14" x14ac:dyDescent="0.25">
      <c r="A783" s="350">
        <v>46274</v>
      </c>
      <c r="B783" s="114" t="s">
        <v>30</v>
      </c>
      <c r="C783" s="508" t="s">
        <v>13</v>
      </c>
      <c r="D783" s="39" t="s">
        <v>71</v>
      </c>
      <c r="E783" s="40" t="s">
        <v>119</v>
      </c>
      <c r="F783" s="489">
        <v>7</v>
      </c>
      <c r="G783" s="28" t="s">
        <v>617</v>
      </c>
      <c r="H783" s="220"/>
      <c r="I783" s="497">
        <v>1</v>
      </c>
      <c r="J783" s="76">
        <v>3.2</v>
      </c>
      <c r="K783" s="66" t="str">
        <f>IF(_xlfn.XLOOKUP($J783,Catalogo!$B$7:$B$210,Catalogo!$I$7:$I$210,"",0)=0,"",_xlfn.XLOOKUP($J783,Catalogo!$B$7:$B$210,Catalogo!$I$7:$I$210,"",0))</f>
        <v>DATA EXC</v>
      </c>
      <c r="L783" s="36"/>
      <c r="M783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83" t="str">
        <f>_xlfn.IFNA(_xlfn.XLOOKUP(Tabla1[[#This Row],[fin]],$P$379:$P$398,$T$379:$T$398),"")</f>
        <v/>
      </c>
    </row>
    <row r="784" spans="1:14" x14ac:dyDescent="0.25">
      <c r="A784" s="350">
        <v>46274</v>
      </c>
      <c r="B784" s="114" t="s">
        <v>30</v>
      </c>
      <c r="C784" s="508" t="s">
        <v>13</v>
      </c>
      <c r="D784" s="39" t="s">
        <v>71</v>
      </c>
      <c r="E784" s="40" t="s">
        <v>531</v>
      </c>
      <c r="F784" s="489">
        <v>7</v>
      </c>
      <c r="G784" s="28" t="s">
        <v>617</v>
      </c>
      <c r="H784" s="220"/>
      <c r="I784" s="497">
        <v>1</v>
      </c>
      <c r="J784" s="76" t="s">
        <v>122</v>
      </c>
      <c r="K784" s="66" t="str">
        <f>IF(_xlfn.XLOOKUP($J784,Catalogo!$B$7:$B$210,Catalogo!$I$7:$I$210,"",0)=0,"",_xlfn.XLOOKUP($J784,Catalogo!$B$7:$B$210,Catalogo!$I$7:$I$210,"",0))</f>
        <v>VT</v>
      </c>
      <c r="L784" s="36"/>
      <c r="M784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84" t="str">
        <f>_xlfn.IFNA(_xlfn.XLOOKUP(Tabla1[[#This Row],[fin]],$P$379:$P$398,$T$379:$T$398),"")</f>
        <v/>
      </c>
    </row>
    <row r="785" spans="1:14" x14ac:dyDescent="0.25">
      <c r="A785" s="350">
        <v>46274</v>
      </c>
      <c r="B785" s="114" t="s">
        <v>30</v>
      </c>
      <c r="C785" s="508" t="s">
        <v>13</v>
      </c>
      <c r="D785" s="39" t="s">
        <v>71</v>
      </c>
      <c r="E785" s="40" t="s">
        <v>125</v>
      </c>
      <c r="F785" s="489">
        <v>7</v>
      </c>
      <c r="G785" s="28" t="s">
        <v>617</v>
      </c>
      <c r="H785" s="220"/>
      <c r="I785" s="497">
        <v>1</v>
      </c>
      <c r="J785" s="76" t="s">
        <v>124</v>
      </c>
      <c r="K785" s="66" t="str">
        <f>IF(_xlfn.XLOOKUP($J785,Catalogo!$B$7:$B$210,Catalogo!$I$7:$I$210,"",0)=0,"",_xlfn.XLOOKUP($J785,Catalogo!$B$7:$B$210,Catalogo!$I$7:$I$210,"",0))</f>
        <v>SANIDAD Y ESPESORES</v>
      </c>
      <c r="L785" s="36"/>
      <c r="M785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85" t="str">
        <f>_xlfn.IFNA(_xlfn.XLOOKUP(Tabla1[[#This Row],[fin]],$P$379:$P$398,$T$379:$T$398),"")</f>
        <v/>
      </c>
    </row>
    <row r="786" spans="1:14" x14ac:dyDescent="0.25">
      <c r="A786" s="350">
        <v>46274</v>
      </c>
      <c r="B786" s="114" t="s">
        <v>30</v>
      </c>
      <c r="C786" s="508" t="s">
        <v>13</v>
      </c>
      <c r="D786" s="39" t="s">
        <v>71</v>
      </c>
      <c r="E786" s="40" t="s">
        <v>128</v>
      </c>
      <c r="F786" s="489">
        <v>7</v>
      </c>
      <c r="G786" s="28" t="s">
        <v>617</v>
      </c>
      <c r="H786" s="220"/>
      <c r="I786" s="497">
        <v>1</v>
      </c>
      <c r="J786" s="76" t="s">
        <v>127</v>
      </c>
      <c r="K786" s="66" t="str">
        <f>IF(_xlfn.XLOOKUP($J786,Catalogo!$B$7:$B$210,Catalogo!$I$7:$I$210,"",0)=0,"",_xlfn.XLOOKUP($J786,Catalogo!$B$7:$B$210,Catalogo!$I$7:$I$210,"",0))</f>
        <v>CARACTERIZACION</v>
      </c>
      <c r="L786" s="36"/>
      <c r="M786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86" t="str">
        <f>_xlfn.IFNA(_xlfn.XLOOKUP(Tabla1[[#This Row],[fin]],$P$379:$P$398,$T$379:$T$398),"")</f>
        <v/>
      </c>
    </row>
    <row r="787" spans="1:14" x14ac:dyDescent="0.25">
      <c r="A787" s="350">
        <v>46274</v>
      </c>
      <c r="B787" s="114" t="s">
        <v>30</v>
      </c>
      <c r="C787" s="508" t="s">
        <v>13</v>
      </c>
      <c r="D787" s="39" t="s">
        <v>71</v>
      </c>
      <c r="E787" s="40" t="s">
        <v>132</v>
      </c>
      <c r="F787" s="489">
        <v>7</v>
      </c>
      <c r="G787" s="28" t="s">
        <v>617</v>
      </c>
      <c r="H787" s="220"/>
      <c r="I787" s="497">
        <v>1</v>
      </c>
      <c r="J787" s="76" t="s">
        <v>131</v>
      </c>
      <c r="K787" s="66" t="str">
        <f>IF(_xlfn.XLOOKUP($J787,Catalogo!$B$7:$B$210,Catalogo!$I$7:$I$210,"",0)=0,"",_xlfn.XLOOKUP($J787,Catalogo!$B$7:$B$210,Catalogo!$I$7:$I$210,"",0))</f>
        <v>UT RECTO</v>
      </c>
      <c r="L787" s="36"/>
      <c r="M787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87" t="str">
        <f>_xlfn.IFNA(_xlfn.XLOOKUP(Tabla1[[#This Row],[fin]],$P$379:$P$398,$T$379:$T$398),"")</f>
        <v/>
      </c>
    </row>
    <row r="788" spans="1:14" x14ac:dyDescent="0.25">
      <c r="A788" s="350">
        <v>46274</v>
      </c>
      <c r="B788" s="114" t="s">
        <v>30</v>
      </c>
      <c r="C788" s="508" t="s">
        <v>13</v>
      </c>
      <c r="D788" s="39" t="s">
        <v>71</v>
      </c>
      <c r="E788" s="40" t="s">
        <v>136</v>
      </c>
      <c r="F788" s="489">
        <v>7</v>
      </c>
      <c r="G788" s="28" t="s">
        <v>617</v>
      </c>
      <c r="H788" s="220"/>
      <c r="I788" s="497">
        <v>1</v>
      </c>
      <c r="J788" s="76" t="s">
        <v>135</v>
      </c>
      <c r="K788" s="66" t="str">
        <f>IF(_xlfn.XLOOKUP($J788,Catalogo!$B$7:$B$210,Catalogo!$I$7:$I$210,"",0)=0,"",_xlfn.XLOOKUP($J788,Catalogo!$B$7:$B$210,Catalogo!$I$7:$I$210,"",0))</f>
        <v>LP</v>
      </c>
      <c r="L788" s="36"/>
      <c r="M788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788" t="str">
        <f>_xlfn.IFNA(_xlfn.XLOOKUP(Tabla1[[#This Row],[fin]],$P$379:$P$398,$T$379:$T$398),"")</f>
        <v/>
      </c>
    </row>
    <row r="789" spans="1:14" x14ac:dyDescent="0.25">
      <c r="A789" s="350">
        <v>46274</v>
      </c>
      <c r="B789" s="114" t="s">
        <v>30</v>
      </c>
      <c r="C789" s="508" t="s">
        <v>13</v>
      </c>
      <c r="D789" s="39" t="s">
        <v>71</v>
      </c>
      <c r="E789" s="40" t="s">
        <v>138</v>
      </c>
      <c r="F789" s="489">
        <v>7</v>
      </c>
      <c r="G789" s="28" t="s">
        <v>617</v>
      </c>
      <c r="H789" s="220"/>
      <c r="I789" s="497">
        <v>1</v>
      </c>
      <c r="J789" s="76" t="s">
        <v>137</v>
      </c>
      <c r="K789" s="66" t="str">
        <f>IF(_xlfn.XLOOKUP($J789,Catalogo!$B$7:$B$210,Catalogo!$I$7:$I$210,"",0)=0,"",_xlfn.XLOOKUP($J789,Catalogo!$B$7:$B$210,Catalogo!$I$7:$I$210,"",0))</f>
        <v>PH EXC</v>
      </c>
      <c r="L789" s="36"/>
      <c r="M789" s="257">
        <f>IF(Tabla1[[#This Row],[Avance_km]]&lt;&gt;"",Tabla1[[#This Row],[Avance_km]],Tabla1[[#This Row],[Avance_Med]])*_xlfn.XLOOKUP(Tabla1[[#This Row],[Codigo_actividad]],Catalogo!$B$6:$B$51,Catalogo!$F$6:$F$51,0)</f>
        <v>656</v>
      </c>
      <c r="N789" t="str">
        <f>_xlfn.IFNA(_xlfn.XLOOKUP(Tabla1[[#This Row],[fin]],$P$379:$P$398,$T$379:$T$398),"")</f>
        <v/>
      </c>
    </row>
    <row r="790" spans="1:14" x14ac:dyDescent="0.25">
      <c r="A790" s="350">
        <v>46274</v>
      </c>
      <c r="B790" s="114" t="s">
        <v>30</v>
      </c>
      <c r="C790" s="508" t="s">
        <v>13</v>
      </c>
      <c r="D790" s="39" t="s">
        <v>71</v>
      </c>
      <c r="E790" s="40" t="s">
        <v>140</v>
      </c>
      <c r="F790" s="489">
        <v>7</v>
      </c>
      <c r="G790" s="28" t="s">
        <v>617</v>
      </c>
      <c r="H790" s="220"/>
      <c r="I790" s="497">
        <v>1</v>
      </c>
      <c r="J790" s="76" t="s">
        <v>139</v>
      </c>
      <c r="K790" s="66" t="str">
        <f>IF(_xlfn.XLOOKUP($J790,Catalogo!$B$7:$B$210,Catalogo!$I$7:$I$210,"",0)=0,"",_xlfn.XLOOKUP($J790,Catalogo!$B$7:$B$210,Catalogo!$I$7:$I$210,"",0))</f>
        <v>BACTERIAS EXC</v>
      </c>
      <c r="L790" s="36"/>
      <c r="M790" s="257">
        <f>IF(Tabla1[[#This Row],[Avance_km]]&lt;&gt;"",Tabla1[[#This Row],[Avance_km]],Tabla1[[#This Row],[Avance_Med]])*_xlfn.XLOOKUP(Tabla1[[#This Row],[Codigo_actividad]],Catalogo!$B$6:$B$51,Catalogo!$F$6:$F$51,0)</f>
        <v>4676</v>
      </c>
      <c r="N790" t="str">
        <f>_xlfn.IFNA(_xlfn.XLOOKUP(Tabla1[[#This Row],[fin]],$P$379:$P$398,$T$379:$T$398),"")</f>
        <v/>
      </c>
    </row>
    <row r="791" spans="1:14" x14ac:dyDescent="0.25">
      <c r="A791" s="350"/>
      <c r="B791" s="114"/>
      <c r="C791" s="508"/>
      <c r="D791" s="39"/>
      <c r="F791" s="28"/>
      <c r="G791" s="28"/>
      <c r="H791" s="220" t="str">
        <f>IF(Tabla1[[#This Row],[Codigo_actividad]]&lt;&gt;2.5,IF(((Tabla1[[#This Row],[fin]]-Tabla1[[#This Row],[inicio]])/1000)=0,"",((Tabla1[[#This Row],[fin]]-Tabla1[[#This Row],[inicio]])/1000)),"")</f>
        <v/>
      </c>
      <c r="I791" s="66"/>
      <c r="J791" s="76"/>
      <c r="K791" s="66" t="str">
        <f>IF(_xlfn.XLOOKUP($J791,Catalogo!$B$7:$B$21,Catalogo!$I$7:$I$21,"",0)=0,"",_xlfn.XLOOKUP($J791,Catalogo!$B$7:$B$21,Catalogo!$I$7:$I$21,"",0))</f>
        <v/>
      </c>
      <c r="L791" s="36"/>
      <c r="M791" s="257">
        <f>IF(Tabla1[[#This Row],[Avance_km]]&lt;&gt;"",Tabla1[[#This Row],[Avance_km]],Tabla1[[#This Row],[Avance_Med]])*_xlfn.XLOOKUP(Tabla1[[#This Row],[Codigo_actividad]],Catalogo!$B$6:$B$51,Catalogo!$F$6:$F$51,0)</f>
        <v>0</v>
      </c>
      <c r="N791" t="str">
        <f>_xlfn.IFNA(_xlfn.XLOOKUP(Tabla1[[#This Row],[fin]],$P$379:$P$398,$T$379:$T$398),"")</f>
        <v/>
      </c>
    </row>
    <row r="792" spans="1:14" x14ac:dyDescent="0.25">
      <c r="A792" s="350">
        <v>46297</v>
      </c>
      <c r="B792" s="114" t="s">
        <v>30</v>
      </c>
      <c r="C792" s="508" t="s">
        <v>13</v>
      </c>
      <c r="D792" s="39" t="s">
        <v>46</v>
      </c>
      <c r="E792" s="40" t="s">
        <v>119</v>
      </c>
      <c r="F792" s="489">
        <v>271</v>
      </c>
      <c r="G792" s="28" t="s">
        <v>617</v>
      </c>
      <c r="H792" s="220"/>
      <c r="I792" s="497">
        <v>1</v>
      </c>
      <c r="J792" s="76">
        <v>3.2</v>
      </c>
      <c r="K792" s="66" t="str">
        <f>IF(_xlfn.XLOOKUP($J792,Catalogo!$B$7:$B$210,Catalogo!$I$7:$I$210,"",0)=0,"",_xlfn.XLOOKUP($J792,Catalogo!$B$7:$B$210,Catalogo!$I$7:$I$210,"",0))</f>
        <v>DATA EXC</v>
      </c>
      <c r="L792" s="36"/>
      <c r="M792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92" t="str">
        <f>_xlfn.IFNA(_xlfn.XLOOKUP(Tabla1[[#This Row],[fin]],$P$379:$P$398,$T$379:$T$398),"")</f>
        <v/>
      </c>
    </row>
    <row r="793" spans="1:14" x14ac:dyDescent="0.25">
      <c r="A793" s="350">
        <v>46297</v>
      </c>
      <c r="B793" s="114" t="s">
        <v>30</v>
      </c>
      <c r="C793" s="508" t="s">
        <v>13</v>
      </c>
      <c r="D793" s="39" t="s">
        <v>46</v>
      </c>
      <c r="E793" s="40" t="s">
        <v>531</v>
      </c>
      <c r="F793" s="489">
        <v>271</v>
      </c>
      <c r="G793" s="28" t="s">
        <v>617</v>
      </c>
      <c r="H793" s="220"/>
      <c r="I793" s="497">
        <v>1</v>
      </c>
      <c r="J793" s="76" t="s">
        <v>122</v>
      </c>
      <c r="K793" s="66" t="str">
        <f>IF(_xlfn.XLOOKUP($J793,Catalogo!$B$7:$B$210,Catalogo!$I$7:$I$210,"",0)=0,"",_xlfn.XLOOKUP($J793,Catalogo!$B$7:$B$210,Catalogo!$I$7:$I$210,"",0))</f>
        <v>VT</v>
      </c>
      <c r="L793" s="36"/>
      <c r="M793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93" t="str">
        <f>_xlfn.IFNA(_xlfn.XLOOKUP(Tabla1[[#This Row],[fin]],$P$379:$P$398,$T$379:$T$398),"")</f>
        <v/>
      </c>
    </row>
    <row r="794" spans="1:14" x14ac:dyDescent="0.25">
      <c r="A794" s="350">
        <v>46297</v>
      </c>
      <c r="B794" s="114" t="s">
        <v>30</v>
      </c>
      <c r="C794" s="508" t="s">
        <v>13</v>
      </c>
      <c r="D794" s="39" t="s">
        <v>46</v>
      </c>
      <c r="E794" s="40" t="s">
        <v>125</v>
      </c>
      <c r="F794" s="489">
        <v>271</v>
      </c>
      <c r="G794" s="28" t="s">
        <v>617</v>
      </c>
      <c r="H794" s="220"/>
      <c r="I794" s="497">
        <v>1</v>
      </c>
      <c r="J794" s="76" t="s">
        <v>124</v>
      </c>
      <c r="K794" s="66" t="str">
        <f>IF(_xlfn.XLOOKUP($J794,Catalogo!$B$7:$B$210,Catalogo!$I$7:$I$210,"",0)=0,"",_xlfn.XLOOKUP($J794,Catalogo!$B$7:$B$210,Catalogo!$I$7:$I$210,"",0))</f>
        <v>SANIDAD Y ESPESORES</v>
      </c>
      <c r="L794" s="36"/>
      <c r="M794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94" t="str">
        <f>_xlfn.IFNA(_xlfn.XLOOKUP(Tabla1[[#This Row],[fin]],$P$379:$P$398,$T$379:$T$398),"")</f>
        <v/>
      </c>
    </row>
    <row r="795" spans="1:14" x14ac:dyDescent="0.25">
      <c r="A795" s="350">
        <v>46297</v>
      </c>
      <c r="B795" s="114" t="s">
        <v>30</v>
      </c>
      <c r="C795" s="508" t="s">
        <v>13</v>
      </c>
      <c r="D795" s="39" t="s">
        <v>46</v>
      </c>
      <c r="E795" s="40" t="s">
        <v>128</v>
      </c>
      <c r="F795" s="489">
        <v>271</v>
      </c>
      <c r="G795" s="28" t="s">
        <v>617</v>
      </c>
      <c r="H795" s="220"/>
      <c r="I795" s="497">
        <v>1</v>
      </c>
      <c r="J795" s="76" t="s">
        <v>127</v>
      </c>
      <c r="K795" s="66" t="str">
        <f>IF(_xlfn.XLOOKUP($J795,Catalogo!$B$7:$B$210,Catalogo!$I$7:$I$210,"",0)=0,"",_xlfn.XLOOKUP($J795,Catalogo!$B$7:$B$210,Catalogo!$I$7:$I$210,"",0))</f>
        <v>CARACTERIZACION</v>
      </c>
      <c r="L795" s="36"/>
      <c r="M795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95" t="str">
        <f>_xlfn.IFNA(_xlfn.XLOOKUP(Tabla1[[#This Row],[fin]],$P$379:$P$398,$T$379:$T$398),"")</f>
        <v/>
      </c>
    </row>
    <row r="796" spans="1:14" x14ac:dyDescent="0.25">
      <c r="A796" s="350">
        <v>46297</v>
      </c>
      <c r="B796" s="114" t="s">
        <v>30</v>
      </c>
      <c r="C796" s="508" t="s">
        <v>13</v>
      </c>
      <c r="D796" s="39" t="s">
        <v>46</v>
      </c>
      <c r="E796" s="40" t="s">
        <v>132</v>
      </c>
      <c r="F796" s="489">
        <v>271</v>
      </c>
      <c r="G796" s="28" t="s">
        <v>617</v>
      </c>
      <c r="H796" s="220"/>
      <c r="I796" s="497">
        <v>1</v>
      </c>
      <c r="J796" s="76" t="s">
        <v>131</v>
      </c>
      <c r="K796" s="66" t="str">
        <f>IF(_xlfn.XLOOKUP($J796,Catalogo!$B$7:$B$210,Catalogo!$I$7:$I$210,"",0)=0,"",_xlfn.XLOOKUP($J796,Catalogo!$B$7:$B$210,Catalogo!$I$7:$I$210,"",0))</f>
        <v>UT RECTO</v>
      </c>
      <c r="L796" s="36"/>
      <c r="M796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96" t="str">
        <f>_xlfn.IFNA(_xlfn.XLOOKUP(Tabla1[[#This Row],[fin]],$P$379:$P$398,$T$379:$T$398),"")</f>
        <v/>
      </c>
    </row>
    <row r="797" spans="1:14" x14ac:dyDescent="0.25">
      <c r="A797" s="350">
        <v>46297</v>
      </c>
      <c r="B797" s="114" t="s">
        <v>30</v>
      </c>
      <c r="C797" s="508" t="s">
        <v>13</v>
      </c>
      <c r="D797" s="39" t="s">
        <v>46</v>
      </c>
      <c r="E797" s="40" t="s">
        <v>138</v>
      </c>
      <c r="F797" s="489">
        <v>271</v>
      </c>
      <c r="G797" s="28" t="s">
        <v>617</v>
      </c>
      <c r="H797" s="220"/>
      <c r="I797" s="497">
        <v>1</v>
      </c>
      <c r="J797" s="76" t="s">
        <v>137</v>
      </c>
      <c r="K797" s="66" t="str">
        <f>IF(_xlfn.XLOOKUP($J797,Catalogo!$B$7:$B$210,Catalogo!$I$7:$I$210,"",0)=0,"",_xlfn.XLOOKUP($J797,Catalogo!$B$7:$B$210,Catalogo!$I$7:$I$210,"",0))</f>
        <v>PH EXC</v>
      </c>
      <c r="L797" s="36"/>
      <c r="M797" s="257">
        <f>IF(Tabla1[[#This Row],[Avance_km]]&lt;&gt;"",Tabla1[[#This Row],[Avance_km]],Tabla1[[#This Row],[Avance_Med]])*_xlfn.XLOOKUP(Tabla1[[#This Row],[Codigo_actividad]],Catalogo!$B$6:$B$51,Catalogo!$F$6:$F$51,0)</f>
        <v>656</v>
      </c>
      <c r="N797" t="str">
        <f>_xlfn.IFNA(_xlfn.XLOOKUP(Tabla1[[#This Row],[fin]],$P$379:$P$398,$T$379:$T$398),"")</f>
        <v/>
      </c>
    </row>
    <row r="798" spans="1:14" x14ac:dyDescent="0.25">
      <c r="A798" s="350">
        <v>46297</v>
      </c>
      <c r="B798" s="114" t="s">
        <v>30</v>
      </c>
      <c r="C798" s="508" t="s">
        <v>13</v>
      </c>
      <c r="D798" s="39" t="s">
        <v>46</v>
      </c>
      <c r="E798" s="40" t="s">
        <v>140</v>
      </c>
      <c r="F798" s="489">
        <v>271</v>
      </c>
      <c r="G798" s="28" t="s">
        <v>617</v>
      </c>
      <c r="H798" s="220"/>
      <c r="I798" s="497">
        <v>1</v>
      </c>
      <c r="J798" s="76" t="s">
        <v>139</v>
      </c>
      <c r="K798" s="66" t="str">
        <f>IF(_xlfn.XLOOKUP($J798,Catalogo!$B$7:$B$210,Catalogo!$I$7:$I$210,"",0)=0,"",_xlfn.XLOOKUP($J798,Catalogo!$B$7:$B$210,Catalogo!$I$7:$I$210,"",0))</f>
        <v>BACTERIAS EXC</v>
      </c>
      <c r="L798" s="36"/>
      <c r="M798" s="257">
        <f>IF(Tabla1[[#This Row],[Avance_km]]&lt;&gt;"",Tabla1[[#This Row],[Avance_km]],Tabla1[[#This Row],[Avance_Med]])*_xlfn.XLOOKUP(Tabla1[[#This Row],[Codigo_actividad]],Catalogo!$B$6:$B$51,Catalogo!$F$6:$F$51,0)</f>
        <v>4676</v>
      </c>
      <c r="N798" t="str">
        <f>_xlfn.IFNA(_xlfn.XLOOKUP(Tabla1[[#This Row],[fin]],$P$379:$P$398,$T$379:$T$398),"")</f>
        <v/>
      </c>
    </row>
    <row r="799" spans="1:14" x14ac:dyDescent="0.25">
      <c r="A799" s="350"/>
      <c r="B799" s="114"/>
      <c r="C799" s="508"/>
      <c r="D799" s="39"/>
      <c r="F799" s="28"/>
      <c r="G799" s="28"/>
      <c r="H799" s="220" t="str">
        <f>IF(Tabla1[[#This Row],[Codigo_actividad]]&lt;&gt;2.5,IF(((Tabla1[[#This Row],[fin]]-Tabla1[[#This Row],[inicio]])/1000)=0,"",((Tabla1[[#This Row],[fin]]-Tabla1[[#This Row],[inicio]])/1000)),"")</f>
        <v/>
      </c>
      <c r="I799" s="66"/>
      <c r="J799" s="76"/>
      <c r="K799" s="66" t="str">
        <f>IF(_xlfn.XLOOKUP($J799,Catalogo!$B$7:$B$21,Catalogo!$I$7:$I$21,"",0)=0,"",_xlfn.XLOOKUP($J799,Catalogo!$B$7:$B$21,Catalogo!$I$7:$I$21,"",0))</f>
        <v/>
      </c>
      <c r="L799" s="36"/>
      <c r="M799" s="257">
        <f>IF(Tabla1[[#This Row],[Avance_km]]&lt;&gt;"",Tabla1[[#This Row],[Avance_km]],Tabla1[[#This Row],[Avance_Med]])*_xlfn.XLOOKUP(Tabla1[[#This Row],[Codigo_actividad]],Catalogo!$B$6:$B$51,Catalogo!$F$6:$F$51,0)</f>
        <v>0</v>
      </c>
      <c r="N799" t="str">
        <f>_xlfn.IFNA(_xlfn.XLOOKUP(Tabla1[[#This Row],[fin]],$P$379:$P$398,$T$379:$T$398),"")</f>
        <v/>
      </c>
    </row>
    <row r="800" spans="1:14" x14ac:dyDescent="0.25">
      <c r="A800" s="350">
        <v>46282</v>
      </c>
      <c r="B800" s="114" t="s">
        <v>30</v>
      </c>
      <c r="C800" s="508" t="s">
        <v>13</v>
      </c>
      <c r="D800" s="39" t="s">
        <v>38</v>
      </c>
      <c r="E800" s="40" t="s">
        <v>119</v>
      </c>
      <c r="F800" s="489">
        <v>517</v>
      </c>
      <c r="G800" s="28" t="s">
        <v>617</v>
      </c>
      <c r="H800" s="220"/>
      <c r="I800" s="497">
        <v>1</v>
      </c>
      <c r="J800" s="76">
        <v>3.2</v>
      </c>
      <c r="K800" s="66" t="str">
        <f>IF(_xlfn.XLOOKUP($J800,Catalogo!$B$7:$B$210,Catalogo!$I$7:$I$210,"",0)=0,"",_xlfn.XLOOKUP($J800,Catalogo!$B$7:$B$210,Catalogo!$I$7:$I$210,"",0))</f>
        <v>DATA EXC</v>
      </c>
      <c r="L800" s="36"/>
      <c r="M800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1" spans="1:14" x14ac:dyDescent="0.25">
      <c r="A801" s="350">
        <v>46282</v>
      </c>
      <c r="B801" s="114" t="s">
        <v>30</v>
      </c>
      <c r="C801" s="508" t="s">
        <v>13</v>
      </c>
      <c r="D801" s="39" t="s">
        <v>38</v>
      </c>
      <c r="E801" s="40" t="s">
        <v>531</v>
      </c>
      <c r="F801" s="489">
        <v>517</v>
      </c>
      <c r="G801" s="28" t="s">
        <v>617</v>
      </c>
      <c r="H801" s="220"/>
      <c r="I801" s="497">
        <v>1</v>
      </c>
      <c r="J801" s="76" t="s">
        <v>122</v>
      </c>
      <c r="K801" s="66" t="str">
        <f>IF(_xlfn.XLOOKUP($J801,Catalogo!$B$7:$B$210,Catalogo!$I$7:$I$210,"",0)=0,"",_xlfn.XLOOKUP($J801,Catalogo!$B$7:$B$210,Catalogo!$I$7:$I$210,"",0))</f>
        <v>VT</v>
      </c>
      <c r="L801" s="36"/>
      <c r="M801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2" spans="1:14" x14ac:dyDescent="0.25">
      <c r="A802" s="350">
        <v>46282</v>
      </c>
      <c r="B802" s="114" t="s">
        <v>30</v>
      </c>
      <c r="C802" s="508" t="s">
        <v>13</v>
      </c>
      <c r="D802" s="39" t="s">
        <v>38</v>
      </c>
      <c r="E802" s="40" t="s">
        <v>125</v>
      </c>
      <c r="F802" s="489">
        <v>517</v>
      </c>
      <c r="G802" s="28" t="s">
        <v>617</v>
      </c>
      <c r="H802" s="220"/>
      <c r="I802" s="497">
        <v>1</v>
      </c>
      <c r="J802" s="76" t="s">
        <v>124</v>
      </c>
      <c r="K802" s="66" t="str">
        <f>IF(_xlfn.XLOOKUP($J802,Catalogo!$B$7:$B$210,Catalogo!$I$7:$I$210,"",0)=0,"",_xlfn.XLOOKUP($J802,Catalogo!$B$7:$B$210,Catalogo!$I$7:$I$210,"",0))</f>
        <v>SANIDAD Y ESPESORES</v>
      </c>
      <c r="L802" s="36"/>
      <c r="M802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3" spans="1:14" x14ac:dyDescent="0.25">
      <c r="A803" s="350">
        <v>46282</v>
      </c>
      <c r="B803" s="114" t="s">
        <v>30</v>
      </c>
      <c r="C803" s="508" t="s">
        <v>13</v>
      </c>
      <c r="D803" s="39" t="s">
        <v>38</v>
      </c>
      <c r="E803" s="40" t="s">
        <v>128</v>
      </c>
      <c r="F803" s="489">
        <v>517</v>
      </c>
      <c r="G803" s="28" t="s">
        <v>617</v>
      </c>
      <c r="H803" s="220"/>
      <c r="I803" s="497">
        <v>1</v>
      </c>
      <c r="J803" s="76" t="s">
        <v>127</v>
      </c>
      <c r="K803" s="66" t="str">
        <f>IF(_xlfn.XLOOKUP($J803,Catalogo!$B$7:$B$210,Catalogo!$I$7:$I$210,"",0)=0,"",_xlfn.XLOOKUP($J803,Catalogo!$B$7:$B$210,Catalogo!$I$7:$I$210,"",0))</f>
        <v>CARACTERIZACION</v>
      </c>
      <c r="L803" s="36"/>
      <c r="M803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4" spans="1:14" x14ac:dyDescent="0.25">
      <c r="A804" s="350">
        <v>46282</v>
      </c>
      <c r="B804" s="114" t="s">
        <v>30</v>
      </c>
      <c r="C804" s="508" t="s">
        <v>13</v>
      </c>
      <c r="D804" s="39" t="s">
        <v>38</v>
      </c>
      <c r="E804" s="40" t="s">
        <v>132</v>
      </c>
      <c r="F804" s="489">
        <v>517</v>
      </c>
      <c r="G804" s="28" t="s">
        <v>617</v>
      </c>
      <c r="H804" s="220"/>
      <c r="I804" s="497">
        <v>1</v>
      </c>
      <c r="J804" s="76" t="s">
        <v>131</v>
      </c>
      <c r="K804" s="66" t="str">
        <f>IF(_xlfn.XLOOKUP($J804,Catalogo!$B$7:$B$210,Catalogo!$I$7:$I$210,"",0)=0,"",_xlfn.XLOOKUP($J804,Catalogo!$B$7:$B$210,Catalogo!$I$7:$I$210,"",0))</f>
        <v>UT RECTO</v>
      </c>
      <c r="L804" s="36"/>
      <c r="M804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05" spans="1:14" x14ac:dyDescent="0.25">
      <c r="A805" s="350">
        <v>46282</v>
      </c>
      <c r="B805" s="114" t="s">
        <v>30</v>
      </c>
      <c r="C805" s="508" t="s">
        <v>13</v>
      </c>
      <c r="D805" s="39" t="s">
        <v>38</v>
      </c>
      <c r="E805" s="40" t="s">
        <v>138</v>
      </c>
      <c r="F805" s="489">
        <v>517</v>
      </c>
      <c r="G805" s="28" t="s">
        <v>617</v>
      </c>
      <c r="H805" s="220"/>
      <c r="I805" s="497">
        <v>1</v>
      </c>
      <c r="J805" s="76" t="s">
        <v>137</v>
      </c>
      <c r="K805" s="66" t="str">
        <f>IF(_xlfn.XLOOKUP($J805,Catalogo!$B$7:$B$210,Catalogo!$I$7:$I$210,"",0)=0,"",_xlfn.XLOOKUP($J805,Catalogo!$B$7:$B$210,Catalogo!$I$7:$I$210,"",0))</f>
        <v>PH EXC</v>
      </c>
      <c r="L805" s="36"/>
      <c r="M805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806" spans="1:14" x14ac:dyDescent="0.25">
      <c r="A806" s="350">
        <v>46282</v>
      </c>
      <c r="B806" s="114" t="s">
        <v>30</v>
      </c>
      <c r="C806" s="508" t="s">
        <v>13</v>
      </c>
      <c r="D806" s="39" t="s">
        <v>38</v>
      </c>
      <c r="E806" s="40" t="s">
        <v>140</v>
      </c>
      <c r="F806" s="489">
        <v>517</v>
      </c>
      <c r="G806" s="28" t="s">
        <v>617</v>
      </c>
      <c r="H806" s="220"/>
      <c r="I806" s="497">
        <v>1</v>
      </c>
      <c r="J806" s="76" t="s">
        <v>139</v>
      </c>
      <c r="K806" s="66" t="str">
        <f>IF(_xlfn.XLOOKUP($J806,Catalogo!$B$7:$B$210,Catalogo!$I$7:$I$210,"",0)=0,"",_xlfn.XLOOKUP($J806,Catalogo!$B$7:$B$210,Catalogo!$I$7:$I$210,"",0))</f>
        <v>BACTERIAS EXC</v>
      </c>
      <c r="L806" s="36"/>
      <c r="M806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07" spans="1:14" x14ac:dyDescent="0.25">
      <c r="A807" s="350"/>
      <c r="B807" s="114"/>
      <c r="C807" s="152"/>
      <c r="D807" s="39"/>
      <c r="F807" s="28"/>
      <c r="G807" s="28"/>
      <c r="H807" s="220" t="str">
        <f>IF(Tabla1[[#This Row],[Codigo_actividad]]&lt;&gt;2.5,IF(((Tabla1[[#This Row],[fin]]-Tabla1[[#This Row],[inicio]])/1000)=0,"",((Tabla1[[#This Row],[fin]]-Tabla1[[#This Row],[inicio]])/1000)),"")</f>
        <v/>
      </c>
      <c r="I807" s="66"/>
      <c r="J807" s="76"/>
      <c r="K807" s="66" t="str">
        <f>IF(_xlfn.XLOOKUP($J807,Catalogo!$B$7:$B$21,Catalogo!$I$7:$I$21,"",0)=0,"",_xlfn.XLOOKUP($J807,Catalogo!$B$7:$B$21,Catalogo!$I$7:$I$21,"",0))</f>
        <v/>
      </c>
      <c r="L807" s="36"/>
      <c r="M807" s="257">
        <f>IF(Tabla1[[#This Row],[Avance_km]]&lt;&gt;"",Tabla1[[#This Row],[Avance_km]],Tabla1[[#This Row],[Avance_Med]])*_xlfn.XLOOKUP(Tabla1[[#This Row],[Codigo_actividad]],Catalogo!$B$6:$B$51,Catalogo!$F$6:$F$51,0)</f>
        <v>0</v>
      </c>
      <c r="N807" t="str">
        <f>_xlfn.IFNA(_xlfn.XLOOKUP(Tabla1[[#This Row],[fin]],$P$379:$P$398,$T$379:$T$398),"")</f>
        <v/>
      </c>
    </row>
    <row r="808" spans="1:14" x14ac:dyDescent="0.25">
      <c r="A808" s="350">
        <v>46269</v>
      </c>
      <c r="B808" s="114" t="s">
        <v>30</v>
      </c>
      <c r="C808" s="509" t="s">
        <v>22</v>
      </c>
      <c r="D808" s="39" t="s">
        <v>35</v>
      </c>
      <c r="E808" s="40" t="s">
        <v>119</v>
      </c>
      <c r="F808" s="489">
        <v>1182</v>
      </c>
      <c r="G808" s="28" t="s">
        <v>617</v>
      </c>
      <c r="H808" s="220"/>
      <c r="I808" s="497">
        <v>1</v>
      </c>
      <c r="J808" s="76">
        <v>3.2</v>
      </c>
      <c r="K808" s="66" t="str">
        <f>IF(_xlfn.XLOOKUP($J808,Catalogo!$B$7:$B$210,Catalogo!$I$7:$I$210,"",0)=0,"",_xlfn.XLOOKUP($J808,Catalogo!$B$7:$B$210,Catalogo!$I$7:$I$210,"",0))</f>
        <v>DATA EXC</v>
      </c>
      <c r="L808" s="36"/>
      <c r="M808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08" t="str">
        <f>_xlfn.IFNA(_xlfn.XLOOKUP(Tabla1[[#This Row],[fin]],$P$379:$P$398,$T$379:$T$398),"")</f>
        <v/>
      </c>
    </row>
    <row r="809" spans="1:14" x14ac:dyDescent="0.25">
      <c r="A809" s="350">
        <v>46269</v>
      </c>
      <c r="B809" s="114" t="s">
        <v>30</v>
      </c>
      <c r="C809" s="509" t="s">
        <v>22</v>
      </c>
      <c r="D809" s="39" t="s">
        <v>35</v>
      </c>
      <c r="E809" s="40" t="s">
        <v>531</v>
      </c>
      <c r="F809" s="489">
        <v>1182</v>
      </c>
      <c r="G809" s="28" t="s">
        <v>617</v>
      </c>
      <c r="H809" s="220"/>
      <c r="I809" s="497">
        <v>1</v>
      </c>
      <c r="J809" s="76" t="s">
        <v>122</v>
      </c>
      <c r="K809" s="66" t="str">
        <f>IF(_xlfn.XLOOKUP($J809,Catalogo!$B$7:$B$210,Catalogo!$I$7:$I$210,"",0)=0,"",_xlfn.XLOOKUP($J809,Catalogo!$B$7:$B$210,Catalogo!$I$7:$I$210,"",0))</f>
        <v>VT</v>
      </c>
      <c r="L809" s="36"/>
      <c r="M809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09" t="str">
        <f>_xlfn.IFNA(_xlfn.XLOOKUP(Tabla1[[#This Row],[fin]],$P$379:$P$398,$T$379:$T$398),"")</f>
        <v/>
      </c>
    </row>
    <row r="810" spans="1:14" x14ac:dyDescent="0.25">
      <c r="A810" s="350">
        <v>46269</v>
      </c>
      <c r="B810" s="114" t="s">
        <v>30</v>
      </c>
      <c r="C810" s="509" t="s">
        <v>22</v>
      </c>
      <c r="D810" s="39" t="s">
        <v>35</v>
      </c>
      <c r="E810" s="40" t="s">
        <v>125</v>
      </c>
      <c r="F810" s="489">
        <v>1182</v>
      </c>
      <c r="G810" s="28" t="s">
        <v>617</v>
      </c>
      <c r="H810" s="220"/>
      <c r="I810" s="497">
        <v>1</v>
      </c>
      <c r="J810" s="76" t="s">
        <v>124</v>
      </c>
      <c r="K810" s="66" t="str">
        <f>IF(_xlfn.XLOOKUP($J810,Catalogo!$B$7:$B$210,Catalogo!$I$7:$I$210,"",0)=0,"",_xlfn.XLOOKUP($J810,Catalogo!$B$7:$B$210,Catalogo!$I$7:$I$210,"",0))</f>
        <v>SANIDAD Y ESPESORES</v>
      </c>
      <c r="L810" s="36"/>
      <c r="M810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10" t="str">
        <f>_xlfn.IFNA(_xlfn.XLOOKUP(Tabla1[[#This Row],[fin]],$P$379:$P$398,$T$379:$T$398),"")</f>
        <v/>
      </c>
    </row>
    <row r="811" spans="1:14" x14ac:dyDescent="0.25">
      <c r="A811" s="350">
        <v>46269</v>
      </c>
      <c r="B811" s="114" t="s">
        <v>30</v>
      </c>
      <c r="C811" s="509" t="s">
        <v>22</v>
      </c>
      <c r="D811" s="39" t="s">
        <v>35</v>
      </c>
      <c r="E811" s="40" t="s">
        <v>128</v>
      </c>
      <c r="F811" s="489">
        <v>1182</v>
      </c>
      <c r="G811" s="28" t="s">
        <v>617</v>
      </c>
      <c r="H811" s="220"/>
      <c r="I811" s="497">
        <v>1</v>
      </c>
      <c r="J811" s="76" t="s">
        <v>127</v>
      </c>
      <c r="K811" s="66" t="str">
        <f>IF(_xlfn.XLOOKUP($J811,Catalogo!$B$7:$B$210,Catalogo!$I$7:$I$210,"",0)=0,"",_xlfn.XLOOKUP($J811,Catalogo!$B$7:$B$210,Catalogo!$I$7:$I$210,"",0))</f>
        <v>CARACTERIZACION</v>
      </c>
      <c r="L811" s="36"/>
      <c r="M811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11" t="str">
        <f>_xlfn.IFNA(_xlfn.XLOOKUP(Tabla1[[#This Row],[fin]],$P$379:$P$398,$T$379:$T$398),"")</f>
        <v/>
      </c>
    </row>
    <row r="812" spans="1:14" x14ac:dyDescent="0.25">
      <c r="A812" s="350">
        <v>46269</v>
      </c>
      <c r="B812" s="114" t="s">
        <v>30</v>
      </c>
      <c r="C812" s="509" t="s">
        <v>22</v>
      </c>
      <c r="D812" s="39" t="s">
        <v>35</v>
      </c>
      <c r="E812" s="40" t="s">
        <v>130</v>
      </c>
      <c r="F812" s="489">
        <v>1182</v>
      </c>
      <c r="G812" s="28" t="s">
        <v>617</v>
      </c>
      <c r="H812" s="220"/>
      <c r="I812" s="497">
        <v>1</v>
      </c>
      <c r="J812" s="76" t="s">
        <v>129</v>
      </c>
      <c r="K812" s="66" t="str">
        <f>IF(_xlfn.XLOOKUP($J812,Catalogo!$B$7:$B$210,Catalogo!$I$7:$I$210,"",0)=0,"",_xlfn.XLOOKUP($J812,Catalogo!$B$7:$B$210,Catalogo!$I$7:$I$210,"",0))</f>
        <v>UTPA</v>
      </c>
      <c r="L812" s="36"/>
      <c r="M812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12" t="str">
        <f>_xlfn.IFNA(_xlfn.XLOOKUP(Tabla1[[#This Row],[fin]],$P$379:$P$398,$T$379:$T$398),"")</f>
        <v/>
      </c>
    </row>
    <row r="813" spans="1:14" x14ac:dyDescent="0.25">
      <c r="A813" s="350">
        <v>46269</v>
      </c>
      <c r="B813" s="114" t="s">
        <v>30</v>
      </c>
      <c r="C813" s="509" t="s">
        <v>22</v>
      </c>
      <c r="D813" s="39" t="s">
        <v>35</v>
      </c>
      <c r="E813" s="40" t="s">
        <v>132</v>
      </c>
      <c r="F813" s="489">
        <v>1182</v>
      </c>
      <c r="G813" s="28" t="s">
        <v>617</v>
      </c>
      <c r="H813" s="220"/>
      <c r="I813" s="497">
        <v>1</v>
      </c>
      <c r="J813" s="76" t="s">
        <v>131</v>
      </c>
      <c r="K813" s="66" t="str">
        <f>IF(_xlfn.XLOOKUP($J813,Catalogo!$B$7:$B$210,Catalogo!$I$7:$I$210,"",0)=0,"",_xlfn.XLOOKUP($J813,Catalogo!$B$7:$B$210,Catalogo!$I$7:$I$210,"",0))</f>
        <v>UT RECTO</v>
      </c>
      <c r="L813" s="36"/>
      <c r="M81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13" t="str">
        <f>_xlfn.IFNA(_xlfn.XLOOKUP(Tabla1[[#This Row],[fin]],$P$379:$P$398,$T$379:$T$398),"")</f>
        <v/>
      </c>
    </row>
    <row r="814" spans="1:14" x14ac:dyDescent="0.25">
      <c r="A814" s="350">
        <v>46269</v>
      </c>
      <c r="B814" s="114" t="s">
        <v>30</v>
      </c>
      <c r="C814" s="509" t="s">
        <v>22</v>
      </c>
      <c r="D814" s="39" t="s">
        <v>35</v>
      </c>
      <c r="E814" s="40" t="s">
        <v>134</v>
      </c>
      <c r="F814" s="489">
        <v>1182</v>
      </c>
      <c r="G814" s="28" t="s">
        <v>617</v>
      </c>
      <c r="H814" s="220"/>
      <c r="I814" s="497">
        <v>1</v>
      </c>
      <c r="J814" s="76" t="s">
        <v>133</v>
      </c>
      <c r="K814" s="66" t="str">
        <f>IF(_xlfn.XLOOKUP($J814,Catalogo!$B$7:$B$210,Catalogo!$I$7:$I$210,"",0)=0,"",_xlfn.XLOOKUP($J814,Catalogo!$B$7:$B$210,Catalogo!$I$7:$I$210,"",0))</f>
        <v>MT</v>
      </c>
      <c r="L814" s="36"/>
      <c r="M814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14" t="str">
        <f>_xlfn.IFNA(_xlfn.XLOOKUP(Tabla1[[#This Row],[fin]],$P$379:$P$398,$T$379:$T$398),"")</f>
        <v/>
      </c>
    </row>
    <row r="815" spans="1:14" x14ac:dyDescent="0.25">
      <c r="A815" s="350">
        <v>46269</v>
      </c>
      <c r="B815" s="114" t="s">
        <v>30</v>
      </c>
      <c r="C815" s="509" t="s">
        <v>22</v>
      </c>
      <c r="D815" s="39" t="s">
        <v>35</v>
      </c>
      <c r="E815" s="40" t="s">
        <v>136</v>
      </c>
      <c r="F815" s="489">
        <v>1182</v>
      </c>
      <c r="G815" s="28" t="s">
        <v>617</v>
      </c>
      <c r="H815" s="220"/>
      <c r="I815" s="497">
        <v>1</v>
      </c>
      <c r="J815" s="76" t="s">
        <v>135</v>
      </c>
      <c r="K815" s="66" t="str">
        <f>IF(_xlfn.XLOOKUP($J815,Catalogo!$B$7:$B$210,Catalogo!$I$7:$I$210,"",0)=0,"",_xlfn.XLOOKUP($J815,Catalogo!$B$7:$B$210,Catalogo!$I$7:$I$210,"",0))</f>
        <v>LP</v>
      </c>
      <c r="L815" s="36"/>
      <c r="M815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15" t="str">
        <f>_xlfn.IFNA(_xlfn.XLOOKUP(Tabla1[[#This Row],[fin]],$P$379:$P$398,$T$379:$T$398),"")</f>
        <v/>
      </c>
    </row>
    <row r="816" spans="1:14" x14ac:dyDescent="0.25">
      <c r="A816" s="350">
        <v>46269</v>
      </c>
      <c r="B816" s="114" t="s">
        <v>30</v>
      </c>
      <c r="C816" s="509" t="s">
        <v>22</v>
      </c>
      <c r="D816" s="39" t="s">
        <v>35</v>
      </c>
      <c r="E816" s="40" t="s">
        <v>138</v>
      </c>
      <c r="F816" s="489">
        <v>1182</v>
      </c>
      <c r="G816" s="28" t="s">
        <v>617</v>
      </c>
      <c r="H816" s="220"/>
      <c r="I816" s="497">
        <v>1</v>
      </c>
      <c r="J816" s="76" t="s">
        <v>137</v>
      </c>
      <c r="K816" s="66" t="str">
        <f>IF(_xlfn.XLOOKUP($J816,Catalogo!$B$7:$B$210,Catalogo!$I$7:$I$210,"",0)=0,"",_xlfn.XLOOKUP($J816,Catalogo!$B$7:$B$210,Catalogo!$I$7:$I$210,"",0))</f>
        <v>PH EXC</v>
      </c>
      <c r="L816" s="36"/>
      <c r="M816" s="257">
        <f>IF(Tabla1[[#This Row],[Avance_km]]&lt;&gt;"",Tabla1[[#This Row],[Avance_km]],Tabla1[[#This Row],[Avance_Med]])*_xlfn.XLOOKUP(Tabla1[[#This Row],[Codigo_actividad]],Catalogo!$B$6:$B$51,Catalogo!$F$6:$F$51,0)</f>
        <v>656</v>
      </c>
      <c r="N816" t="str">
        <f>_xlfn.IFNA(_xlfn.XLOOKUP(Tabla1[[#This Row],[fin]],$P$379:$P$398,$T$379:$T$398),"")</f>
        <v/>
      </c>
    </row>
    <row r="817" spans="1:16" x14ac:dyDescent="0.25">
      <c r="A817" s="350">
        <v>46269</v>
      </c>
      <c r="B817" s="114" t="s">
        <v>30</v>
      </c>
      <c r="C817" s="509" t="s">
        <v>22</v>
      </c>
      <c r="D817" s="39" t="s">
        <v>35</v>
      </c>
      <c r="E817" s="40" t="s">
        <v>140</v>
      </c>
      <c r="F817" s="489">
        <v>1182</v>
      </c>
      <c r="G817" s="28" t="s">
        <v>617</v>
      </c>
      <c r="H817" s="220"/>
      <c r="I817" s="497">
        <v>1</v>
      </c>
      <c r="J817" s="76" t="s">
        <v>139</v>
      </c>
      <c r="K817" s="66" t="str">
        <f>IF(_xlfn.XLOOKUP($J817,Catalogo!$B$7:$B$210,Catalogo!$I$7:$I$210,"",0)=0,"",_xlfn.XLOOKUP($J817,Catalogo!$B$7:$B$210,Catalogo!$I$7:$I$210,"",0))</f>
        <v>BACTERIAS EXC</v>
      </c>
      <c r="L817" s="36"/>
      <c r="M817" s="257">
        <f>IF(Tabla1[[#This Row],[Avance_km]]&lt;&gt;"",Tabla1[[#This Row],[Avance_km]],Tabla1[[#This Row],[Avance_Med]])*_xlfn.XLOOKUP(Tabla1[[#This Row],[Codigo_actividad]],Catalogo!$B$6:$B$51,Catalogo!$F$6:$F$51,0)</f>
        <v>4676</v>
      </c>
      <c r="N817" t="str">
        <f>_xlfn.IFNA(_xlfn.XLOOKUP(Tabla1[[#This Row],[fin]],$P$379:$P$398,$T$379:$T$398),"")</f>
        <v/>
      </c>
    </row>
    <row r="818" spans="1:16" x14ac:dyDescent="0.25">
      <c r="A818" s="350"/>
      <c r="B818" s="114"/>
      <c r="C818" s="152"/>
      <c r="D818" s="39"/>
      <c r="F818" s="28"/>
      <c r="G818" s="28"/>
      <c r="H818" s="220" t="str">
        <f>IF(Tabla1[[#This Row],[Codigo_actividad]]&lt;&gt;2.5,IF(((Tabla1[[#This Row],[fin]]-Tabla1[[#This Row],[inicio]])/1000)=0,"",((Tabla1[[#This Row],[fin]]-Tabla1[[#This Row],[inicio]])/1000)),"")</f>
        <v/>
      </c>
      <c r="I818" s="66"/>
      <c r="J818" s="76"/>
      <c r="K818" s="66" t="str">
        <f>IF(_xlfn.XLOOKUP($J818,Catalogo!$B$7:$B$21,Catalogo!$I$7:$I$21,"",0)=0,"",_xlfn.XLOOKUP($J818,Catalogo!$B$7:$B$21,Catalogo!$I$7:$I$21,"",0))</f>
        <v/>
      </c>
      <c r="L818" s="36"/>
      <c r="M818" s="257">
        <f>IF(Tabla1[[#This Row],[Avance_km]]&lt;&gt;"",Tabla1[[#This Row],[Avance_km]],Tabla1[[#This Row],[Avance_Med]])*_xlfn.XLOOKUP(Tabla1[[#This Row],[Codigo_actividad]],Catalogo!$B$6:$B$51,Catalogo!$F$6:$F$51,0)</f>
        <v>0</v>
      </c>
      <c r="N818" t="str">
        <f>_xlfn.IFNA(_xlfn.XLOOKUP(Tabla1[[#This Row],[fin]],$P$379:$P$398,$T$379:$T$398),"")</f>
        <v/>
      </c>
    </row>
    <row r="819" spans="1:16" x14ac:dyDescent="0.25">
      <c r="A819" s="350">
        <v>46272</v>
      </c>
      <c r="B819" s="114" t="s">
        <v>30</v>
      </c>
      <c r="C819" s="509" t="s">
        <v>22</v>
      </c>
      <c r="D819" s="39" t="s">
        <v>74</v>
      </c>
      <c r="E819" s="40" t="s">
        <v>119</v>
      </c>
      <c r="F819" s="489">
        <v>7</v>
      </c>
      <c r="G819" s="28" t="s">
        <v>617</v>
      </c>
      <c r="H819" s="220"/>
      <c r="I819" s="497">
        <v>1</v>
      </c>
      <c r="J819" s="76">
        <v>3.2</v>
      </c>
      <c r="K819" s="66" t="str">
        <f>IF(_xlfn.XLOOKUP($J819,Catalogo!$B$7:$B$210,Catalogo!$I$7:$I$210,"",0)=0,"",_xlfn.XLOOKUP($J819,Catalogo!$B$7:$B$210,Catalogo!$I$7:$I$210,"",0))</f>
        <v>DATA EXC</v>
      </c>
      <c r="L819" s="36"/>
      <c r="M819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19" t="str">
        <f>_xlfn.IFNA(_xlfn.XLOOKUP(Tabla1[[#This Row],[fin]],$P$379:$P$398,$T$379:$T$398),"")</f>
        <v/>
      </c>
    </row>
    <row r="820" spans="1:16" x14ac:dyDescent="0.25">
      <c r="A820" s="350">
        <v>46272</v>
      </c>
      <c r="B820" s="114" t="s">
        <v>30</v>
      </c>
      <c r="C820" s="509" t="s">
        <v>22</v>
      </c>
      <c r="D820" s="39" t="s">
        <v>74</v>
      </c>
      <c r="E820" s="40" t="s">
        <v>531</v>
      </c>
      <c r="F820" s="489">
        <v>7</v>
      </c>
      <c r="G820" s="28" t="s">
        <v>617</v>
      </c>
      <c r="H820" s="220"/>
      <c r="I820" s="497">
        <v>1</v>
      </c>
      <c r="J820" s="76" t="s">
        <v>122</v>
      </c>
      <c r="K820" s="66" t="str">
        <f>IF(_xlfn.XLOOKUP($J820,Catalogo!$B$7:$B$210,Catalogo!$I$7:$I$210,"",0)=0,"",_xlfn.XLOOKUP($J820,Catalogo!$B$7:$B$210,Catalogo!$I$7:$I$210,"",0))</f>
        <v>VT</v>
      </c>
      <c r="L820" s="36"/>
      <c r="M820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20" t="str">
        <f>_xlfn.IFNA(_xlfn.XLOOKUP(Tabla1[[#This Row],[fin]],$P$379:$P$398,$T$379:$T$398),"")</f>
        <v/>
      </c>
    </row>
    <row r="821" spans="1:16" x14ac:dyDescent="0.25">
      <c r="A821" s="350">
        <v>46272</v>
      </c>
      <c r="B821" s="114" t="s">
        <v>30</v>
      </c>
      <c r="C821" s="509" t="s">
        <v>22</v>
      </c>
      <c r="D821" s="39" t="s">
        <v>74</v>
      </c>
      <c r="E821" s="40" t="s">
        <v>125</v>
      </c>
      <c r="F821" s="489">
        <v>7</v>
      </c>
      <c r="G821" s="28" t="s">
        <v>617</v>
      </c>
      <c r="H821" s="220"/>
      <c r="I821" s="497">
        <v>1</v>
      </c>
      <c r="J821" s="76" t="s">
        <v>124</v>
      </c>
      <c r="K821" s="66" t="str">
        <f>IF(_xlfn.XLOOKUP($J821,Catalogo!$B$7:$B$210,Catalogo!$I$7:$I$210,"",0)=0,"",_xlfn.XLOOKUP($J821,Catalogo!$B$7:$B$210,Catalogo!$I$7:$I$210,"",0))</f>
        <v>SANIDAD Y ESPESORES</v>
      </c>
      <c r="L821" s="36"/>
      <c r="M821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21" t="str">
        <f>_xlfn.IFNA(_xlfn.XLOOKUP(Tabla1[[#This Row],[fin]],$P$379:$P$398,$T$379:$T$398),"")</f>
        <v/>
      </c>
    </row>
    <row r="822" spans="1:16" x14ac:dyDescent="0.25">
      <c r="A822" s="350">
        <v>46272</v>
      </c>
      <c r="B822" s="114" t="s">
        <v>30</v>
      </c>
      <c r="C822" s="509" t="s">
        <v>22</v>
      </c>
      <c r="D822" s="39" t="s">
        <v>74</v>
      </c>
      <c r="E822" s="40" t="s">
        <v>128</v>
      </c>
      <c r="F822" s="489">
        <v>7</v>
      </c>
      <c r="G822" s="28" t="s">
        <v>617</v>
      </c>
      <c r="H822" s="220"/>
      <c r="I822" s="497">
        <v>1</v>
      </c>
      <c r="J822" s="76" t="s">
        <v>127</v>
      </c>
      <c r="K822" s="66" t="str">
        <f>IF(_xlfn.XLOOKUP($J822,Catalogo!$B$7:$B$210,Catalogo!$I$7:$I$210,"",0)=0,"",_xlfn.XLOOKUP($J822,Catalogo!$B$7:$B$210,Catalogo!$I$7:$I$210,"",0))</f>
        <v>CARACTERIZACION</v>
      </c>
      <c r="L822" s="36"/>
      <c r="M822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22" t="str">
        <f>_xlfn.IFNA(_xlfn.XLOOKUP(Tabla1[[#This Row],[fin]],$P$379:$P$398,$T$379:$T$398),"")</f>
        <v/>
      </c>
    </row>
    <row r="823" spans="1:16" x14ac:dyDescent="0.25">
      <c r="A823" s="350">
        <v>46272</v>
      </c>
      <c r="B823" s="114" t="s">
        <v>30</v>
      </c>
      <c r="C823" s="509" t="s">
        <v>22</v>
      </c>
      <c r="D823" s="39" t="s">
        <v>74</v>
      </c>
      <c r="E823" s="40" t="s">
        <v>132</v>
      </c>
      <c r="F823" s="489">
        <v>7</v>
      </c>
      <c r="G823" s="28" t="s">
        <v>617</v>
      </c>
      <c r="H823" s="220"/>
      <c r="I823" s="497">
        <v>1</v>
      </c>
      <c r="J823" s="76" t="s">
        <v>131</v>
      </c>
      <c r="K823" s="66" t="str">
        <f>IF(_xlfn.XLOOKUP($J823,Catalogo!$B$7:$B$210,Catalogo!$I$7:$I$210,"",0)=0,"",_xlfn.XLOOKUP($J823,Catalogo!$B$7:$B$210,Catalogo!$I$7:$I$210,"",0))</f>
        <v>UT RECTO</v>
      </c>
      <c r="L823" s="36"/>
      <c r="M82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23" t="str">
        <f>_xlfn.IFNA(_xlfn.XLOOKUP(Tabla1[[#This Row],[fin]],$P$379:$P$398,$T$379:$T$398),"")</f>
        <v/>
      </c>
    </row>
    <row r="824" spans="1:16" x14ac:dyDescent="0.25">
      <c r="A824" s="350">
        <v>46272</v>
      </c>
      <c r="B824" s="114" t="s">
        <v>30</v>
      </c>
      <c r="C824" s="509" t="s">
        <v>22</v>
      </c>
      <c r="D824" s="39" t="s">
        <v>74</v>
      </c>
      <c r="E824" s="40" t="s">
        <v>138</v>
      </c>
      <c r="F824" s="489">
        <v>7</v>
      </c>
      <c r="G824" s="28" t="s">
        <v>617</v>
      </c>
      <c r="H824" s="220"/>
      <c r="I824" s="497">
        <v>1</v>
      </c>
      <c r="J824" s="76" t="s">
        <v>137</v>
      </c>
      <c r="K824" s="66" t="str">
        <f>IF(_xlfn.XLOOKUP($J824,Catalogo!$B$7:$B$210,Catalogo!$I$7:$I$210,"",0)=0,"",_xlfn.XLOOKUP($J824,Catalogo!$B$7:$B$210,Catalogo!$I$7:$I$210,"",0))</f>
        <v>PH EXC</v>
      </c>
      <c r="L824" s="36"/>
      <c r="M824" s="257">
        <f>IF(Tabla1[[#This Row],[Avance_km]]&lt;&gt;"",Tabla1[[#This Row],[Avance_km]],Tabla1[[#This Row],[Avance_Med]])*_xlfn.XLOOKUP(Tabla1[[#This Row],[Codigo_actividad]],Catalogo!$B$6:$B$51,Catalogo!$F$6:$F$51,0)</f>
        <v>656</v>
      </c>
      <c r="N824" t="str">
        <f>_xlfn.IFNA(_xlfn.XLOOKUP(Tabla1[[#This Row],[fin]],$P$379:$P$398,$T$379:$T$398),"")</f>
        <v/>
      </c>
    </row>
    <row r="825" spans="1:16" x14ac:dyDescent="0.25">
      <c r="A825" s="350">
        <v>46272</v>
      </c>
      <c r="B825" s="114" t="s">
        <v>30</v>
      </c>
      <c r="C825" s="509" t="s">
        <v>22</v>
      </c>
      <c r="D825" s="39" t="s">
        <v>74</v>
      </c>
      <c r="E825" s="40" t="s">
        <v>140</v>
      </c>
      <c r="F825" s="489">
        <v>7</v>
      </c>
      <c r="G825" s="28" t="s">
        <v>617</v>
      </c>
      <c r="H825" s="220"/>
      <c r="I825" s="497">
        <v>1</v>
      </c>
      <c r="J825" s="76" t="s">
        <v>139</v>
      </c>
      <c r="K825" s="66" t="str">
        <f>IF(_xlfn.XLOOKUP($J825,Catalogo!$B$7:$B$210,Catalogo!$I$7:$I$210,"",0)=0,"",_xlfn.XLOOKUP($J825,Catalogo!$B$7:$B$210,Catalogo!$I$7:$I$210,"",0))</f>
        <v>BACTERIAS EXC</v>
      </c>
      <c r="L825" s="36"/>
      <c r="M825" s="257">
        <f>IF(Tabla1[[#This Row],[Avance_km]]&lt;&gt;"",Tabla1[[#This Row],[Avance_km]],Tabla1[[#This Row],[Avance_Med]])*_xlfn.XLOOKUP(Tabla1[[#This Row],[Codigo_actividad]],Catalogo!$B$6:$B$51,Catalogo!$F$6:$F$51,0)</f>
        <v>4676</v>
      </c>
      <c r="N825" t="str">
        <f>_xlfn.IFNA(_xlfn.XLOOKUP(Tabla1[[#This Row],[fin]],$P$379:$P$398,$T$379:$T$398),"")</f>
        <v/>
      </c>
    </row>
    <row r="826" spans="1:16" x14ac:dyDescent="0.25">
      <c r="A826" s="350"/>
      <c r="B826" s="114"/>
      <c r="C826" s="152"/>
      <c r="D826" s="39"/>
      <c r="F826" s="28"/>
      <c r="G826" s="28"/>
      <c r="H826" s="220" t="str">
        <f>IF(Tabla1[[#This Row],[Codigo_actividad]]&lt;&gt;2.5,IF(((Tabla1[[#This Row],[fin]]-Tabla1[[#This Row],[inicio]])/1000)=0,"",((Tabla1[[#This Row],[fin]]-Tabla1[[#This Row],[inicio]])/1000)),"")</f>
        <v/>
      </c>
      <c r="I826" s="66"/>
      <c r="J826" s="76"/>
      <c r="K826" s="66" t="str">
        <f>IF(_xlfn.XLOOKUP($J826,Catalogo!$B$7:$B$21,Catalogo!$I$7:$I$21,"",0)=0,"",_xlfn.XLOOKUP($J826,Catalogo!$B$7:$B$21,Catalogo!$I$7:$I$21,"",0))</f>
        <v/>
      </c>
      <c r="L826" s="36"/>
      <c r="M826" s="257">
        <f>IF(Tabla1[[#This Row],[Avance_km]]&lt;&gt;"",Tabla1[[#This Row],[Avance_km]],Tabla1[[#This Row],[Avance_Med]])*_xlfn.XLOOKUP(Tabla1[[#This Row],[Codigo_actividad]],Catalogo!$B$6:$B$51,Catalogo!$F$6:$F$51,0)</f>
        <v>0</v>
      </c>
      <c r="N826" t="str">
        <f>_xlfn.IFNA(_xlfn.XLOOKUP(Tabla1[[#This Row],[fin]],$P$379:$P$398,$T$379:$T$398),"")</f>
        <v/>
      </c>
    </row>
    <row r="827" spans="1:16" x14ac:dyDescent="0.25">
      <c r="A827" s="350">
        <v>46272</v>
      </c>
      <c r="B827" s="114" t="s">
        <v>30</v>
      </c>
      <c r="C827" s="509" t="s">
        <v>22</v>
      </c>
      <c r="D827" s="39" t="s">
        <v>74</v>
      </c>
      <c r="E827" s="40" t="s">
        <v>119</v>
      </c>
      <c r="F827" s="489">
        <v>28</v>
      </c>
      <c r="G827" s="28" t="s">
        <v>617</v>
      </c>
      <c r="H827" s="220"/>
      <c r="I827" s="497">
        <v>1</v>
      </c>
      <c r="J827" s="76">
        <v>3.2</v>
      </c>
      <c r="K827" s="66" t="str">
        <f>IF(_xlfn.XLOOKUP($J827,Catalogo!$B$7:$B$210,Catalogo!$I$7:$I$210,"",0)=0,"",_xlfn.XLOOKUP($J827,Catalogo!$B$7:$B$210,Catalogo!$I$7:$I$210,"",0))</f>
        <v>DATA EXC</v>
      </c>
      <c r="L827" s="36"/>
      <c r="M827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27" t="str">
        <f>_xlfn.IFNA(_xlfn.XLOOKUP(Tabla1[[#This Row],[fin]],$P$379:$P$398,$T$379:$T$398),"")</f>
        <v/>
      </c>
    </row>
    <row r="828" spans="1:16" x14ac:dyDescent="0.25">
      <c r="A828" s="350">
        <v>46272</v>
      </c>
      <c r="B828" s="114" t="s">
        <v>30</v>
      </c>
      <c r="C828" s="509" t="s">
        <v>22</v>
      </c>
      <c r="D828" s="39" t="s">
        <v>74</v>
      </c>
      <c r="E828" s="40" t="s">
        <v>531</v>
      </c>
      <c r="F828" s="489">
        <v>28</v>
      </c>
      <c r="G828" s="28" t="s">
        <v>617</v>
      </c>
      <c r="H828" s="220"/>
      <c r="I828" s="497">
        <v>1</v>
      </c>
      <c r="J828" s="76" t="s">
        <v>122</v>
      </c>
      <c r="K828" s="66" t="str">
        <f>IF(_xlfn.XLOOKUP($J828,Catalogo!$B$7:$B$210,Catalogo!$I$7:$I$210,"",0)=0,"",_xlfn.XLOOKUP($J828,Catalogo!$B$7:$B$210,Catalogo!$I$7:$I$210,"",0))</f>
        <v>VT</v>
      </c>
      <c r="L828" s="36"/>
      <c r="M828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28" t="str">
        <f>_xlfn.IFNA(_xlfn.XLOOKUP(Tabla1[[#This Row],[fin]],$P$379:$P$398,$T$379:$T$398),"")</f>
        <v/>
      </c>
    </row>
    <row r="829" spans="1:16" x14ac:dyDescent="0.25">
      <c r="A829" s="350">
        <v>46272</v>
      </c>
      <c r="B829" s="114" t="s">
        <v>30</v>
      </c>
      <c r="C829" s="509" t="s">
        <v>22</v>
      </c>
      <c r="D829" s="39" t="s">
        <v>74</v>
      </c>
      <c r="E829" s="40" t="s">
        <v>125</v>
      </c>
      <c r="F829" s="489">
        <v>28</v>
      </c>
      <c r="G829" s="28" t="s">
        <v>617</v>
      </c>
      <c r="H829" s="220"/>
      <c r="I829" s="497">
        <v>1</v>
      </c>
      <c r="J829" s="76" t="s">
        <v>124</v>
      </c>
      <c r="K829" s="66" t="str">
        <f>IF(_xlfn.XLOOKUP($J829,Catalogo!$B$7:$B$210,Catalogo!$I$7:$I$210,"",0)=0,"",_xlfn.XLOOKUP($J829,Catalogo!$B$7:$B$210,Catalogo!$I$7:$I$210,"",0))</f>
        <v>SANIDAD Y ESPESORES</v>
      </c>
      <c r="L829" s="36"/>
      <c r="M829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29" t="str">
        <f>_xlfn.IFNA(_xlfn.XLOOKUP(Tabla1[[#This Row],[fin]],$P$379:$P$398,$T$379:$T$398),"")</f>
        <v/>
      </c>
    </row>
    <row r="830" spans="1:16" x14ac:dyDescent="0.25">
      <c r="A830" s="350">
        <v>46272</v>
      </c>
      <c r="B830" s="114" t="s">
        <v>30</v>
      </c>
      <c r="C830" s="509" t="s">
        <v>22</v>
      </c>
      <c r="D830" s="39" t="s">
        <v>74</v>
      </c>
      <c r="E830" s="40" t="s">
        <v>128</v>
      </c>
      <c r="F830" s="489">
        <v>28</v>
      </c>
      <c r="G830" s="28" t="s">
        <v>617</v>
      </c>
      <c r="H830" s="220"/>
      <c r="I830" s="497">
        <v>1</v>
      </c>
      <c r="J830" s="76" t="s">
        <v>127</v>
      </c>
      <c r="K830" s="66" t="str">
        <f>IF(_xlfn.XLOOKUP($J830,Catalogo!$B$7:$B$210,Catalogo!$I$7:$I$210,"",0)=0,"",_xlfn.XLOOKUP($J830,Catalogo!$B$7:$B$210,Catalogo!$I$7:$I$210,"",0))</f>
        <v>CARACTERIZACION</v>
      </c>
      <c r="L830" s="36"/>
      <c r="M830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30" t="str">
        <f>_xlfn.IFNA(_xlfn.XLOOKUP(Tabla1[[#This Row],[fin]],$P$379:$P$398,$T$379:$T$398),"")</f>
        <v/>
      </c>
      <c r="P830" s="223"/>
    </row>
    <row r="831" spans="1:16" x14ac:dyDescent="0.25">
      <c r="A831" s="350">
        <v>46272</v>
      </c>
      <c r="B831" s="114" t="s">
        <v>30</v>
      </c>
      <c r="C831" s="509" t="s">
        <v>22</v>
      </c>
      <c r="D831" s="39" t="s">
        <v>74</v>
      </c>
      <c r="E831" s="40" t="s">
        <v>130</v>
      </c>
      <c r="F831" s="489">
        <v>28</v>
      </c>
      <c r="G831" s="28" t="s">
        <v>617</v>
      </c>
      <c r="H831" s="220"/>
      <c r="I831" s="497">
        <v>1</v>
      </c>
      <c r="J831" s="76" t="s">
        <v>129</v>
      </c>
      <c r="K831" s="66" t="str">
        <f>IF(_xlfn.XLOOKUP($J831,Catalogo!$B$7:$B$210,Catalogo!$I$7:$I$210,"",0)=0,"",_xlfn.XLOOKUP($J831,Catalogo!$B$7:$B$210,Catalogo!$I$7:$I$210,"",0))</f>
        <v>UTPA</v>
      </c>
      <c r="L831" s="36"/>
      <c r="M831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31" t="str">
        <f>_xlfn.IFNA(_xlfn.XLOOKUP(Tabla1[[#This Row],[fin]],$P$379:$P$398,$T$379:$T$398),"")</f>
        <v/>
      </c>
    </row>
    <row r="832" spans="1:16" x14ac:dyDescent="0.25">
      <c r="A832" s="350">
        <v>46272</v>
      </c>
      <c r="B832" s="114" t="s">
        <v>30</v>
      </c>
      <c r="C832" s="509" t="s">
        <v>22</v>
      </c>
      <c r="D832" s="39" t="s">
        <v>74</v>
      </c>
      <c r="E832" s="40" t="s">
        <v>132</v>
      </c>
      <c r="F832" s="489">
        <v>28</v>
      </c>
      <c r="G832" s="28" t="s">
        <v>617</v>
      </c>
      <c r="H832" s="220"/>
      <c r="I832" s="497">
        <v>1</v>
      </c>
      <c r="J832" s="76" t="s">
        <v>131</v>
      </c>
      <c r="K832" s="66" t="str">
        <f>IF(_xlfn.XLOOKUP($J832,Catalogo!$B$7:$B$210,Catalogo!$I$7:$I$210,"",0)=0,"",_xlfn.XLOOKUP($J832,Catalogo!$B$7:$B$210,Catalogo!$I$7:$I$210,"",0))</f>
        <v>UT RECTO</v>
      </c>
      <c r="L832" s="36"/>
      <c r="M832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32" t="str">
        <f>_xlfn.IFNA(_xlfn.XLOOKUP(Tabla1[[#This Row],[fin]],$P$379:$P$398,$T$379:$T$398),"")</f>
        <v/>
      </c>
    </row>
    <row r="833" spans="1:14" x14ac:dyDescent="0.25">
      <c r="A833" s="350">
        <v>46272</v>
      </c>
      <c r="B833" s="114" t="s">
        <v>30</v>
      </c>
      <c r="C833" s="509" t="s">
        <v>22</v>
      </c>
      <c r="D833" s="39" t="s">
        <v>74</v>
      </c>
      <c r="E833" s="40" t="s">
        <v>134</v>
      </c>
      <c r="F833" s="489">
        <v>28</v>
      </c>
      <c r="G833" s="28" t="s">
        <v>617</v>
      </c>
      <c r="H833" s="220"/>
      <c r="I833" s="497">
        <v>1</v>
      </c>
      <c r="J833" s="76" t="s">
        <v>133</v>
      </c>
      <c r="K833" s="66" t="str">
        <f>IF(_xlfn.XLOOKUP($J833,Catalogo!$B$7:$B$210,Catalogo!$I$7:$I$210,"",0)=0,"",_xlfn.XLOOKUP($J833,Catalogo!$B$7:$B$210,Catalogo!$I$7:$I$210,"",0))</f>
        <v>MT</v>
      </c>
      <c r="L833" s="36"/>
      <c r="M833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33" t="str">
        <f>_xlfn.IFNA(_xlfn.XLOOKUP(Tabla1[[#This Row],[fin]],$P$379:$P$398,$T$379:$T$398),"")</f>
        <v/>
      </c>
    </row>
    <row r="834" spans="1:14" x14ac:dyDescent="0.25">
      <c r="A834" s="350">
        <v>46272</v>
      </c>
      <c r="B834" s="114" t="s">
        <v>30</v>
      </c>
      <c r="C834" s="509" t="s">
        <v>22</v>
      </c>
      <c r="D834" s="39" t="s">
        <v>74</v>
      </c>
      <c r="E834" s="40" t="s">
        <v>136</v>
      </c>
      <c r="F834" s="489">
        <v>28</v>
      </c>
      <c r="G834" s="28" t="s">
        <v>617</v>
      </c>
      <c r="H834" s="220"/>
      <c r="I834" s="497">
        <v>1</v>
      </c>
      <c r="J834" s="76" t="s">
        <v>135</v>
      </c>
      <c r="K834" s="66" t="str">
        <f>IF(_xlfn.XLOOKUP($J834,Catalogo!$B$7:$B$210,Catalogo!$I$7:$I$210,"",0)=0,"",_xlfn.XLOOKUP($J834,Catalogo!$B$7:$B$210,Catalogo!$I$7:$I$210,"",0))</f>
        <v>LP</v>
      </c>
      <c r="L834" s="36"/>
      <c r="M834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34" t="str">
        <f>_xlfn.IFNA(_xlfn.XLOOKUP(Tabla1[[#This Row],[fin]],$P$379:$P$398,$T$379:$T$398),"")</f>
        <v/>
      </c>
    </row>
    <row r="835" spans="1:14" x14ac:dyDescent="0.25">
      <c r="A835" s="350">
        <v>46272</v>
      </c>
      <c r="B835" s="114" t="s">
        <v>30</v>
      </c>
      <c r="C835" s="509" t="s">
        <v>22</v>
      </c>
      <c r="D835" s="39" t="s">
        <v>74</v>
      </c>
      <c r="E835" s="40" t="s">
        <v>138</v>
      </c>
      <c r="F835" s="489">
        <v>28</v>
      </c>
      <c r="G835" s="28" t="s">
        <v>617</v>
      </c>
      <c r="H835" s="220"/>
      <c r="I835" s="497">
        <v>1</v>
      </c>
      <c r="J835" s="76" t="s">
        <v>137</v>
      </c>
      <c r="K835" s="66" t="str">
        <f>IF(_xlfn.XLOOKUP($J835,Catalogo!$B$7:$B$210,Catalogo!$I$7:$I$210,"",0)=0,"",_xlfn.XLOOKUP($J835,Catalogo!$B$7:$B$210,Catalogo!$I$7:$I$210,"",0))</f>
        <v>PH EXC</v>
      </c>
      <c r="L835" s="36"/>
      <c r="M835" s="257">
        <f>IF(Tabla1[[#This Row],[Avance_km]]&lt;&gt;"",Tabla1[[#This Row],[Avance_km]],Tabla1[[#This Row],[Avance_Med]])*_xlfn.XLOOKUP(Tabla1[[#This Row],[Codigo_actividad]],Catalogo!$B$6:$B$51,Catalogo!$F$6:$F$51,0)</f>
        <v>656</v>
      </c>
      <c r="N835" t="str">
        <f>_xlfn.IFNA(_xlfn.XLOOKUP(Tabla1[[#This Row],[fin]],$P$379:$P$398,$T$379:$T$398),"")</f>
        <v/>
      </c>
    </row>
    <row r="836" spans="1:14" x14ac:dyDescent="0.25">
      <c r="A836" s="350">
        <v>46272</v>
      </c>
      <c r="B836" s="114" t="s">
        <v>30</v>
      </c>
      <c r="C836" s="509" t="s">
        <v>22</v>
      </c>
      <c r="D836" s="39" t="s">
        <v>74</v>
      </c>
      <c r="E836" s="40" t="s">
        <v>140</v>
      </c>
      <c r="F836" s="489">
        <v>28</v>
      </c>
      <c r="G836" s="28" t="s">
        <v>617</v>
      </c>
      <c r="H836" s="220"/>
      <c r="I836" s="497">
        <v>1</v>
      </c>
      <c r="J836" s="76" t="s">
        <v>139</v>
      </c>
      <c r="K836" s="66" t="str">
        <f>IF(_xlfn.XLOOKUP($J836,Catalogo!$B$7:$B$210,Catalogo!$I$7:$I$210,"",0)=0,"",_xlfn.XLOOKUP($J836,Catalogo!$B$7:$B$210,Catalogo!$I$7:$I$210,"",0))</f>
        <v>BACTERIAS EXC</v>
      </c>
      <c r="L836" s="36"/>
      <c r="M836" s="257">
        <f>IF(Tabla1[[#This Row],[Avance_km]]&lt;&gt;"",Tabla1[[#This Row],[Avance_km]],Tabla1[[#This Row],[Avance_Med]])*_xlfn.XLOOKUP(Tabla1[[#This Row],[Codigo_actividad]],Catalogo!$B$6:$B$51,Catalogo!$F$6:$F$51,0)</f>
        <v>4676</v>
      </c>
      <c r="N836" t="str">
        <f>_xlfn.IFNA(_xlfn.XLOOKUP(Tabla1[[#This Row],[fin]],$P$379:$P$398,$T$379:$T$398),"")</f>
        <v/>
      </c>
    </row>
    <row r="837" spans="1:14" x14ac:dyDescent="0.25">
      <c r="A837" s="350"/>
      <c r="B837" s="114"/>
      <c r="C837" s="152"/>
      <c r="D837" s="39"/>
      <c r="F837" s="28"/>
      <c r="G837" s="28"/>
      <c r="H837" s="220" t="str">
        <f>IF(Tabla1[[#This Row],[Codigo_actividad]]&lt;&gt;2.5,IF(((Tabla1[[#This Row],[fin]]-Tabla1[[#This Row],[inicio]])/1000)=0,"",((Tabla1[[#This Row],[fin]]-Tabla1[[#This Row],[inicio]])/1000)),"")</f>
        <v/>
      </c>
      <c r="I837" s="66"/>
      <c r="J837" s="76"/>
      <c r="K837" s="66" t="str">
        <f>IF(_xlfn.XLOOKUP($J837,Catalogo!$B$7:$B$21,Catalogo!$I$7:$I$21,"",0)=0,"",_xlfn.XLOOKUP($J837,Catalogo!$B$7:$B$21,Catalogo!$I$7:$I$21,"",0))</f>
        <v/>
      </c>
      <c r="L837" s="36"/>
      <c r="M837" s="257">
        <f>IF(Tabla1[[#This Row],[Avance_km]]&lt;&gt;"",Tabla1[[#This Row],[Avance_km]],Tabla1[[#This Row],[Avance_Med]])*_xlfn.XLOOKUP(Tabla1[[#This Row],[Codigo_actividad]],Catalogo!$B$6:$B$51,Catalogo!$F$6:$F$51,0)</f>
        <v>0</v>
      </c>
      <c r="N837" t="str">
        <f>_xlfn.IFNA(_xlfn.XLOOKUP(Tabla1[[#This Row],[fin]],$P$379:$P$398,$T$379:$T$398),"")</f>
        <v/>
      </c>
    </row>
    <row r="838" spans="1:14" x14ac:dyDescent="0.25">
      <c r="A838" s="350"/>
      <c r="B838" s="114"/>
      <c r="C838" s="152"/>
      <c r="D838" s="39"/>
      <c r="F838" s="28"/>
      <c r="G838" s="28"/>
      <c r="H838" s="220" t="str">
        <f>IF(Tabla1[[#This Row],[Codigo_actividad]]&lt;&gt;2.5,IF(((Tabla1[[#This Row],[fin]]-Tabla1[[#This Row],[inicio]])/1000)=0,"",((Tabla1[[#This Row],[fin]]-Tabla1[[#This Row],[inicio]])/1000)),"")</f>
        <v/>
      </c>
      <c r="I838" s="66"/>
      <c r="J838" s="76"/>
      <c r="K838" s="66" t="str">
        <f>IF(_xlfn.XLOOKUP($J838,Catalogo!$B$7:$B$21,Catalogo!$I$7:$I$21,"",0)=0,"",_xlfn.XLOOKUP($J838,Catalogo!$B$7:$B$21,Catalogo!$I$7:$I$21,"",0))</f>
        <v/>
      </c>
      <c r="L838" s="36"/>
      <c r="M838" s="257">
        <f>IF(Tabla1[[#This Row],[Avance_km]]&lt;&gt;"",Tabla1[[#This Row],[Avance_km]],Tabla1[[#This Row],[Avance_Med]])*_xlfn.XLOOKUP(Tabla1[[#This Row],[Codigo_actividad]],Catalogo!$B$6:$B$51,Catalogo!$F$6:$F$51,0)</f>
        <v>0</v>
      </c>
      <c r="N838" t="str">
        <f>_xlfn.IFNA(_xlfn.XLOOKUP(Tabla1[[#This Row],[fin]],$P$379:$P$398,$T$379:$T$398),"")</f>
        <v/>
      </c>
    </row>
    <row r="839" spans="1:14" x14ac:dyDescent="0.25">
      <c r="A839" s="355"/>
      <c r="B839" s="279"/>
      <c r="C839" s="280"/>
      <c r="D839" s="281"/>
      <c r="E839" s="376"/>
      <c r="F839" s="282"/>
      <c r="G839" s="282"/>
      <c r="H839" s="511" t="str">
        <f>IF(Tabla1[[#This Row],[Codigo_actividad]]&lt;&gt;2.5,IF(((Tabla1[[#This Row],[fin]]-Tabla1[[#This Row],[inicio]])/1000)=0,"",((Tabla1[[#This Row],[fin]]-Tabla1[[#This Row],[inicio]])/1000)),"")</f>
        <v/>
      </c>
      <c r="I839" s="512"/>
      <c r="J839" s="512"/>
      <c r="K839" s="512" t="str">
        <f>IF(_xlfn.XLOOKUP($J839,Catalogo!$B$7:$B$21,Catalogo!$I$7:$I$21,"",0)=0,"",_xlfn.XLOOKUP($J839,Catalogo!$B$7:$B$21,Catalogo!$I$7:$I$21,"",0))</f>
        <v/>
      </c>
      <c r="L839" s="513"/>
      <c r="M839" s="514">
        <f>IF(Tabla1[[#This Row],[Avance_km]]&lt;&gt;"",Tabla1[[#This Row],[Avance_km]],Tabla1[[#This Row],[Avance_Med]])*_xlfn.XLOOKUP(Tabla1[[#This Row],[Codigo_actividad]],Catalogo!$B$6:$B$51,Catalogo!$F$6:$F$51,0)</f>
        <v>0</v>
      </c>
      <c r="N839" s="515" t="str">
        <f>_xlfn.IFNA(_xlfn.XLOOKUP(Tabla1[[#This Row],[fin]],$P$379:$P$398,$T$379:$T$398),"")</f>
        <v/>
      </c>
    </row>
    <row r="840" spans="1:14" x14ac:dyDescent="0.25">
      <c r="A840" s="350"/>
      <c r="B840" s="114"/>
      <c r="C840" s="152"/>
      <c r="D840" s="39"/>
      <c r="F840" s="28"/>
      <c r="G840" s="28"/>
      <c r="H840" s="220" t="str">
        <f>IF(Tabla1[[#This Row],[Codigo_actividad]]&lt;&gt;2.5,IF(((Tabla1[[#This Row],[fin]]-Tabla1[[#This Row],[inicio]])/1000)=0,"",((Tabla1[[#This Row],[fin]]-Tabla1[[#This Row],[inicio]])/1000)),"")</f>
        <v/>
      </c>
      <c r="I840" s="66"/>
      <c r="J840" s="76"/>
      <c r="K840" s="66" t="str">
        <f>IF(_xlfn.XLOOKUP($J840,Catalogo!$B$7:$B$21,Catalogo!$I$7:$I$21,"",0)=0,"",_xlfn.XLOOKUP($J840,Catalogo!$B$7:$B$21,Catalogo!$I$7:$I$21,"",0))</f>
        <v/>
      </c>
      <c r="L840" s="36"/>
      <c r="M840" s="257">
        <f>IF(Tabla1[[#This Row],[Avance_km]]&lt;&gt;"",Tabla1[[#This Row],[Avance_km]],Tabla1[[#This Row],[Avance_Med]])*_xlfn.XLOOKUP(Tabla1[[#This Row],[Codigo_actividad]],Catalogo!$B$6:$B$51,Catalogo!$F$6:$F$51,0)</f>
        <v>0</v>
      </c>
      <c r="N840" t="str">
        <f>_xlfn.IFNA(_xlfn.XLOOKUP(Tabla1[[#This Row],[fin]],$P$379:$P$398,$T$379:$T$398),"")</f>
        <v/>
      </c>
    </row>
    <row r="841" spans="1:14" x14ac:dyDescent="0.25">
      <c r="A841" s="350">
        <v>46297</v>
      </c>
      <c r="B841" s="114" t="s">
        <v>30</v>
      </c>
      <c r="C841" s="510" t="s">
        <v>411</v>
      </c>
      <c r="D841" s="39" t="s">
        <v>351</v>
      </c>
      <c r="E841" s="40" t="s">
        <v>531</v>
      </c>
      <c r="F841" s="199">
        <v>3564</v>
      </c>
      <c r="G841" s="28"/>
      <c r="H841" s="220"/>
      <c r="I841" s="66">
        <v>1</v>
      </c>
      <c r="J841" s="76" t="s">
        <v>122</v>
      </c>
      <c r="K841" s="66" t="str">
        <f>IF(_xlfn.XLOOKUP($J841,Catalogo!$B$7:$B$210,Catalogo!$I$7:$I$210,"",0)=0,"",_xlfn.XLOOKUP($J841,Catalogo!$B$7:$B$210,Catalogo!$I$7:$I$210,"",0))</f>
        <v>VT</v>
      </c>
      <c r="L841" s="36"/>
      <c r="M841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41" t="str">
        <f>_xlfn.IFNA(_xlfn.XLOOKUP(Tabla1[[#This Row],[fin]],$P$379:$P$398,$T$379:$T$398),"")</f>
        <v/>
      </c>
    </row>
    <row r="842" spans="1:14" x14ac:dyDescent="0.25">
      <c r="A842" s="350">
        <v>46297</v>
      </c>
      <c r="B842" s="114" t="s">
        <v>30</v>
      </c>
      <c r="C842" s="510" t="s">
        <v>411</v>
      </c>
      <c r="D842" s="39" t="s">
        <v>351</v>
      </c>
      <c r="E842" s="40" t="s">
        <v>125</v>
      </c>
      <c r="F842" s="489">
        <v>3564</v>
      </c>
      <c r="G842" s="28" t="s">
        <v>617</v>
      </c>
      <c r="H842" s="220"/>
      <c r="I842" s="497">
        <v>1</v>
      </c>
      <c r="J842" s="76" t="s">
        <v>124</v>
      </c>
      <c r="K842" s="66" t="str">
        <f>IF(_xlfn.XLOOKUP($J842,Catalogo!$B$7:$B$210,Catalogo!$I$7:$I$210,"",0)=0,"",_xlfn.XLOOKUP($J842,Catalogo!$B$7:$B$210,Catalogo!$I$7:$I$210,"",0))</f>
        <v>SANIDAD Y ESPESORES</v>
      </c>
      <c r="L842" s="36"/>
      <c r="M842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42" t="str">
        <f>_xlfn.IFNA(_xlfn.XLOOKUP(Tabla1[[#This Row],[fin]],$P$379:$P$398,$T$379:$T$398),"")</f>
        <v/>
      </c>
    </row>
    <row r="843" spans="1:14" x14ac:dyDescent="0.25">
      <c r="A843" s="350">
        <v>46297</v>
      </c>
      <c r="B843" s="114" t="s">
        <v>30</v>
      </c>
      <c r="C843" s="510" t="s">
        <v>411</v>
      </c>
      <c r="D843" s="39" t="s">
        <v>351</v>
      </c>
      <c r="E843" s="40" t="s">
        <v>128</v>
      </c>
      <c r="F843" s="199">
        <v>3564</v>
      </c>
      <c r="G843" s="28"/>
      <c r="H843" s="220"/>
      <c r="I843" s="66">
        <v>1</v>
      </c>
      <c r="J843" s="76" t="s">
        <v>127</v>
      </c>
      <c r="K843" s="66" t="str">
        <f>IF(_xlfn.XLOOKUP($J843,Catalogo!$B$7:$B$210,Catalogo!$I$7:$I$210,"",0)=0,"",_xlfn.XLOOKUP($J843,Catalogo!$B$7:$B$210,Catalogo!$I$7:$I$210,"",0))</f>
        <v>CARACTERIZACION</v>
      </c>
      <c r="L843" s="36"/>
      <c r="M843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43" t="str">
        <f>_xlfn.IFNA(_xlfn.XLOOKUP(Tabla1[[#This Row],[fin]],$P$379:$P$398,$T$379:$T$398),"")</f>
        <v/>
      </c>
    </row>
    <row r="844" spans="1:14" x14ac:dyDescent="0.25">
      <c r="A844" s="350">
        <v>46297</v>
      </c>
      <c r="B844" s="114" t="s">
        <v>30</v>
      </c>
      <c r="C844" s="510" t="s">
        <v>411</v>
      </c>
      <c r="D844" s="39" t="s">
        <v>351</v>
      </c>
      <c r="E844" s="40" t="s">
        <v>132</v>
      </c>
      <c r="F844" s="489">
        <v>3564</v>
      </c>
      <c r="G844" s="28" t="s">
        <v>617</v>
      </c>
      <c r="H844" s="220"/>
      <c r="I844" s="497">
        <v>1</v>
      </c>
      <c r="J844" s="76" t="s">
        <v>131</v>
      </c>
      <c r="K844" s="66" t="str">
        <f>IF(_xlfn.XLOOKUP($J844,Catalogo!$B$7:$B$210,Catalogo!$I$7:$I$210,"",0)=0,"",_xlfn.XLOOKUP($J844,Catalogo!$B$7:$B$210,Catalogo!$I$7:$I$210,"",0))</f>
        <v>UT RECTO</v>
      </c>
      <c r="L844" s="36"/>
      <c r="M844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44" t="str">
        <f>_xlfn.IFNA(_xlfn.XLOOKUP(Tabla1[[#This Row],[fin]],$P$379:$P$398,$T$379:$T$398),"")</f>
        <v/>
      </c>
    </row>
    <row r="845" spans="1:14" x14ac:dyDescent="0.25">
      <c r="A845" s="350"/>
      <c r="B845" s="114"/>
      <c r="C845" s="152"/>
      <c r="D845" s="39"/>
      <c r="F845" s="28"/>
      <c r="G845" s="28"/>
      <c r="H845" s="220" t="str">
        <f>IF(Tabla1[[#This Row],[Codigo_actividad]]&lt;&gt;2.5,IF(((Tabla1[[#This Row],[fin]]-Tabla1[[#This Row],[inicio]])/1000)=0,"",((Tabla1[[#This Row],[fin]]-Tabla1[[#This Row],[inicio]])/1000)),"")</f>
        <v/>
      </c>
      <c r="I845" s="66"/>
      <c r="J845" s="76"/>
      <c r="K845" s="66" t="str">
        <f>IF(_xlfn.XLOOKUP($J845,Catalogo!$B$7:$B$21,Catalogo!$I$7:$I$21,"",0)=0,"",_xlfn.XLOOKUP($J845,Catalogo!$B$7:$B$21,Catalogo!$I$7:$I$21,"",0))</f>
        <v/>
      </c>
      <c r="L845" s="36"/>
      <c r="M845" s="257">
        <f>IF(Tabla1[[#This Row],[Avance_km]]&lt;&gt;"",Tabla1[[#This Row],[Avance_km]],Tabla1[[#This Row],[Avance_Med]])*_xlfn.XLOOKUP(Tabla1[[#This Row],[Codigo_actividad]],Catalogo!$B$6:$B$51,Catalogo!$F$6:$F$51,0)</f>
        <v>0</v>
      </c>
      <c r="N845" t="str">
        <f>_xlfn.IFNA(_xlfn.XLOOKUP(Tabla1[[#This Row],[fin]],$P$379:$P$398,$T$379:$T$398),"")</f>
        <v/>
      </c>
    </row>
    <row r="846" spans="1:14" x14ac:dyDescent="0.25">
      <c r="A846" s="350">
        <v>46317</v>
      </c>
      <c r="B846" s="114" t="s">
        <v>30</v>
      </c>
      <c r="C846" s="571" t="s">
        <v>536</v>
      </c>
      <c r="D846" s="39" t="s">
        <v>653</v>
      </c>
      <c r="E846" s="40" t="s">
        <v>119</v>
      </c>
      <c r="F846" s="489" t="s">
        <v>654</v>
      </c>
      <c r="G846" s="28" t="s">
        <v>617</v>
      </c>
      <c r="H846" s="220"/>
      <c r="I846" s="497">
        <v>1</v>
      </c>
      <c r="J846" s="76">
        <v>3.2</v>
      </c>
      <c r="K846" s="66" t="str">
        <f>IF(_xlfn.XLOOKUP($J846,Catalogo!$B$7:$B$210,Catalogo!$I$7:$I$210,"",0)=0,"",_xlfn.XLOOKUP($J846,Catalogo!$B$7:$B$210,Catalogo!$I$7:$I$210,"",0))</f>
        <v>DATA EXC</v>
      </c>
      <c r="L846" s="36"/>
      <c r="M846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46" t="str">
        <f>_xlfn.IFNA(_xlfn.XLOOKUP(Tabla1[[#This Row],[fin]],$P$379:$P$398,$T$379:$T$398),"")</f>
        <v/>
      </c>
    </row>
    <row r="847" spans="1:14" x14ac:dyDescent="0.25">
      <c r="A847" s="350">
        <v>46317</v>
      </c>
      <c r="B847" s="114" t="s">
        <v>30</v>
      </c>
      <c r="C847" s="571" t="s">
        <v>536</v>
      </c>
      <c r="D847" s="39" t="s">
        <v>653</v>
      </c>
      <c r="E847" s="40" t="s">
        <v>531</v>
      </c>
      <c r="F847" s="489" t="s">
        <v>654</v>
      </c>
      <c r="G847" s="28" t="s">
        <v>617</v>
      </c>
      <c r="H847" s="220"/>
      <c r="I847" s="497">
        <v>1</v>
      </c>
      <c r="J847" s="76" t="s">
        <v>122</v>
      </c>
      <c r="K847" s="66" t="str">
        <f>IF(_xlfn.XLOOKUP($J847,Catalogo!$B$7:$B$210,Catalogo!$I$7:$I$210,"",0)=0,"",_xlfn.XLOOKUP($J847,Catalogo!$B$7:$B$210,Catalogo!$I$7:$I$210,"",0))</f>
        <v>VT</v>
      </c>
      <c r="L847" s="36"/>
      <c r="M847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47" t="str">
        <f>_xlfn.IFNA(_xlfn.XLOOKUP(Tabla1[[#This Row],[fin]],$P$379:$P$398,$T$379:$T$398),"")</f>
        <v/>
      </c>
    </row>
    <row r="848" spans="1:14" x14ac:dyDescent="0.25">
      <c r="A848" s="350">
        <v>46317</v>
      </c>
      <c r="B848" s="114" t="s">
        <v>30</v>
      </c>
      <c r="C848" s="571" t="s">
        <v>536</v>
      </c>
      <c r="D848" s="39" t="s">
        <v>653</v>
      </c>
      <c r="E848" s="40" t="s">
        <v>125</v>
      </c>
      <c r="F848" s="489" t="s">
        <v>654</v>
      </c>
      <c r="G848" s="28" t="s">
        <v>617</v>
      </c>
      <c r="H848" s="220"/>
      <c r="I848" s="497">
        <v>1</v>
      </c>
      <c r="J848" s="76" t="s">
        <v>124</v>
      </c>
      <c r="K848" s="66" t="str">
        <f>IF(_xlfn.XLOOKUP($J848,Catalogo!$B$7:$B$210,Catalogo!$I$7:$I$210,"",0)=0,"",_xlfn.XLOOKUP($J848,Catalogo!$B$7:$B$210,Catalogo!$I$7:$I$210,"",0))</f>
        <v>SANIDAD Y ESPESORES</v>
      </c>
      <c r="L848" s="36"/>
      <c r="M848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48" t="str">
        <f>_xlfn.IFNA(_xlfn.XLOOKUP(Tabla1[[#This Row],[fin]],$P$379:$P$398,$T$379:$T$398),"")</f>
        <v/>
      </c>
    </row>
    <row r="849" spans="1:18" x14ac:dyDescent="0.25">
      <c r="A849" s="350">
        <v>46317</v>
      </c>
      <c r="B849" s="114" t="s">
        <v>30</v>
      </c>
      <c r="C849" s="571" t="s">
        <v>536</v>
      </c>
      <c r="D849" s="39" t="s">
        <v>653</v>
      </c>
      <c r="E849" s="40" t="s">
        <v>128</v>
      </c>
      <c r="F849" s="489" t="s">
        <v>654</v>
      </c>
      <c r="G849" s="28" t="s">
        <v>617</v>
      </c>
      <c r="H849" s="220"/>
      <c r="I849" s="497">
        <v>1</v>
      </c>
      <c r="J849" s="76" t="s">
        <v>127</v>
      </c>
      <c r="K849" s="66" t="str">
        <f>IF(_xlfn.XLOOKUP($J849,Catalogo!$B$7:$B$210,Catalogo!$I$7:$I$210,"",0)=0,"",_xlfn.XLOOKUP($J849,Catalogo!$B$7:$B$210,Catalogo!$I$7:$I$210,"",0))</f>
        <v>CARACTERIZACION</v>
      </c>
      <c r="L849" s="36"/>
      <c r="M849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49" t="str">
        <f>_xlfn.IFNA(_xlfn.XLOOKUP(Tabla1[[#This Row],[fin]],$P$379:$P$398,$T$379:$T$398),"")</f>
        <v/>
      </c>
    </row>
    <row r="850" spans="1:18" x14ac:dyDescent="0.25">
      <c r="A850" s="350">
        <v>46317</v>
      </c>
      <c r="B850" s="114" t="s">
        <v>30</v>
      </c>
      <c r="C850" s="571" t="s">
        <v>536</v>
      </c>
      <c r="D850" s="39" t="s">
        <v>653</v>
      </c>
      <c r="E850" s="40" t="s">
        <v>132</v>
      </c>
      <c r="F850" s="489" t="s">
        <v>654</v>
      </c>
      <c r="G850" s="28" t="s">
        <v>617</v>
      </c>
      <c r="H850" s="220"/>
      <c r="I850" s="497">
        <v>1</v>
      </c>
      <c r="J850" s="76" t="s">
        <v>131</v>
      </c>
      <c r="K850" s="66" t="str">
        <f>IF(_xlfn.XLOOKUP($J850,Catalogo!$B$7:$B$210,Catalogo!$I$7:$I$210,"",0)=0,"",_xlfn.XLOOKUP($J850,Catalogo!$B$7:$B$210,Catalogo!$I$7:$I$210,"",0))</f>
        <v>UT RECTO</v>
      </c>
      <c r="L850" s="36"/>
      <c r="M850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50" t="str">
        <f>_xlfn.IFNA(_xlfn.XLOOKUP(Tabla1[[#This Row],[fin]],$P$379:$P$398,$T$379:$T$398),"")</f>
        <v/>
      </c>
    </row>
    <row r="851" spans="1:18" x14ac:dyDescent="0.25">
      <c r="A851" s="350">
        <v>46317</v>
      </c>
      <c r="B851" s="114" t="s">
        <v>30</v>
      </c>
      <c r="C851" s="571" t="s">
        <v>536</v>
      </c>
      <c r="D851" s="39" t="s">
        <v>653</v>
      </c>
      <c r="E851" s="40" t="s">
        <v>134</v>
      </c>
      <c r="F851" s="489" t="s">
        <v>654</v>
      </c>
      <c r="G851" s="28" t="s">
        <v>617</v>
      </c>
      <c r="H851" s="220"/>
      <c r="I851" s="497">
        <v>1</v>
      </c>
      <c r="J851" s="76" t="s">
        <v>133</v>
      </c>
      <c r="K851" s="66" t="str">
        <f>IF(_xlfn.XLOOKUP($J851,Catalogo!$B$7:$B$210,Catalogo!$I$7:$I$210,"",0)=0,"",_xlfn.XLOOKUP($J851,Catalogo!$B$7:$B$210,Catalogo!$I$7:$I$210,"",0))</f>
        <v>MT</v>
      </c>
      <c r="L851" s="36"/>
      <c r="M851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51" t="str">
        <f>_xlfn.IFNA(_xlfn.XLOOKUP(Tabla1[[#This Row],[fin]],$P$379:$P$398,$T$379:$T$398),"")</f>
        <v/>
      </c>
    </row>
    <row r="852" spans="1:18" x14ac:dyDescent="0.25">
      <c r="A852" s="350">
        <v>46317</v>
      </c>
      <c r="B852" s="114" t="s">
        <v>30</v>
      </c>
      <c r="C852" s="571" t="s">
        <v>536</v>
      </c>
      <c r="D852" s="39" t="s">
        <v>653</v>
      </c>
      <c r="E852" s="40" t="s">
        <v>136</v>
      </c>
      <c r="F852" s="489" t="s">
        <v>654</v>
      </c>
      <c r="G852" s="28" t="s">
        <v>617</v>
      </c>
      <c r="H852" s="220"/>
      <c r="I852" s="497">
        <v>1</v>
      </c>
      <c r="J852" s="76" t="s">
        <v>135</v>
      </c>
      <c r="K852" s="66" t="str">
        <f>IF(_xlfn.XLOOKUP($J852,Catalogo!$B$7:$B$210,Catalogo!$I$7:$I$210,"",0)=0,"",_xlfn.XLOOKUP($J852,Catalogo!$B$7:$B$210,Catalogo!$I$7:$I$210,"",0))</f>
        <v>LP</v>
      </c>
      <c r="L852" s="36"/>
      <c r="M852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52" t="str">
        <f>_xlfn.IFNA(_xlfn.XLOOKUP(Tabla1[[#This Row],[fin]],$P$379:$P$398,$T$379:$T$398),"")</f>
        <v/>
      </c>
    </row>
    <row r="853" spans="1:18" x14ac:dyDescent="0.25">
      <c r="A853" s="350"/>
      <c r="B853" s="114"/>
      <c r="C853" s="152"/>
      <c r="D853" s="39"/>
      <c r="F853" s="28"/>
      <c r="G853" s="28"/>
      <c r="H853" s="220" t="str">
        <f>IF(Tabla1[[#This Row],[Codigo_actividad]]&lt;&gt;2.5,IF(((Tabla1[[#This Row],[fin]]-Tabla1[[#This Row],[inicio]])/1000)=0,"",((Tabla1[[#This Row],[fin]]-Tabla1[[#This Row],[inicio]])/1000)),"")</f>
        <v/>
      </c>
      <c r="I853" s="66"/>
      <c r="J853" s="76"/>
      <c r="K853" s="66" t="str">
        <f>IF(_xlfn.XLOOKUP($J853,Catalogo!$B$7:$B$21,Catalogo!$I$7:$I$21,"",0)=0,"",_xlfn.XLOOKUP($J853,Catalogo!$B$7:$B$21,Catalogo!$I$7:$I$21,"",0))</f>
        <v/>
      </c>
      <c r="L853" s="36"/>
      <c r="M853" s="257">
        <f>IF(Tabla1[[#This Row],[Avance_km]]&lt;&gt;"",Tabla1[[#This Row],[Avance_km]],Tabla1[[#This Row],[Avance_Med]])*_xlfn.XLOOKUP(Tabla1[[#This Row],[Codigo_actividad]],Catalogo!$B$6:$B$51,Catalogo!$F$6:$F$51,0)</f>
        <v>0</v>
      </c>
      <c r="N853" t="str">
        <f>_xlfn.IFNA(_xlfn.XLOOKUP(Tabla1[[#This Row],[fin]],$P$379:$P$398,$T$379:$T$398),"")</f>
        <v/>
      </c>
    </row>
    <row r="854" spans="1:18" x14ac:dyDescent="0.25">
      <c r="A854" s="355"/>
      <c r="B854" s="279"/>
      <c r="C854" s="280"/>
      <c r="D854" s="281"/>
      <c r="E854" s="376"/>
      <c r="F854" s="282"/>
      <c r="G854" s="282"/>
      <c r="H854" s="511" t="str">
        <f>IF(Tabla1[[#This Row],[Codigo_actividad]]&lt;&gt;2.5,IF(((Tabla1[[#This Row],[fin]]-Tabla1[[#This Row],[inicio]])/1000)=0,"",((Tabla1[[#This Row],[fin]]-Tabla1[[#This Row],[inicio]])/1000)),"")</f>
        <v/>
      </c>
      <c r="I854" s="512"/>
      <c r="J854" s="512"/>
      <c r="K854" s="512" t="str">
        <f>IF(_xlfn.XLOOKUP($J854,Catalogo!$B$7:$B$21,Catalogo!$I$7:$I$21,"",0)=0,"",_xlfn.XLOOKUP($J854,Catalogo!$B$7:$B$21,Catalogo!$I$7:$I$21,"",0))</f>
        <v/>
      </c>
      <c r="L854" s="513"/>
      <c r="M854" s="514">
        <f>IF(Tabla1[[#This Row],[Avance_km]]&lt;&gt;"",Tabla1[[#This Row],[Avance_km]],Tabla1[[#This Row],[Avance_Med]])*_xlfn.XLOOKUP(Tabla1[[#This Row],[Codigo_actividad]],Catalogo!$B$6:$B$51,Catalogo!$F$6:$F$51,0)</f>
        <v>0</v>
      </c>
      <c r="N854" s="515" t="str">
        <f>_xlfn.IFNA(_xlfn.XLOOKUP(Tabla1[[#This Row],[fin]],$P$379:$P$398,$T$379:$T$398),"")</f>
        <v/>
      </c>
    </row>
    <row r="855" spans="1:18" x14ac:dyDescent="0.25">
      <c r="A855" s="350"/>
      <c r="C855" s="152"/>
      <c r="D855" s="39"/>
      <c r="F855" s="28"/>
      <c r="G855" s="28"/>
      <c r="H855" s="220" t="str">
        <f>IF(Tabla1[[#This Row],[Codigo_actividad]]&lt;&gt;2.5,IF(((Tabla1[[#This Row],[fin]]-Tabla1[[#This Row],[inicio]])/1000)=0,"",((Tabla1[[#This Row],[fin]]-Tabla1[[#This Row],[inicio]])/1000)),"")</f>
        <v/>
      </c>
      <c r="J855" s="76"/>
      <c r="K855" s="66" t="str">
        <f>IF(_xlfn.XLOOKUP($J855,Catalogo!$B$7:$B$21,Catalogo!$I$7:$I$21,"",0)=0,"",_xlfn.XLOOKUP($J855,Catalogo!$B$7:$B$21,Catalogo!$I$7:$I$21,"",0))</f>
        <v/>
      </c>
      <c r="L855" s="36"/>
      <c r="M855" s="257">
        <f>IF(Tabla1[[#This Row],[Avance_km]]&lt;&gt;"",Tabla1[[#This Row],[Avance_km]],Tabla1[[#This Row],[Avance_Med]])*_xlfn.XLOOKUP(Tabla1[[#This Row],[Codigo_actividad]],Catalogo!$B$6:$B$51,Catalogo!$F$6:$F$51,0)</f>
        <v>0</v>
      </c>
      <c r="N855" t="str">
        <f>_xlfn.IFNA(_xlfn.XLOOKUP(Tabla1[[#This Row],[fin]],$P$379:$P$398,$T$379:$T$398),"")</f>
        <v/>
      </c>
      <c r="P855" s="482">
        <f>+SUM(M856:M869)</f>
        <v>682944.57</v>
      </c>
      <c r="Q855">
        <v>3</v>
      </c>
    </row>
    <row r="856" spans="1:18" x14ac:dyDescent="0.25">
      <c r="A856" s="350">
        <v>46259</v>
      </c>
      <c r="B856" s="114" t="s">
        <v>12</v>
      </c>
      <c r="C856" s="152" t="s">
        <v>411</v>
      </c>
      <c r="D856" s="39" t="s">
        <v>351</v>
      </c>
      <c r="E856" s="40" t="s">
        <v>563</v>
      </c>
      <c r="F856" s="489">
        <v>0</v>
      </c>
      <c r="G856" s="489">
        <v>47584</v>
      </c>
      <c r="H856" s="498">
        <f>(Catalogo!$J$55)*Tabla1[[#This Row],[Observaciones]]</f>
        <v>8.1010741602829377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58" t="s">
        <v>554</v>
      </c>
      <c r="M856" s="481">
        <f>IF(Tabla1[[#This Row],[Avance_km]]&lt;&gt;"",Tabla1[[#This Row],[Avance_km]],Tabla1[[#This Row],[Avance_Med]])*_xlfn.XLOOKUP(Tabla1[[#This Row],[Codigo_actividad]],Catalogo!$B$6:$B$57,Catalogo!$F$6:$F$57,0)</f>
        <v>110954.58</v>
      </c>
      <c r="N856" s="473">
        <v>58</v>
      </c>
      <c r="P856" s="482" t="e">
        <f>+#REF!-P855</f>
        <v>#REF!</v>
      </c>
    </row>
    <row r="857" spans="1:18" x14ac:dyDescent="0.25">
      <c r="A857" s="350">
        <v>46259</v>
      </c>
      <c r="B857" s="114" t="s">
        <v>29</v>
      </c>
      <c r="C857" s="152" t="s">
        <v>329</v>
      </c>
      <c r="D857" s="39" t="s">
        <v>212</v>
      </c>
      <c r="E857" s="40" t="s">
        <v>563</v>
      </c>
      <c r="F857" s="489">
        <v>0</v>
      </c>
      <c r="G857" s="489">
        <v>16250</v>
      </c>
      <c r="H857" s="498">
        <f>(Catalogo!$J$55)*Tabla1[[#This Row],[Observaciones]]</f>
        <v>2.3744527711174128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58" t="s">
        <v>554</v>
      </c>
      <c r="M857" s="257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7" s="473">
        <v>17</v>
      </c>
    </row>
    <row r="858" spans="1:18" x14ac:dyDescent="0.25">
      <c r="A858" s="350">
        <v>46260</v>
      </c>
      <c r="B858" s="114" t="s">
        <v>12</v>
      </c>
      <c r="C858" s="152" t="s">
        <v>560</v>
      </c>
      <c r="D858" s="39" t="s">
        <v>529</v>
      </c>
      <c r="E858" s="40" t="s">
        <v>563</v>
      </c>
      <c r="F858" s="489">
        <v>0</v>
      </c>
      <c r="G858" s="489">
        <v>16000</v>
      </c>
      <c r="H858" s="498">
        <f>(Catalogo!$J$55)*Tabla1[[#This Row],[Observaciones]]</f>
        <v>1.676084309024056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58" t="s">
        <v>554</v>
      </c>
      <c r="M858" s="257">
        <f>IF(Tabla1[[#This Row],[Avance_km]]&lt;&gt;"",Tabla1[[#This Row],[Avance_km]],Tabla1[[#This Row],[Avance_Med]])*_xlfn.XLOOKUP(Tabla1[[#This Row],[Codigo_actividad]],Catalogo!$B$6:$B$57,Catalogo!$F$6:$F$57,0)</f>
        <v>22956.12</v>
      </c>
      <c r="N858" s="473">
        <v>12</v>
      </c>
    </row>
    <row r="859" spans="1:18" x14ac:dyDescent="0.25">
      <c r="A859" s="350">
        <v>46260</v>
      </c>
      <c r="B859" s="114" t="s">
        <v>29</v>
      </c>
      <c r="C859" s="152" t="s">
        <v>329</v>
      </c>
      <c r="D859" s="39" t="s">
        <v>212</v>
      </c>
      <c r="E859" s="40" t="s">
        <v>563</v>
      </c>
      <c r="F859" s="489">
        <v>16250</v>
      </c>
      <c r="G859" s="489">
        <v>27250</v>
      </c>
      <c r="H859" s="498">
        <f>(Catalogo!$J$55)*Tabla1[[#This Row],[Observaciones]]</f>
        <v>3.4918423104667835</v>
      </c>
      <c r="J859" s="76">
        <v>2.4</v>
      </c>
      <c r="K859" s="66" t="str">
        <f>IF(_xlfn.XLOOKUP($J859,Catalogo!$B$7:$B$210,Catalogo!$I$7:$I$210,"",0)=0,"",_xlfn.XLOOKUP($J859,Catalogo!$B$7:$B$210,Catalogo!$I$7:$I$210,"",0))</f>
        <v>PCM</v>
      </c>
      <c r="L859" s="558" t="s">
        <v>554</v>
      </c>
      <c r="M859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59" s="473">
        <v>25</v>
      </c>
    </row>
    <row r="860" spans="1:18" x14ac:dyDescent="0.25">
      <c r="A860" s="350">
        <v>46260</v>
      </c>
      <c r="B860" s="114" t="s">
        <v>29</v>
      </c>
      <c r="C860" s="152" t="s">
        <v>329</v>
      </c>
      <c r="D860" s="39" t="s">
        <v>225</v>
      </c>
      <c r="E860" s="40" t="s">
        <v>563</v>
      </c>
      <c r="F860" s="489">
        <v>0</v>
      </c>
      <c r="G860" s="489">
        <v>5970</v>
      </c>
      <c r="H860" s="498">
        <f>(Catalogo!$J$55)*Tabla1[[#This Row],[Observaciones]]</f>
        <v>1.3967369241867134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58" t="s">
        <v>554</v>
      </c>
      <c r="M860" s="257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60" s="473">
        <v>10</v>
      </c>
    </row>
    <row r="861" spans="1:18" x14ac:dyDescent="0.25">
      <c r="A861" s="350">
        <v>46261</v>
      </c>
      <c r="B861" s="114" t="s">
        <v>12</v>
      </c>
      <c r="C861" s="152" t="s">
        <v>329</v>
      </c>
      <c r="D861" s="39" t="s">
        <v>212</v>
      </c>
      <c r="E861" s="40" t="s">
        <v>563</v>
      </c>
      <c r="F861" s="489" t="s">
        <v>530</v>
      </c>
      <c r="G861" s="489"/>
      <c r="H861" s="498">
        <f>(Catalogo!$J$55)*Tabla1[[#This Row],[Observaciones]]</f>
        <v>4.1902107725601399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58" t="s">
        <v>554</v>
      </c>
      <c r="M861" s="257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61" s="473">
        <v>30</v>
      </c>
    </row>
    <row r="862" spans="1:18" x14ac:dyDescent="0.25">
      <c r="A862" s="350">
        <v>46261</v>
      </c>
      <c r="B862" s="114" t="s">
        <v>29</v>
      </c>
      <c r="C862" s="152" t="s">
        <v>329</v>
      </c>
      <c r="D862" s="39" t="s">
        <v>212</v>
      </c>
      <c r="E862" s="40" t="s">
        <v>563</v>
      </c>
      <c r="F862" s="489">
        <v>22250</v>
      </c>
      <c r="G862" s="489"/>
      <c r="H862" s="498">
        <f>(Catalogo!$J$55)*Tabla1[[#This Row],[Observaciones]]</f>
        <v>0.69836846209335668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58" t="s">
        <v>554</v>
      </c>
      <c r="M862" s="257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62" s="473">
        <v>5</v>
      </c>
      <c r="P862" t="s">
        <v>554</v>
      </c>
      <c r="Q862" t="s">
        <v>555</v>
      </c>
      <c r="R862" t="s">
        <v>556</v>
      </c>
    </row>
    <row r="863" spans="1:18" x14ac:dyDescent="0.25">
      <c r="A863" s="350"/>
      <c r="B863" s="114"/>
      <c r="C863" s="152"/>
      <c r="D863" s="39"/>
      <c r="F863" s="28"/>
      <c r="G863" s="28"/>
      <c r="H863" s="366"/>
      <c r="I863" s="366"/>
      <c r="J863" s="76">
        <v>2.4</v>
      </c>
      <c r="K863" s="76" t="str">
        <f>IF(_xlfn.XLOOKUP($J863,Catalogo!$B$7:$B$21,Catalogo!$I$7:$I$21,"",0)=0,"",_xlfn.XLOOKUP($J863,Catalogo!$B$7:$B$21,Catalogo!$I$7:$I$21,"",0))</f>
        <v>PCM</v>
      </c>
      <c r="L863" s="134"/>
      <c r="M863" s="257"/>
    </row>
    <row r="864" spans="1:18" x14ac:dyDescent="0.25">
      <c r="A864" s="350">
        <v>46269</v>
      </c>
      <c r="B864" s="114" t="s">
        <v>12</v>
      </c>
      <c r="C864" s="152" t="s">
        <v>13</v>
      </c>
      <c r="D864" s="39" t="s">
        <v>13</v>
      </c>
      <c r="E864" s="40" t="s">
        <v>564</v>
      </c>
      <c r="F864" s="489" t="s">
        <v>642</v>
      </c>
      <c r="G864" s="489" t="s">
        <v>642</v>
      </c>
      <c r="H864" s="498">
        <f>(Catalogo!$J$55)*Tabla1[[#This Row],[Observaciones]]</f>
        <v>5.4472740043281824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58" t="s">
        <v>554</v>
      </c>
      <c r="M864" s="257">
        <f>IF(Tabla1[[#This Row],[Avance_km]]&lt;&gt;"",Tabla1[[#This Row],[Avance_km]],Tabla1[[#This Row],[Avance_Med]])*_xlfn.XLOOKUP(Tabla1[[#This Row],[Codigo_actividad]],Catalogo!$B$6:$B$57,Catalogo!$F$6:$F$57,0)</f>
        <v>74607.39</v>
      </c>
      <c r="N864" s="473">
        <v>39</v>
      </c>
    </row>
    <row r="865" spans="1:16" x14ac:dyDescent="0.25">
      <c r="A865" s="350">
        <v>46269</v>
      </c>
      <c r="B865" s="114" t="s">
        <v>29</v>
      </c>
      <c r="C865" s="152" t="s">
        <v>22</v>
      </c>
      <c r="D865" s="39" t="s">
        <v>22</v>
      </c>
      <c r="E865" s="40" t="s">
        <v>564</v>
      </c>
      <c r="F865" s="489" t="s">
        <v>642</v>
      </c>
      <c r="G865" s="489" t="s">
        <v>642</v>
      </c>
      <c r="H865" s="498">
        <f>(Catalogo!$J$55)*Tabla1[[#This Row],[Observaciones]]</f>
        <v>7.123358313352238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58" t="s">
        <v>554</v>
      </c>
      <c r="M865" s="257">
        <f>IF(Tabla1[[#This Row],[Avance_km]]&lt;&gt;"",Tabla1[[#This Row],[Avance_km]],Tabla1[[#This Row],[Avance_Med]])*_xlfn.XLOOKUP(Tabla1[[#This Row],[Codigo_actividad]],Catalogo!$B$6:$B$57,Catalogo!$F$6:$F$57,0)</f>
        <v>97563.51</v>
      </c>
      <c r="N865" s="473">
        <v>51</v>
      </c>
    </row>
    <row r="866" spans="1:16" x14ac:dyDescent="0.25">
      <c r="A866" s="350">
        <v>46270</v>
      </c>
      <c r="B866" s="114" t="s">
        <v>12</v>
      </c>
      <c r="C866" s="152" t="s">
        <v>13</v>
      </c>
      <c r="D866" s="39" t="s">
        <v>13</v>
      </c>
      <c r="E866" s="40" t="s">
        <v>564</v>
      </c>
      <c r="F866" s="489" t="s">
        <v>642</v>
      </c>
      <c r="G866" s="489" t="s">
        <v>642</v>
      </c>
      <c r="H866" s="498">
        <f>(Catalogo!$J$55)*Tabla1[[#This Row],[Observaciones]]</f>
        <v>3.4918423104667835</v>
      </c>
      <c r="J866" s="76">
        <v>2.4</v>
      </c>
      <c r="K866" s="66" t="str">
        <f>IF(_xlfn.XLOOKUP($J866,Catalogo!$B$7:$B$210,Catalogo!$I$7:$I$210,"",0)=0,"",_xlfn.XLOOKUP($J866,Catalogo!$B$7:$B$210,Catalogo!$I$7:$I$210,"",0))</f>
        <v>PCM</v>
      </c>
      <c r="L866" s="558" t="s">
        <v>554</v>
      </c>
      <c r="M866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66" s="473">
        <v>25</v>
      </c>
    </row>
    <row r="867" spans="1:16" x14ac:dyDescent="0.25">
      <c r="A867" s="350">
        <v>46270</v>
      </c>
      <c r="B867" s="114" t="s">
        <v>29</v>
      </c>
      <c r="C867" s="152" t="s">
        <v>22</v>
      </c>
      <c r="D867" s="39" t="s">
        <v>22</v>
      </c>
      <c r="E867" s="40" t="s">
        <v>564</v>
      </c>
      <c r="F867" s="489" t="s">
        <v>642</v>
      </c>
      <c r="G867" s="489" t="s">
        <v>642</v>
      </c>
      <c r="H867" s="498">
        <f>(Catalogo!$J$55)*Tabla1[[#This Row],[Observaciones]]</f>
        <v>3.4918423104667835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558" t="s">
        <v>554</v>
      </c>
      <c r="M867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67" s="473">
        <v>25</v>
      </c>
    </row>
    <row r="868" spans="1:16" x14ac:dyDescent="0.25">
      <c r="A868" s="350">
        <v>46282</v>
      </c>
      <c r="B868" s="114" t="s">
        <v>12</v>
      </c>
      <c r="C868" s="152" t="s">
        <v>536</v>
      </c>
      <c r="D868" s="39" t="s">
        <v>536</v>
      </c>
      <c r="E868" s="40" t="s">
        <v>564</v>
      </c>
      <c r="F868" s="489" t="s">
        <v>642</v>
      </c>
      <c r="G868" s="489" t="s">
        <v>642</v>
      </c>
      <c r="H868" s="498">
        <f>(Catalogo!$J$55)*Tabla1[[#This Row],[Observaciones]]</f>
        <v>3.0728212332107692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558" t="s">
        <v>554</v>
      </c>
      <c r="M868" s="257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8" s="473">
        <v>22</v>
      </c>
    </row>
    <row r="869" spans="1:16" x14ac:dyDescent="0.25">
      <c r="A869" s="350">
        <v>46283</v>
      </c>
      <c r="B869" s="114" t="s">
        <v>12</v>
      </c>
      <c r="C869" s="152" t="s">
        <v>536</v>
      </c>
      <c r="D869" s="39" t="s">
        <v>536</v>
      </c>
      <c r="E869" s="40" t="s">
        <v>564</v>
      </c>
      <c r="F869" s="489" t="s">
        <v>642</v>
      </c>
      <c r="G869" s="489" t="s">
        <v>642</v>
      </c>
      <c r="H869" s="498">
        <f>(Catalogo!$J$55)*Tabla1[[#This Row],[Observaciones]]</f>
        <v>5.3076003119095105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558" t="s">
        <v>554</v>
      </c>
      <c r="M869" s="257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9" s="473">
        <v>38</v>
      </c>
    </row>
    <row r="870" spans="1:16" x14ac:dyDescent="0.25">
      <c r="A870" s="350"/>
      <c r="B870" s="114"/>
      <c r="C870" s="152"/>
      <c r="D870" s="39"/>
      <c r="F870" s="28"/>
      <c r="G870" s="28"/>
      <c r="H870" s="366" t="str">
        <f>IF(Tabla1[[#This Row],[Codigo_actividad]]&lt;&gt;2.5,IF(((Tabla1[[#This Row],[fin]]-Tabla1[[#This Row],[inicio]])/1000)=0,"",((Tabla1[[#This Row],[fin]]-Tabla1[[#This Row],[inicio]])/1000)),"")</f>
        <v/>
      </c>
      <c r="I870" s="366"/>
      <c r="J870" s="76"/>
      <c r="K870" s="76" t="str">
        <f>IF(_xlfn.XLOOKUP($J870,Catalogo!$B$7:$B$21,Catalogo!$I$7:$I$21,"",0)=0,"",_xlfn.XLOOKUP($J870,Catalogo!$B$7:$B$21,Catalogo!$I$7:$I$21,"",0))</f>
        <v/>
      </c>
      <c r="L870" s="134"/>
      <c r="M870" s="257"/>
      <c r="N870" t="str">
        <f>_xlfn.IFNA(_xlfn.XLOOKUP(Tabla1[[#This Row],[fin]],$P$379:$P$398,$T$379:$T$398),"")</f>
        <v/>
      </c>
    </row>
    <row r="871" spans="1:16" x14ac:dyDescent="0.25">
      <c r="A871" s="350">
        <v>46315</v>
      </c>
      <c r="B871" s="196" t="s">
        <v>12</v>
      </c>
      <c r="C871" s="197" t="s">
        <v>13</v>
      </c>
      <c r="D871" s="198" t="s">
        <v>649</v>
      </c>
      <c r="E871" s="372" t="s">
        <v>537</v>
      </c>
      <c r="F871" s="489" t="s">
        <v>642</v>
      </c>
      <c r="G871" s="489" t="s">
        <v>642</v>
      </c>
      <c r="H871" s="498">
        <f>+(Catalogo!$J$56)*Tabla1[[#This Row],[Observaciones]]</f>
        <v>3.0967824840029552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4" t="s">
        <v>555</v>
      </c>
      <c r="M871" s="257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71" s="473">
        <v>14</v>
      </c>
      <c r="P871">
        <f>115-SUM(N871:N877)</f>
        <v>0</v>
      </c>
    </row>
    <row r="872" spans="1:16" x14ac:dyDescent="0.25">
      <c r="A872" s="350">
        <v>46316</v>
      </c>
      <c r="B872" s="196" t="s">
        <v>29</v>
      </c>
      <c r="C872" s="197" t="s">
        <v>22</v>
      </c>
      <c r="D872" s="198" t="s">
        <v>649</v>
      </c>
      <c r="E872" s="372" t="s">
        <v>537</v>
      </c>
      <c r="F872" s="489" t="s">
        <v>642</v>
      </c>
      <c r="G872" s="489" t="s">
        <v>642</v>
      </c>
      <c r="H872" s="498">
        <f>+(Catalogo!$J$56)*Tabla1[[#This Row],[Observaciones]]</f>
        <v>2.8755837351456011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4" t="s">
        <v>555</v>
      </c>
      <c r="M872" s="257">
        <f>IF(Tabla1[[#This Row],[Avance_km]]&lt;&gt;"",Tabla1[[#This Row],[Avance_km]],Tabla1[[#This Row],[Avance_Med]])*_xlfn.XLOOKUP(Tabla1[[#This Row],[Codigo_actividad]],Catalogo!$B$6:$B$57,Catalogo!$F$6:$F$57,0)</f>
        <v>39384.799999999996</v>
      </c>
      <c r="N872" s="473">
        <v>13</v>
      </c>
    </row>
    <row r="873" spans="1:16" x14ac:dyDescent="0.25">
      <c r="A873" s="350">
        <v>46316</v>
      </c>
      <c r="B873" s="196" t="s">
        <v>12</v>
      </c>
      <c r="C873" s="197" t="s">
        <v>13</v>
      </c>
      <c r="D873" s="198" t="s">
        <v>649</v>
      </c>
      <c r="E873" s="372" t="s">
        <v>537</v>
      </c>
      <c r="F873" s="489" t="s">
        <v>642</v>
      </c>
      <c r="G873" s="489" t="s">
        <v>642</v>
      </c>
      <c r="H873" s="498">
        <f>+(Catalogo!$J$56)*Tabla1[[#This Row],[Observaciones]]</f>
        <v>1.3271924931441237</v>
      </c>
      <c r="J873" s="76">
        <v>2.4</v>
      </c>
      <c r="K873" s="66" t="str">
        <f>IF(_xlfn.XLOOKUP($J873,Catalogo!$B$7:$B$210,Catalogo!$I$7:$I$210,"",0)=0,"",_xlfn.XLOOKUP($J873,Catalogo!$B$7:$B$210,Catalogo!$I$7:$I$210,"",0))</f>
        <v>PCM</v>
      </c>
      <c r="L873" s="134" t="s">
        <v>555</v>
      </c>
      <c r="M873" s="257">
        <f>IF(Tabla1[[#This Row],[Avance_km]]&lt;&gt;"",Tabla1[[#This Row],[Avance_km]],Tabla1[[#This Row],[Avance_Med]])*_xlfn.XLOOKUP(Tabla1[[#This Row],[Codigo_actividad]],Catalogo!$B$6:$B$57,Catalogo!$F$6:$F$57,0)</f>
        <v>18177.599999999999</v>
      </c>
      <c r="N873" s="473">
        <v>6</v>
      </c>
    </row>
    <row r="874" spans="1:16" x14ac:dyDescent="0.25">
      <c r="A874" s="350">
        <v>46317</v>
      </c>
      <c r="B874" s="196" t="s">
        <v>12</v>
      </c>
      <c r="C874" s="197" t="s">
        <v>22</v>
      </c>
      <c r="D874" s="198" t="s">
        <v>649</v>
      </c>
      <c r="E874" s="372" t="s">
        <v>537</v>
      </c>
      <c r="F874" s="489" t="s">
        <v>642</v>
      </c>
      <c r="G874" s="489" t="s">
        <v>642</v>
      </c>
      <c r="H874" s="498">
        <f>+(Catalogo!$J$56)*Tabla1[[#This Row],[Observaciones]]</f>
        <v>4.4239749771470791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4" t="s">
        <v>555</v>
      </c>
      <c r="M874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4" s="473">
        <v>20</v>
      </c>
    </row>
    <row r="875" spans="1:16" x14ac:dyDescent="0.25">
      <c r="A875" s="350">
        <v>46317</v>
      </c>
      <c r="B875" s="196" t="s">
        <v>29</v>
      </c>
      <c r="C875" s="197" t="s">
        <v>13</v>
      </c>
      <c r="D875" s="198" t="s">
        <v>649</v>
      </c>
      <c r="E875" s="372" t="s">
        <v>537</v>
      </c>
      <c r="F875" s="489" t="s">
        <v>642</v>
      </c>
      <c r="G875" s="489" t="s">
        <v>642</v>
      </c>
      <c r="H875" s="498">
        <f>+(Catalogo!$J$56)*Tabla1[[#This Row],[Observaciones]]</f>
        <v>4.4239749771470791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4" t="s">
        <v>555</v>
      </c>
      <c r="M875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5" s="473">
        <v>20</v>
      </c>
    </row>
    <row r="876" spans="1:16" x14ac:dyDescent="0.25">
      <c r="A876" s="350">
        <v>46318</v>
      </c>
      <c r="B876" s="196" t="s">
        <v>12</v>
      </c>
      <c r="C876" s="197" t="s">
        <v>22</v>
      </c>
      <c r="D876" s="198" t="s">
        <v>649</v>
      </c>
      <c r="E876" s="372" t="s">
        <v>537</v>
      </c>
      <c r="F876" s="489" t="s">
        <v>642</v>
      </c>
      <c r="G876" s="489" t="s">
        <v>642</v>
      </c>
      <c r="H876" s="498">
        <f>+(Catalogo!$J$56)*Tabla1[[#This Row],[Observaciones]]</f>
        <v>4.4239749771470791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4" t="s">
        <v>555</v>
      </c>
      <c r="M876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6" s="473">
        <v>20</v>
      </c>
    </row>
    <row r="877" spans="1:16" x14ac:dyDescent="0.25">
      <c r="A877" s="350">
        <v>46318</v>
      </c>
      <c r="B877" s="196" t="s">
        <v>29</v>
      </c>
      <c r="C877" s="197" t="s">
        <v>22</v>
      </c>
      <c r="D877" s="198" t="s">
        <v>649</v>
      </c>
      <c r="E877" s="372" t="s">
        <v>537</v>
      </c>
      <c r="F877" s="489" t="s">
        <v>642</v>
      </c>
      <c r="G877" s="489" t="s">
        <v>642</v>
      </c>
      <c r="H877" s="498">
        <f>+(Catalogo!$J$56)*Tabla1[[#This Row],[Observaciones]]</f>
        <v>4.8663724748617865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4" t="s">
        <v>555</v>
      </c>
      <c r="M877" s="257">
        <f>IF(Tabla1[[#This Row],[Avance_km]]&lt;&gt;"",Tabla1[[#This Row],[Avance_km]],Tabla1[[#This Row],[Avance_Med]])*_xlfn.XLOOKUP(Tabla1[[#This Row],[Codigo_actividad]],Catalogo!$B$6:$B$57,Catalogo!$F$6:$F$57,0)</f>
        <v>66651.199999999997</v>
      </c>
      <c r="N877" s="473">
        <v>22</v>
      </c>
    </row>
    <row r="878" spans="1:16" x14ac:dyDescent="0.25">
      <c r="A878" s="350">
        <v>46314</v>
      </c>
      <c r="B878" s="196" t="s">
        <v>12</v>
      </c>
      <c r="C878" s="197" t="s">
        <v>536</v>
      </c>
      <c r="D878" s="198" t="s">
        <v>536</v>
      </c>
      <c r="E878" s="372" t="s">
        <v>537</v>
      </c>
      <c r="F878" s="489" t="s">
        <v>642</v>
      </c>
      <c r="G878" s="489" t="s">
        <v>642</v>
      </c>
      <c r="H878" s="498">
        <f>+(Catalogo!$J$56)*Tabla1[[#This Row],[Observaciones]]</f>
        <v>3.3179812328603089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4" t="s">
        <v>555</v>
      </c>
      <c r="M878" s="257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8" s="473">
        <v>15</v>
      </c>
    </row>
    <row r="879" spans="1:16" x14ac:dyDescent="0.25">
      <c r="A879" s="350">
        <v>46315</v>
      </c>
      <c r="B879" s="196" t="s">
        <v>29</v>
      </c>
      <c r="C879" s="197" t="s">
        <v>536</v>
      </c>
      <c r="D879" s="198" t="s">
        <v>536</v>
      </c>
      <c r="E879" s="372" t="s">
        <v>537</v>
      </c>
      <c r="F879" s="489" t="s">
        <v>642</v>
      </c>
      <c r="G879" s="489" t="s">
        <v>642</v>
      </c>
      <c r="H879" s="498">
        <f>+(Catalogo!$J$56)*Tabla1[[#This Row],[Observaciones]]</f>
        <v>3.7603787305750171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4" t="s">
        <v>555</v>
      </c>
      <c r="M879" s="257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9" s="473">
        <v>17</v>
      </c>
    </row>
    <row r="880" spans="1:16" x14ac:dyDescent="0.25">
      <c r="A880" s="350"/>
      <c r="B880" s="114"/>
      <c r="C880" s="152"/>
      <c r="D880" s="39"/>
      <c r="F880" s="28"/>
      <c r="G880" s="28"/>
      <c r="H880" s="366" t="str">
        <f>IF(Tabla1[[#This Row],[Codigo_actividad]]&lt;&gt;2.5,IF(((Tabla1[[#This Row],[fin]]-Tabla1[[#This Row],[inicio]])/1000)=0,"",((Tabla1[[#This Row],[fin]]-Tabla1[[#This Row],[inicio]])/1000)),"")</f>
        <v/>
      </c>
      <c r="I880"/>
      <c r="J880" s="76"/>
      <c r="K880" s="76" t="str">
        <f>_xlfn.XLOOKUP($J880,Catalogo!$B$67:$B$69,Catalogo!$L$67:$L$69,"",0)</f>
        <v/>
      </c>
      <c r="L880" s="134"/>
      <c r="M880" s="257"/>
      <c r="N880" t="str">
        <f>_xlfn.IFNA(_xlfn.XLOOKUP(Tabla1[[#This Row],[fin]],$P$379:$P$398,$T$379:$T$398),"")</f>
        <v/>
      </c>
    </row>
    <row r="881" spans="1:14" x14ac:dyDescent="0.25">
      <c r="A881" s="350">
        <v>46305</v>
      </c>
      <c r="B881" s="196" t="s">
        <v>12</v>
      </c>
      <c r="C881" s="197" t="s">
        <v>13</v>
      </c>
      <c r="D881" s="198" t="s">
        <v>13</v>
      </c>
      <c r="E881" s="372" t="s">
        <v>538</v>
      </c>
      <c r="F881" s="489" t="s">
        <v>642</v>
      </c>
      <c r="G881" s="489" t="s">
        <v>642</v>
      </c>
      <c r="H881" s="498">
        <f>+(Catalogo!$J$57)*Tabla1[[#This Row],[Observaciones]]</f>
        <v>1.9944247635124281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4" t="s">
        <v>556</v>
      </c>
      <c r="M881" s="257">
        <f>IF(Tabla1[[#This Row],[Avance_km]]&lt;&gt;"",Tabla1[[#This Row],[Avance_km]],Tabla1[[#This Row],[Avance_Med]])*_xlfn.XLOOKUP(Tabla1[[#This Row],[Codigo_actividad]],Catalogo!$B$6:$B$57,Catalogo!$F$6:$F$57,0)</f>
        <v>27316.2</v>
      </c>
      <c r="N881" s="473">
        <v>15</v>
      </c>
    </row>
    <row r="882" spans="1:14" x14ac:dyDescent="0.25">
      <c r="A882" s="350">
        <v>46305</v>
      </c>
      <c r="B882" s="196" t="s">
        <v>29</v>
      </c>
      <c r="C882" s="197" t="s">
        <v>22</v>
      </c>
      <c r="D882" s="198" t="s">
        <v>22</v>
      </c>
      <c r="E882" s="372" t="s">
        <v>538</v>
      </c>
      <c r="F882" s="489" t="s">
        <v>642</v>
      </c>
      <c r="G882" s="489" t="s">
        <v>642</v>
      </c>
      <c r="H882" s="498">
        <f>+(Catalogo!$J$57)*Tabla1[[#This Row],[Observaciones]]</f>
        <v>3.457002923421542</v>
      </c>
      <c r="J882" s="76">
        <v>2.4</v>
      </c>
      <c r="K882" s="66" t="str">
        <f>IF(_xlfn.XLOOKUP($J882,Catalogo!$B$7:$B$210,Catalogo!$I$7:$I$210,"",0)=0,"",_xlfn.XLOOKUP($J882,Catalogo!$B$7:$B$210,Catalogo!$I$7:$I$210,"",0))</f>
        <v>PCM</v>
      </c>
      <c r="L882" s="134" t="s">
        <v>556</v>
      </c>
      <c r="M882" s="257">
        <f>IF(Tabla1[[#This Row],[Avance_km]]&lt;&gt;"",Tabla1[[#This Row],[Avance_km]],Tabla1[[#This Row],[Avance_Med]])*_xlfn.XLOOKUP(Tabla1[[#This Row],[Codigo_actividad]],Catalogo!$B$6:$B$57,Catalogo!$F$6:$F$57,0)</f>
        <v>47348.08</v>
      </c>
      <c r="N882" s="473">
        <f>41-15</f>
        <v>26</v>
      </c>
    </row>
    <row r="883" spans="1:14" x14ac:dyDescent="0.25">
      <c r="A883" s="350">
        <v>46306</v>
      </c>
      <c r="B883" s="196" t="s">
        <v>12</v>
      </c>
      <c r="C883" s="197" t="s">
        <v>13</v>
      </c>
      <c r="D883" s="198" t="s">
        <v>13</v>
      </c>
      <c r="E883" s="372" t="s">
        <v>538</v>
      </c>
      <c r="F883" s="489" t="s">
        <v>642</v>
      </c>
      <c r="G883" s="489" t="s">
        <v>642</v>
      </c>
      <c r="H883" s="498">
        <f>+(Catalogo!$J$57)*Tabla1[[#This Row],[Observaciones]]</f>
        <v>2.6592330180165709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4" t="s">
        <v>556</v>
      </c>
      <c r="M883" s="257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83" s="473">
        <v>20</v>
      </c>
    </row>
    <row r="884" spans="1:14" x14ac:dyDescent="0.25">
      <c r="A884" s="350">
        <v>46306</v>
      </c>
      <c r="B884" s="196" t="s">
        <v>29</v>
      </c>
      <c r="C884" s="197" t="s">
        <v>22</v>
      </c>
      <c r="D884" s="198" t="s">
        <v>22</v>
      </c>
      <c r="E884" s="372" t="s">
        <v>538</v>
      </c>
      <c r="F884" s="489" t="s">
        <v>642</v>
      </c>
      <c r="G884" s="489" t="s">
        <v>642</v>
      </c>
      <c r="H884" s="498">
        <f>+(Catalogo!$J$57)*Tabla1[[#This Row],[Observaciones]]</f>
        <v>4.9195810833306561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4" t="s">
        <v>556</v>
      </c>
      <c r="M884" s="257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84" s="473">
        <f>57-20</f>
        <v>37</v>
      </c>
    </row>
    <row r="885" spans="1:14" x14ac:dyDescent="0.25">
      <c r="A885" s="350">
        <v>46305</v>
      </c>
      <c r="B885" s="196" t="s">
        <v>12</v>
      </c>
      <c r="C885" s="197" t="s">
        <v>536</v>
      </c>
      <c r="D885" s="198" t="s">
        <v>536</v>
      </c>
      <c r="E885" s="372" t="s">
        <v>538</v>
      </c>
      <c r="F885" s="489" t="s">
        <v>642</v>
      </c>
      <c r="G885" s="489" t="s">
        <v>642</v>
      </c>
      <c r="H885" s="498">
        <f>+(Catalogo!$J$57)*Tabla1[[#This Row],[Observaciones]]</f>
        <v>3.1910796216198847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4" t="s">
        <v>556</v>
      </c>
      <c r="M885" s="257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85" s="473">
        <v>24</v>
      </c>
    </row>
    <row r="886" spans="1:14" x14ac:dyDescent="0.25">
      <c r="A886" s="350">
        <v>46307</v>
      </c>
      <c r="B886" s="196" t="s">
        <v>12</v>
      </c>
      <c r="C886" s="197" t="s">
        <v>13</v>
      </c>
      <c r="D886" s="198" t="s">
        <v>13</v>
      </c>
      <c r="E886" s="372" t="s">
        <v>538</v>
      </c>
      <c r="F886" s="489" t="s">
        <v>642</v>
      </c>
      <c r="G886" s="489" t="s">
        <v>642</v>
      </c>
      <c r="H886" s="498">
        <f>+(Catalogo!$J$57)*Tabla1[[#This Row],[Observaciones]]</f>
        <v>3.8558878761240276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4" t="s">
        <v>556</v>
      </c>
      <c r="M886" s="257">
        <f>IF(Tabla1[[#This Row],[Avance_km]]&lt;&gt;"",Tabla1[[#This Row],[Avance_km]],Tabla1[[#This Row],[Avance_Med]])*_xlfn.XLOOKUP(Tabla1[[#This Row],[Codigo_actividad]],Catalogo!$B$6:$B$57,Catalogo!$F$6:$F$57,0)</f>
        <v>52811.32</v>
      </c>
      <c r="N886" s="473">
        <f>64-35</f>
        <v>29</v>
      </c>
    </row>
    <row r="887" spans="1:14" x14ac:dyDescent="0.25">
      <c r="A887" s="350">
        <v>46307</v>
      </c>
      <c r="B887" s="196" t="s">
        <v>12</v>
      </c>
      <c r="C887" s="197" t="s">
        <v>22</v>
      </c>
      <c r="D887" s="198" t="s">
        <v>22</v>
      </c>
      <c r="E887" s="372" t="s">
        <v>538</v>
      </c>
      <c r="F887" s="489" t="s">
        <v>642</v>
      </c>
      <c r="G887" s="489" t="s">
        <v>642</v>
      </c>
      <c r="H887" s="498">
        <f>+(Catalogo!$J$57)*Tabla1[[#This Row],[Observaciones]]</f>
        <v>1.728501461710771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4" t="s">
        <v>556</v>
      </c>
      <c r="M887" s="257">
        <f>IF(Tabla1[[#This Row],[Avance_km]]&lt;&gt;"",Tabla1[[#This Row],[Avance_km]],Tabla1[[#This Row],[Avance_Med]])*_xlfn.XLOOKUP(Tabla1[[#This Row],[Codigo_actividad]],Catalogo!$B$6:$B$57,Catalogo!$F$6:$F$57,0)</f>
        <v>23674.04</v>
      </c>
      <c r="N887" s="473">
        <f>42-29</f>
        <v>13</v>
      </c>
    </row>
    <row r="888" spans="1:14" x14ac:dyDescent="0.25">
      <c r="A888" s="350">
        <v>46307</v>
      </c>
      <c r="B888" s="196" t="s">
        <v>29</v>
      </c>
      <c r="C888" s="197" t="s">
        <v>536</v>
      </c>
      <c r="D888" s="198" t="s">
        <v>536</v>
      </c>
      <c r="E888" s="372" t="s">
        <v>538</v>
      </c>
      <c r="F888" s="489" t="s">
        <v>642</v>
      </c>
      <c r="G888" s="489" t="s">
        <v>642</v>
      </c>
      <c r="H888" s="498">
        <f>+(Catalogo!$J$57)*Tabla1[[#This Row],[Observaciones]]</f>
        <v>4.786619432429827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4" t="s">
        <v>556</v>
      </c>
      <c r="M888" s="257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8" s="473">
        <v>36</v>
      </c>
    </row>
    <row r="889" spans="1:14" x14ac:dyDescent="0.25">
      <c r="A889" s="350"/>
      <c r="B889" s="114"/>
      <c r="C889" s="152"/>
      <c r="D889" s="39"/>
      <c r="F889" s="28"/>
      <c r="G889" s="28"/>
      <c r="H889" s="366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4"/>
      <c r="M889" s="257"/>
      <c r="N889" t="str">
        <f>_xlfn.IFNA(_xlfn.XLOOKUP(Tabla1[[#This Row],[fin]],$P$379:$P$398,$T$379:$T$398),"")</f>
        <v/>
      </c>
    </row>
    <row r="890" spans="1:14" x14ac:dyDescent="0.25">
      <c r="A890" s="350"/>
      <c r="B890" s="196" t="s">
        <v>12</v>
      </c>
      <c r="C890" s="197" t="s">
        <v>329</v>
      </c>
      <c r="D890" s="198"/>
      <c r="E890" s="372" t="s">
        <v>539</v>
      </c>
      <c r="F890" s="28"/>
      <c r="G890" s="28"/>
      <c r="H890" s="220">
        <f>+(Catalogo!$J$56)*Tabla1[[#This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4" t="s">
        <v>555</v>
      </c>
      <c r="M890" s="257">
        <f>IF(Tabla1[[#This Row],[Avance_km]]&lt;&gt;"",Tabla1[[#This Row],[Avance_km]],Tabla1[[#This Row],[Avance_Med]])*_xlfn.XLOOKUP(Tabla1[[#This Row],[Codigo_actividad]],Catalogo!$B$6:$B$57,Catalogo!$F$6:$F$57,0)</f>
        <v>0</v>
      </c>
      <c r="N890" s="474"/>
    </row>
    <row r="891" spans="1:14" x14ac:dyDescent="0.25">
      <c r="A891" s="350"/>
      <c r="B891" s="196" t="s">
        <v>29</v>
      </c>
      <c r="C891" s="197" t="s">
        <v>411</v>
      </c>
      <c r="D891" s="198"/>
      <c r="E891" s="372" t="s">
        <v>539</v>
      </c>
      <c r="F891" s="28"/>
      <c r="G891" s="28"/>
      <c r="H891" s="220">
        <f>+(Catalogo!$J$56)*Tabla1[[#This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4" t="s">
        <v>555</v>
      </c>
      <c r="M891" s="257">
        <f>IF(Tabla1[[#This Row],[Avance_km]]&lt;&gt;"",Tabla1[[#This Row],[Avance_km]],Tabla1[[#This Row],[Avance_Med]])*_xlfn.XLOOKUP(Tabla1[[#This Row],[Codigo_actividad]],Catalogo!$B$6:$B$57,Catalogo!$F$6:$F$57,0)</f>
        <v>0</v>
      </c>
      <c r="N891" s="474"/>
    </row>
    <row r="892" spans="1:14" x14ac:dyDescent="0.25">
      <c r="A892" s="350"/>
      <c r="B892" s="196" t="s">
        <v>12</v>
      </c>
      <c r="C892" s="197" t="s">
        <v>329</v>
      </c>
      <c r="D892" s="198"/>
      <c r="E892" s="372" t="s">
        <v>539</v>
      </c>
      <c r="F892" s="28"/>
      <c r="G892" s="28"/>
      <c r="H892" s="220">
        <f>+(Catalogo!$J$56)*Tabla1[[#This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4" t="s">
        <v>555</v>
      </c>
      <c r="M892" s="257">
        <f>IF(Tabla1[[#This Row],[Avance_km]]&lt;&gt;"",Tabla1[[#This Row],[Avance_km]],Tabla1[[#This Row],[Avance_Med]])*_xlfn.XLOOKUP(Tabla1[[#This Row],[Codigo_actividad]],Catalogo!$B$6:$B$57,Catalogo!$F$6:$F$57,0)</f>
        <v>0</v>
      </c>
      <c r="N892" s="474"/>
    </row>
    <row r="893" spans="1:14" x14ac:dyDescent="0.25">
      <c r="A893" s="350"/>
      <c r="B893" s="196" t="s">
        <v>29</v>
      </c>
      <c r="C893" s="197" t="s">
        <v>411</v>
      </c>
      <c r="D893" s="198"/>
      <c r="E893" s="372" t="s">
        <v>539</v>
      </c>
      <c r="F893" s="28"/>
      <c r="G893" s="28"/>
      <c r="H893" s="220">
        <f>+(Catalogo!$J$56)*Tabla1[[#This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4" t="s">
        <v>555</v>
      </c>
      <c r="M893" s="257">
        <f>IF(Tabla1[[#This Row],[Avance_km]]&lt;&gt;"",Tabla1[[#This Row],[Avance_km]],Tabla1[[#This Row],[Avance_Med]])*_xlfn.XLOOKUP(Tabla1[[#This Row],[Codigo_actividad]],Catalogo!$B$6:$B$57,Catalogo!$F$6:$F$57,0)</f>
        <v>0</v>
      </c>
      <c r="N893" s="474"/>
    </row>
    <row r="894" spans="1:14" x14ac:dyDescent="0.25">
      <c r="A894" s="350"/>
      <c r="B894" s="196" t="s">
        <v>12</v>
      </c>
      <c r="C894" s="197" t="s">
        <v>560</v>
      </c>
      <c r="D894" s="198"/>
      <c r="E894" s="372" t="s">
        <v>539</v>
      </c>
      <c r="F894" s="28"/>
      <c r="G894" s="28"/>
      <c r="H894" s="220">
        <f>+(Catalogo!$J$56)*Tabla1[[#This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4" t="s">
        <v>555</v>
      </c>
      <c r="M894" s="257">
        <f>IF(Tabla1[[#This Row],[Avance_km]]&lt;&gt;"",Tabla1[[#This Row],[Avance_km]],Tabla1[[#This Row],[Avance_Med]])*_xlfn.XLOOKUP(Tabla1[[#This Row],[Codigo_actividad]],Catalogo!$B$6:$B$57,Catalogo!$F$6:$F$57,0)</f>
        <v>0</v>
      </c>
      <c r="N894" s="474"/>
    </row>
    <row r="895" spans="1:14" x14ac:dyDescent="0.25">
      <c r="A895" s="350"/>
      <c r="B895" s="196" t="s">
        <v>29</v>
      </c>
      <c r="C895" s="197" t="s">
        <v>560</v>
      </c>
      <c r="D895" s="198"/>
      <c r="E895" s="372" t="s">
        <v>539</v>
      </c>
      <c r="F895" s="28"/>
      <c r="G895" s="28"/>
      <c r="H895" s="220">
        <f>+(Catalogo!$J$56)*Tabla1[[#This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4" t="s">
        <v>555</v>
      </c>
      <c r="M895" s="257">
        <f>IF(Tabla1[[#This Row],[Avance_km]]&lt;&gt;"",Tabla1[[#This Row],[Avance_km]],Tabla1[[#This Row],[Avance_Med]])*_xlfn.XLOOKUP(Tabla1[[#This Row],[Codigo_actividad]],Catalogo!$B$6:$B$57,Catalogo!$F$6:$F$57,0)</f>
        <v>0</v>
      </c>
      <c r="N895" s="474"/>
    </row>
    <row r="896" spans="1:14" x14ac:dyDescent="0.25">
      <c r="A896" s="350"/>
      <c r="B896" s="114"/>
      <c r="C896" s="152"/>
      <c r="D896" s="39"/>
      <c r="F896" s="28"/>
      <c r="G896" s="28"/>
      <c r="H896" s="366" t="str">
        <f>IF(Tabla1[[#This Row],[Codigo_actividad]]&lt;&gt;2.5,IF(((Tabla1[[#This Row],[fin]]-Tabla1[[#This Row],[inicio]])/1000)=0,"",((Tabla1[[#This Row],[fin]]-Tabla1[[#This Row],[inicio]])/1000)),"")</f>
        <v/>
      </c>
      <c r="I896"/>
      <c r="J896" s="76"/>
      <c r="K896" s="76" t="str">
        <f>IF(_xlfn.XLOOKUP($J896,Catalogo!$B$7:$B$21,Catalogo!$I$7:$I$21,"",0)=0,"",_xlfn.XLOOKUP($J896,Catalogo!$B$7:$B$21,Catalogo!$I$7:$I$21,"",0))</f>
        <v/>
      </c>
      <c r="L896" s="134"/>
      <c r="M896" s="257"/>
    </row>
    <row r="897" spans="1:14" x14ac:dyDescent="0.25">
      <c r="A897" s="350"/>
      <c r="B897" s="196" t="s">
        <v>12</v>
      </c>
      <c r="C897" s="197" t="s">
        <v>329</v>
      </c>
      <c r="D897" s="198"/>
      <c r="E897" s="372" t="s">
        <v>540</v>
      </c>
      <c r="F897" s="28"/>
      <c r="G897" s="28"/>
      <c r="H897" s="220">
        <f>+(Catalogo!$J$57)*Tabla1[[#This Row],[Observaciones]]</f>
        <v>0</v>
      </c>
      <c r="J897" s="76">
        <v>2.4</v>
      </c>
      <c r="K897" s="66" t="str">
        <f>IF(_xlfn.XLOOKUP($J897,Catalogo!$B$7:$B$210,Catalogo!$I$7:$I$210,"",0)=0,"",_xlfn.XLOOKUP($J897,Catalogo!$B$7:$B$210,Catalogo!$I$7:$I$210,"",0))</f>
        <v>PCM</v>
      </c>
      <c r="L897" s="134" t="s">
        <v>556</v>
      </c>
      <c r="M897" s="257">
        <f>IF(Tabla1[[#This Row],[Avance_km]]&lt;&gt;"",Tabla1[[#This Row],[Avance_km]],Tabla1[[#This Row],[Avance_Med]])*_xlfn.XLOOKUP(Tabla1[[#This Row],[Codigo_actividad]],Catalogo!$B$6:$B$57,Catalogo!$F$6:$F$57,0)</f>
        <v>0</v>
      </c>
      <c r="N897" s="474"/>
    </row>
    <row r="898" spans="1:14" x14ac:dyDescent="0.25">
      <c r="A898" s="350"/>
      <c r="B898" s="196" t="s">
        <v>29</v>
      </c>
      <c r="C898" s="197" t="s">
        <v>411</v>
      </c>
      <c r="D898" s="198"/>
      <c r="E898" s="372" t="s">
        <v>540</v>
      </c>
      <c r="F898" s="28"/>
      <c r="G898" s="28"/>
      <c r="H898" s="220">
        <f>+(Catalogo!$J$57)*Tabla1[[#This Row],[Observaciones]]</f>
        <v>0</v>
      </c>
      <c r="J898" s="76">
        <v>2.4</v>
      </c>
      <c r="K898" s="66" t="str">
        <f>IF(_xlfn.XLOOKUP($J898,Catalogo!$B$7:$B$210,Catalogo!$I$7:$I$210,"",0)=0,"",_xlfn.XLOOKUP($J898,Catalogo!$B$7:$B$210,Catalogo!$I$7:$I$210,"",0))</f>
        <v>PCM</v>
      </c>
      <c r="L898" s="134" t="s">
        <v>556</v>
      </c>
      <c r="M898" s="257">
        <f>IF(Tabla1[[#This Row],[Avance_km]]&lt;&gt;"",Tabla1[[#This Row],[Avance_km]],Tabla1[[#This Row],[Avance_Med]])*_xlfn.XLOOKUP(Tabla1[[#This Row],[Codigo_actividad]],Catalogo!$B$6:$B$57,Catalogo!$F$6:$F$57,0)</f>
        <v>0</v>
      </c>
      <c r="N898" s="474"/>
    </row>
    <row r="899" spans="1:14" x14ac:dyDescent="0.25">
      <c r="A899" s="350"/>
      <c r="B899" s="196" t="s">
        <v>12</v>
      </c>
      <c r="C899" s="197" t="s">
        <v>329</v>
      </c>
      <c r="D899" s="198"/>
      <c r="E899" s="372" t="s">
        <v>540</v>
      </c>
      <c r="F899" s="28"/>
      <c r="G899" s="28"/>
      <c r="H899" s="220">
        <f>+(Catalogo!$J$57)*Tabla1[[#This Row],[Observaciones]]</f>
        <v>0</v>
      </c>
      <c r="J899" s="76">
        <v>2.4</v>
      </c>
      <c r="K899" s="66" t="str">
        <f>IF(_xlfn.XLOOKUP($J899,Catalogo!$B$7:$B$210,Catalogo!$I$7:$I$210,"",0)=0,"",_xlfn.XLOOKUP($J899,Catalogo!$B$7:$B$210,Catalogo!$I$7:$I$210,"",0))</f>
        <v>PCM</v>
      </c>
      <c r="L899" s="134" t="s">
        <v>556</v>
      </c>
      <c r="M899" s="257">
        <f>IF(Tabla1[[#This Row],[Avance_km]]&lt;&gt;"",Tabla1[[#This Row],[Avance_km]],Tabla1[[#This Row],[Avance_Med]])*_xlfn.XLOOKUP(Tabla1[[#This Row],[Codigo_actividad]],Catalogo!$B$6:$B$57,Catalogo!$F$6:$F$57,0)</f>
        <v>0</v>
      </c>
      <c r="N899" s="474"/>
    </row>
    <row r="900" spans="1:14" x14ac:dyDescent="0.25">
      <c r="A900" s="350"/>
      <c r="B900" s="196" t="s">
        <v>29</v>
      </c>
      <c r="C900" s="197" t="s">
        <v>411</v>
      </c>
      <c r="D900" s="198"/>
      <c r="E900" s="372" t="s">
        <v>540</v>
      </c>
      <c r="F900" s="28"/>
      <c r="G900" s="28"/>
      <c r="H900" s="220">
        <f>+(Catalogo!$J$57)*Tabla1[[#This Row],[Observaciones]]</f>
        <v>0</v>
      </c>
      <c r="J900" s="76">
        <v>2.4</v>
      </c>
      <c r="K900" s="66" t="str">
        <f>IF(_xlfn.XLOOKUP($J900,Catalogo!$B$7:$B$210,Catalogo!$I$7:$I$210,"",0)=0,"",_xlfn.XLOOKUP($J900,Catalogo!$B$7:$B$210,Catalogo!$I$7:$I$210,"",0))</f>
        <v>PCM</v>
      </c>
      <c r="L900" s="134" t="s">
        <v>556</v>
      </c>
      <c r="M900" s="257">
        <f>IF(Tabla1[[#This Row],[Avance_km]]&lt;&gt;"",Tabla1[[#This Row],[Avance_km]],Tabla1[[#This Row],[Avance_Med]])*_xlfn.XLOOKUP(Tabla1[[#This Row],[Codigo_actividad]],Catalogo!$B$6:$B$57,Catalogo!$F$6:$F$57,0)</f>
        <v>0</v>
      </c>
      <c r="N900" s="474"/>
    </row>
    <row r="901" spans="1:14" x14ac:dyDescent="0.25">
      <c r="A901" s="350"/>
      <c r="B901" s="196" t="s">
        <v>12</v>
      </c>
      <c r="C901" s="197" t="s">
        <v>560</v>
      </c>
      <c r="D901" s="198"/>
      <c r="E901" s="372" t="s">
        <v>540</v>
      </c>
      <c r="F901" s="28"/>
      <c r="G901" s="28"/>
      <c r="H901" s="220">
        <f>+(Catalogo!$J$57)*Tabla1[[#This Row],[Observaciones]]</f>
        <v>0</v>
      </c>
      <c r="J901" s="76">
        <v>2.4</v>
      </c>
      <c r="K901" s="66" t="str">
        <f>IF(_xlfn.XLOOKUP($J901,Catalogo!$B$7:$B$210,Catalogo!$I$7:$I$210,"",0)=0,"",_xlfn.XLOOKUP($J901,Catalogo!$B$7:$B$210,Catalogo!$I$7:$I$210,"",0))</f>
        <v>PCM</v>
      </c>
      <c r="L901" s="134" t="s">
        <v>556</v>
      </c>
      <c r="M901" s="257">
        <f>IF(Tabla1[[#This Row],[Avance_km]]&lt;&gt;"",Tabla1[[#This Row],[Avance_km]],Tabla1[[#This Row],[Avance_Med]])*_xlfn.XLOOKUP(Tabla1[[#This Row],[Codigo_actividad]],Catalogo!$B$6:$B$57,Catalogo!$F$6:$F$57,0)</f>
        <v>0</v>
      </c>
      <c r="N901" s="474"/>
    </row>
    <row r="902" spans="1:14" x14ac:dyDescent="0.25">
      <c r="A902" s="350"/>
      <c r="B902" s="196" t="s">
        <v>29</v>
      </c>
      <c r="C902" s="197" t="s">
        <v>560</v>
      </c>
      <c r="D902" s="198"/>
      <c r="E902" s="372" t="s">
        <v>540</v>
      </c>
      <c r="F902" s="28"/>
      <c r="G902" s="28"/>
      <c r="H902" s="220">
        <f>+(Catalogo!$J$57)*Tabla1[[#This Row],[Observaciones]]</f>
        <v>0</v>
      </c>
      <c r="J902" s="76">
        <v>2.4</v>
      </c>
      <c r="K902" s="66" t="str">
        <f>IF(_xlfn.XLOOKUP($J902,Catalogo!$B$7:$B$210,Catalogo!$I$7:$I$210,"",0)=0,"",_xlfn.XLOOKUP($J902,Catalogo!$B$7:$B$210,Catalogo!$I$7:$I$210,"",0))</f>
        <v>PCM</v>
      </c>
      <c r="L902" s="134" t="s">
        <v>556</v>
      </c>
      <c r="M902" s="257">
        <f>IF(Tabla1[[#This Row],[Avance_km]]&lt;&gt;"",Tabla1[[#This Row],[Avance_km]],Tabla1[[#This Row],[Avance_Med]])*_xlfn.XLOOKUP(Tabla1[[#This Row],[Codigo_actividad]],Catalogo!$B$6:$B$57,Catalogo!$F$6:$F$57,0)</f>
        <v>0</v>
      </c>
      <c r="N902" s="474"/>
    </row>
    <row r="903" spans="1:14" x14ac:dyDescent="0.25">
      <c r="A903" s="350"/>
      <c r="B903" s="114"/>
      <c r="C903" s="152"/>
      <c r="D903" s="39"/>
      <c r="F903" s="28"/>
      <c r="G903" s="28"/>
      <c r="H903" s="220" t="str">
        <f>IF(Tabla1[[#This Row],[Codigo_actividad]]&lt;&gt;2.5,IF(((Tabla1[[#This Row],[fin]]-Tabla1[[#This Row],[inicio]])/1000)=0,"",((Tabla1[[#This Row],[fin]]-Tabla1[[#This Row],[inicio]])/1000)),"")</f>
        <v/>
      </c>
      <c r="J903" s="76"/>
      <c r="K903" s="66" t="str">
        <f>IF(_xlfn.XLOOKUP($J903,Catalogo!$B$7:$B$21,Catalogo!$I$7:$I$21,"",0)=0,"",_xlfn.XLOOKUP($J903,Catalogo!$B$7:$B$21,Catalogo!$I$7:$I$21,"",0))</f>
        <v/>
      </c>
      <c r="L903" s="36"/>
      <c r="M903" s="257">
        <f>IF(Tabla1[[#This Row],[Avance_km]]&lt;&gt;"",Tabla1[[#This Row],[Avance_km]],Tabla1[[#This Row],[Avance_Med]])*_xlfn.XLOOKUP(Tabla1[[#This Row],[Codigo_actividad]],Catalogo!$B$6:$B$51,Catalogo!$F$6:$F$51,0)</f>
        <v>0</v>
      </c>
      <c r="N903" t="str">
        <f>_xlfn.IFNA(_xlfn.XLOOKUP(Tabla1[[#This Row],[fin]],$P$379:$P$398,$T$379:$T$398),"")</f>
        <v/>
      </c>
    </row>
    <row r="904" spans="1:14" x14ac:dyDescent="0.25">
      <c r="A904" s="355"/>
      <c r="B904" s="279"/>
      <c r="C904" s="280"/>
      <c r="D904" s="281"/>
      <c r="E904" s="376"/>
      <c r="F904" s="282"/>
      <c r="G904" s="282"/>
      <c r="H904" s="511" t="str">
        <f>IF(Tabla1[[#This Row],[Codigo_actividad]]&lt;&gt;2.5,IF(((Tabla1[[#This Row],[fin]]-Tabla1[[#This Row],[inicio]])/1000)=0,"",((Tabla1[[#This Row],[fin]]-Tabla1[[#This Row],[inicio]])/1000)),"")</f>
        <v/>
      </c>
      <c r="I904" s="515"/>
      <c r="J904" s="512"/>
      <c r="K904" s="512" t="str">
        <f>IF(_xlfn.XLOOKUP($J904,Catalogo!$B$7:$B$21,Catalogo!$I$7:$I$21,"",0)=0,"",_xlfn.XLOOKUP($J904,Catalogo!$B$7:$B$21,Catalogo!$I$7:$I$21,"",0))</f>
        <v/>
      </c>
      <c r="L904" s="513"/>
      <c r="M904" s="514">
        <f>IF(Tabla1[[#This Row],[Avance_km]]&lt;&gt;"",Tabla1[[#This Row],[Avance_km]],Tabla1[[#This Row],[Avance_Med]])*_xlfn.XLOOKUP(Tabla1[[#This Row],[Codigo_actividad]],Catalogo!$B$6:$B$51,Catalogo!$F$6:$F$51,0)</f>
        <v>0</v>
      </c>
      <c r="N904" s="515" t="str">
        <f>_xlfn.IFNA(_xlfn.XLOOKUP(Tabla1[[#This Row],[fin]],$P$379:$P$398,$T$379:$T$398),"")</f>
        <v/>
      </c>
    </row>
    <row r="905" spans="1:14" x14ac:dyDescent="0.25">
      <c r="A905" s="350"/>
      <c r="B905" s="114"/>
      <c r="C905" s="152"/>
      <c r="D905" s="39"/>
      <c r="F905" s="28"/>
      <c r="G905" s="28"/>
      <c r="H905" s="220" t="str">
        <f>IF(Tabla1[[#This Row],[Codigo_actividad]]&lt;&gt;2.5,IF(((Tabla1[[#This Row],[fin]]-Tabla1[[#This Row],[inicio]])/1000)=0,"",((Tabla1[[#This Row],[fin]]-Tabla1[[#This Row],[inicio]])/1000)),"")</f>
        <v/>
      </c>
      <c r="J905" s="76"/>
      <c r="K905" s="66" t="str">
        <f>IF(_xlfn.XLOOKUP($J905,Catalogo!$B$7:$B$21,Catalogo!$I$7:$I$21,"",0)=0,"",_xlfn.XLOOKUP($J905,Catalogo!$B$7:$B$21,Catalogo!$I$7:$I$21,"",0))</f>
        <v/>
      </c>
      <c r="L905" s="36"/>
      <c r="M905" s="257">
        <f>IF(Tabla1[[#This Row],[Avance_km]]&lt;&gt;"",Tabla1[[#This Row],[Avance_km]],Tabla1[[#This Row],[Avance_Med]])*_xlfn.XLOOKUP(Tabla1[[#This Row],[Codigo_actividad]],Catalogo!$B$6:$B$51,Catalogo!$F$6:$F$51,0)</f>
        <v>0</v>
      </c>
      <c r="N905" t="str">
        <f>_xlfn.IFNA(_xlfn.XLOOKUP(Tabla1[[#This Row],[fin]],$P$379:$P$398,$T$379:$T$398),"")</f>
        <v/>
      </c>
    </row>
    <row r="906" spans="1:14" x14ac:dyDescent="0.25">
      <c r="A906" s="350">
        <v>46294</v>
      </c>
      <c r="B906" s="114" t="s">
        <v>589</v>
      </c>
      <c r="C906" s="152" t="s">
        <v>13</v>
      </c>
      <c r="D906" s="502" t="s">
        <v>595</v>
      </c>
      <c r="E906" s="40" t="s">
        <v>588</v>
      </c>
      <c r="F906" s="489" t="s">
        <v>171</v>
      </c>
      <c r="G906" s="489" t="s">
        <v>171</v>
      </c>
      <c r="H906" s="498">
        <f>+Catalogo!$J$58*Tabla1[[#This Row],[Observaciones]]</f>
        <v>1.4028035349744601</v>
      </c>
      <c r="I906" s="66"/>
      <c r="J906" s="76">
        <v>2.4</v>
      </c>
      <c r="K906" s="66" t="str">
        <f>IF(_xlfn.XLOOKUP($J906,Catalogo!$B$7:$B$21,Catalogo!$I$7:$I$21,"",0)=0,"",_xlfn.XLOOKUP($J906,Catalogo!$B$7:$B$21,Catalogo!$I$7:$I$21,"",0))</f>
        <v>PCM</v>
      </c>
      <c r="L906" s="36"/>
      <c r="M906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6" s="501">
        <v>1</v>
      </c>
    </row>
    <row r="907" spans="1:14" x14ac:dyDescent="0.25">
      <c r="A907" s="350">
        <v>46294</v>
      </c>
      <c r="B907" s="114" t="s">
        <v>589</v>
      </c>
      <c r="C907" s="152" t="s">
        <v>13</v>
      </c>
      <c r="D907" s="502" t="s">
        <v>42</v>
      </c>
      <c r="E907" s="40" t="s">
        <v>588</v>
      </c>
      <c r="F907" s="489" t="s">
        <v>171</v>
      </c>
      <c r="G907" s="489" t="s">
        <v>171</v>
      </c>
      <c r="H907" s="498">
        <f>+Catalogo!$J$58*Tabla1[[#This Row],[Observaciones]]</f>
        <v>1.4028035349744601</v>
      </c>
      <c r="I907" s="66"/>
      <c r="J907" s="76">
        <v>2.4</v>
      </c>
      <c r="K907" s="66" t="str">
        <f>IF(_xlfn.XLOOKUP($J907,Catalogo!$B$7:$B$21,Catalogo!$I$7:$I$21,"",0)=0,"",_xlfn.XLOOKUP($J907,Catalogo!$B$7:$B$21,Catalogo!$I$7:$I$21,"",0))</f>
        <v>PCM</v>
      </c>
      <c r="L907" s="36"/>
      <c r="M907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7" s="501">
        <v>1</v>
      </c>
    </row>
    <row r="908" spans="1:14" x14ac:dyDescent="0.25">
      <c r="A908" s="350">
        <v>46294</v>
      </c>
      <c r="B908" s="114" t="s">
        <v>589</v>
      </c>
      <c r="C908" s="152" t="s">
        <v>411</v>
      </c>
      <c r="D908" s="502" t="s">
        <v>605</v>
      </c>
      <c r="E908" s="40" t="s">
        <v>588</v>
      </c>
      <c r="F908" s="489" t="s">
        <v>171</v>
      </c>
      <c r="G908" s="489" t="s">
        <v>171</v>
      </c>
      <c r="H908" s="498">
        <f>+Catalogo!$J$58*Tabla1[[#This Row],[Observaciones]]</f>
        <v>1.4028035349744601</v>
      </c>
      <c r="I908" s="66"/>
      <c r="J908" s="76">
        <v>2.4</v>
      </c>
      <c r="K908" s="66" t="str">
        <f>IF(_xlfn.XLOOKUP($J908,Catalogo!$B$7:$B$21,Catalogo!$I$7:$I$21,"",0)=0,"",_xlfn.XLOOKUP($J908,Catalogo!$B$7:$B$21,Catalogo!$I$7:$I$21,"",0))</f>
        <v>PCM</v>
      </c>
      <c r="L908" s="36"/>
      <c r="M908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8" s="501">
        <v>1</v>
      </c>
    </row>
    <row r="909" spans="1:14" x14ac:dyDescent="0.25">
      <c r="A909" s="350">
        <v>46297</v>
      </c>
      <c r="B909" s="114" t="s">
        <v>589</v>
      </c>
      <c r="C909" s="152" t="s">
        <v>329</v>
      </c>
      <c r="D909" s="503" t="s">
        <v>600</v>
      </c>
      <c r="E909" s="40" t="s">
        <v>588</v>
      </c>
      <c r="F909" s="489" t="s">
        <v>171</v>
      </c>
      <c r="G909" s="489" t="s">
        <v>171</v>
      </c>
      <c r="H909" s="498">
        <f>+Catalogo!$J$58*Tabla1[[#This Row],[Observaciones]]</f>
        <v>1.4028035349744601</v>
      </c>
      <c r="I909" s="66"/>
      <c r="J909" s="76">
        <v>2.4</v>
      </c>
      <c r="K909" s="66" t="str">
        <f>IF(_xlfn.XLOOKUP($J909,Catalogo!$B$7:$B$21,Catalogo!$I$7:$I$21,"",0)=0,"",_xlfn.XLOOKUP($J909,Catalogo!$B$7:$B$21,Catalogo!$I$7:$I$21,"",0))</f>
        <v>PCM</v>
      </c>
      <c r="L909" s="36"/>
      <c r="M909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9" s="501">
        <v>1</v>
      </c>
    </row>
    <row r="910" spans="1:14" x14ac:dyDescent="0.25">
      <c r="A910" s="350">
        <v>46296</v>
      </c>
      <c r="B910" s="114" t="s">
        <v>589</v>
      </c>
      <c r="C910" s="152" t="s">
        <v>329</v>
      </c>
      <c r="D910" s="503" t="s">
        <v>603</v>
      </c>
      <c r="E910" s="40" t="s">
        <v>588</v>
      </c>
      <c r="F910" s="489" t="s">
        <v>171</v>
      </c>
      <c r="G910" s="489" t="s">
        <v>171</v>
      </c>
      <c r="H910" s="498">
        <f>+Catalogo!$J$58*Tabla1[[#This Row],[Observaciones]]</f>
        <v>1.4028035349744601</v>
      </c>
      <c r="I910" s="66"/>
      <c r="J910" s="76">
        <v>2.4</v>
      </c>
      <c r="K910" s="66" t="str">
        <f>IF(_xlfn.XLOOKUP($J910,Catalogo!$B$7:$B$21,Catalogo!$I$7:$I$21,"",0)=0,"",_xlfn.XLOOKUP($J910,Catalogo!$B$7:$B$21,Catalogo!$I$7:$I$21,"",0))</f>
        <v>PCM</v>
      </c>
      <c r="L910" s="36"/>
      <c r="M910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0" s="501">
        <v>1</v>
      </c>
    </row>
    <row r="911" spans="1:14" x14ac:dyDescent="0.25">
      <c r="A911" s="350">
        <v>46296</v>
      </c>
      <c r="B911" s="114" t="s">
        <v>589</v>
      </c>
      <c r="C911" s="152" t="s">
        <v>536</v>
      </c>
      <c r="D911" s="503" t="s">
        <v>607</v>
      </c>
      <c r="E911" s="40" t="s">
        <v>588</v>
      </c>
      <c r="F911" s="489" t="s">
        <v>171</v>
      </c>
      <c r="G911" s="489" t="s">
        <v>171</v>
      </c>
      <c r="H911" s="498">
        <f>+Catalogo!$J$58*Tabla1[[#This Row],[Observaciones]]</f>
        <v>1.4028035349744601</v>
      </c>
      <c r="I911" s="66"/>
      <c r="J911" s="76">
        <v>2.4</v>
      </c>
      <c r="K911" s="66" t="str">
        <f>IF(_xlfn.XLOOKUP($J911,Catalogo!$B$7:$B$21,Catalogo!$I$7:$I$21,"",0)=0,"",_xlfn.XLOOKUP($J911,Catalogo!$B$7:$B$21,Catalogo!$I$7:$I$21,"",0))</f>
        <v>PCM</v>
      </c>
      <c r="L911" s="36"/>
      <c r="M911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1" s="501">
        <v>1</v>
      </c>
    </row>
    <row r="912" spans="1:14" x14ac:dyDescent="0.25">
      <c r="A912" s="350">
        <v>46297</v>
      </c>
      <c r="B912" s="114" t="s">
        <v>589</v>
      </c>
      <c r="C912" s="152" t="s">
        <v>536</v>
      </c>
      <c r="D912" s="503" t="s">
        <v>610</v>
      </c>
      <c r="E912" s="40" t="s">
        <v>588</v>
      </c>
      <c r="F912" s="489" t="s">
        <v>171</v>
      </c>
      <c r="G912" s="489" t="s">
        <v>171</v>
      </c>
      <c r="H912" s="498">
        <f>+Catalogo!$J$58*Tabla1[[#This Row],[Observaciones]]</f>
        <v>1.4028035349744601</v>
      </c>
      <c r="I912" s="66"/>
      <c r="J912" s="76">
        <v>2.4</v>
      </c>
      <c r="K912" s="66" t="str">
        <f>IF(_xlfn.XLOOKUP($J912,Catalogo!$B$7:$B$21,Catalogo!$I$7:$I$21,"",0)=0,"",_xlfn.XLOOKUP($J912,Catalogo!$B$7:$B$21,Catalogo!$I$7:$I$21,"",0))</f>
        <v>PCM</v>
      </c>
      <c r="L912" s="36"/>
      <c r="M912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2" s="501">
        <v>1</v>
      </c>
    </row>
    <row r="913" spans="1:14" x14ac:dyDescent="0.25">
      <c r="A913" s="350"/>
      <c r="B913" s="114"/>
      <c r="C913" s="152"/>
      <c r="D913" s="39"/>
      <c r="F913" s="28"/>
      <c r="G913" s="28"/>
      <c r="H913" s="220" t="str">
        <f>IF(Tabla1[[#This Row],[Codigo_actividad]]&lt;&gt;2.5,IF(((Tabla1[[#This Row],[fin]]-Tabla1[[#This Row],[inicio]])/1000)=0,"",((Tabla1[[#This Row],[fin]]-Tabla1[[#This Row],[inicio]])/1000)),"")</f>
        <v/>
      </c>
      <c r="J913" s="76"/>
      <c r="K913" s="66" t="str">
        <f>IF(_xlfn.XLOOKUP($J913,Catalogo!$B$7:$B$21,Catalogo!$I$7:$I$21,"",0)=0,"",_xlfn.XLOOKUP($J913,Catalogo!$B$7:$B$21,Catalogo!$I$7:$I$21,"",0))</f>
        <v/>
      </c>
      <c r="L913" s="36"/>
      <c r="M913" s="257">
        <f>IF(Tabla1[[#This Row],[Avance_km]]&lt;&gt;"",Tabla1[[#This Row],[Avance_km]],Tabla1[[#This Row],[Avance_Med]])*_xlfn.XLOOKUP(Tabla1[[#This Row],[Codigo_actividad]],Catalogo!$B$6:$B$51,Catalogo!$F$6:$F$51,0)</f>
        <v>0</v>
      </c>
      <c r="N913" t="str">
        <f>_xlfn.IFNA(_xlfn.XLOOKUP(Tabla1[[#This Row],[fin]],$P$379:$P$398,$T$379:$T$398),"")</f>
        <v/>
      </c>
    </row>
    <row r="914" spans="1:14" x14ac:dyDescent="0.25">
      <c r="A914" s="355"/>
      <c r="B914" s="279"/>
      <c r="C914" s="280"/>
      <c r="D914" s="281"/>
      <c r="E914" s="376"/>
      <c r="F914" s="282"/>
      <c r="G914" s="282"/>
      <c r="H914" s="511" t="str">
        <f>IF(Tabla1[[#This Row],[Codigo_actividad]]&lt;&gt;2.5,IF(((Tabla1[[#This Row],[fin]]-Tabla1[[#This Row],[inicio]])/1000)=0,"",((Tabla1[[#This Row],[fin]]-Tabla1[[#This Row],[inicio]])/1000)),"")</f>
        <v/>
      </c>
      <c r="I914" s="515"/>
      <c r="J914" s="512"/>
      <c r="K914" s="512" t="str">
        <f>IF(_xlfn.XLOOKUP($J914,Catalogo!$B$7:$B$21,Catalogo!$I$7:$I$21,"",0)=0,"",_xlfn.XLOOKUP($J914,Catalogo!$B$7:$B$21,Catalogo!$I$7:$I$21,"",0))</f>
        <v/>
      </c>
      <c r="L914" s="513"/>
      <c r="M914" s="514">
        <f>IF(Tabla1[[#This Row],[Avance_km]]&lt;&gt;"",Tabla1[[#This Row],[Avance_km]],Tabla1[[#This Row],[Avance_Med]])*_xlfn.XLOOKUP(Tabla1[[#This Row],[Codigo_actividad]],Catalogo!$B$6:$B$51,Catalogo!$F$6:$F$51,0)</f>
        <v>0</v>
      </c>
      <c r="N914" s="515" t="str">
        <f>_xlfn.IFNA(_xlfn.XLOOKUP(Tabla1[[#This Row],[fin]],$P$379:$P$398,$T$379:$T$398),"")</f>
        <v/>
      </c>
    </row>
    <row r="915" spans="1:14" x14ac:dyDescent="0.25">
      <c r="A915" s="350"/>
      <c r="C915" s="152"/>
      <c r="D915" s="39"/>
      <c r="F915" s="28"/>
      <c r="G915" s="28"/>
      <c r="H915" s="220" t="str">
        <f>IF(Tabla1[[#This Row],[Codigo_actividad]]&lt;&gt;2.5,IF(((Tabla1[[#This Row],[fin]]-Tabla1[[#This Row],[inicio]])/1000)=0,"",((Tabla1[[#This Row],[fin]]-Tabla1[[#This Row],[inicio]])/1000)),"")</f>
        <v/>
      </c>
      <c r="J915" s="76"/>
      <c r="K915" s="66" t="str">
        <f>IF(_xlfn.XLOOKUP($J915,Catalogo!$B$7:$B$210,Catalogo!$I$7:$I$210,"",0)=0,"",_xlfn.XLOOKUP($J915,Catalogo!$B$7:$B$210,Catalogo!$I$7:$I$210,"",0))</f>
        <v/>
      </c>
      <c r="L915" s="36"/>
      <c r="M91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16" spans="1:14" x14ac:dyDescent="0.25">
      <c r="A916" s="352">
        <v>46111</v>
      </c>
      <c r="B916" s="258" t="s">
        <v>410</v>
      </c>
      <c r="C916" s="259" t="s">
        <v>13</v>
      </c>
      <c r="D916" s="260" t="s">
        <v>403</v>
      </c>
      <c r="E916" s="373" t="s">
        <v>404</v>
      </c>
      <c r="F916" s="261"/>
      <c r="G916" s="261"/>
      <c r="H916" s="220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37</v>
      </c>
      <c r="J916" s="76">
        <v>1.1000000000000001</v>
      </c>
      <c r="K916" s="66" t="str">
        <f>IF(_xlfn.XLOOKUP($J916,Catalogo!$B$7:$B$210,Catalogo!$I$7:$I$210,"",0)=0,"",_xlfn.XLOOKUP($J916,Catalogo!$B$7:$B$210,Catalogo!$I$7:$I$210,"",0))</f>
        <v>RECOPILACION</v>
      </c>
      <c r="L916" s="36"/>
      <c r="M916" s="257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7" spans="1:14" x14ac:dyDescent="0.25">
      <c r="A917" s="352">
        <v>46111</v>
      </c>
      <c r="B917" s="258" t="s">
        <v>410</v>
      </c>
      <c r="C917" s="259" t="s">
        <v>13</v>
      </c>
      <c r="D917" s="260" t="s">
        <v>403</v>
      </c>
      <c r="E917" s="373" t="s">
        <v>405</v>
      </c>
      <c r="F917" s="261"/>
      <c r="G917" s="261"/>
      <c r="H917" s="220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37</v>
      </c>
      <c r="J917" s="76">
        <v>1.2</v>
      </c>
      <c r="K917" s="66" t="str">
        <f>IF(_xlfn.XLOOKUP($J917,Catalogo!$B$7:$B$210,Catalogo!$I$7:$I$210,"",0)=0,"",_xlfn.XLOOKUP($J917,Catalogo!$B$7:$B$210,Catalogo!$I$7:$I$210,"",0))</f>
        <v>ANALISIS</v>
      </c>
      <c r="L917" s="36"/>
      <c r="M917" s="257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8" spans="1:14" x14ac:dyDescent="0.25">
      <c r="A918" s="352">
        <v>46111</v>
      </c>
      <c r="B918" s="258" t="s">
        <v>410</v>
      </c>
      <c r="C918" s="259" t="s">
        <v>13</v>
      </c>
      <c r="D918" s="260" t="s">
        <v>403</v>
      </c>
      <c r="E918" s="373" t="s">
        <v>406</v>
      </c>
      <c r="F918" s="261"/>
      <c r="G918" s="261"/>
      <c r="H918" s="220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37</v>
      </c>
      <c r="J918" s="76">
        <v>1.3</v>
      </c>
      <c r="K918" s="66" t="str">
        <f>IF(_xlfn.XLOOKUP($J918,Catalogo!$B$7:$B$210,Catalogo!$I$7:$I$210,"",0)=0,"",_xlfn.XLOOKUP($J918,Catalogo!$B$7:$B$210,Catalogo!$I$7:$I$210,"",0))</f>
        <v>FACTIBILIDAD</v>
      </c>
      <c r="L918" s="36"/>
      <c r="M918" s="257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9" spans="1:14" x14ac:dyDescent="0.25">
      <c r="A919" s="352">
        <v>46111</v>
      </c>
      <c r="B919" s="258" t="s">
        <v>410</v>
      </c>
      <c r="C919" s="259" t="s">
        <v>13</v>
      </c>
      <c r="D919" s="260" t="s">
        <v>403</v>
      </c>
      <c r="E919" s="373" t="s">
        <v>407</v>
      </c>
      <c r="F919" s="261"/>
      <c r="G919" s="261"/>
      <c r="H919" s="220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37</v>
      </c>
      <c r="J919" s="76">
        <v>1.4</v>
      </c>
      <c r="K919" s="66" t="str">
        <f>IF(_xlfn.XLOOKUP($J919,Catalogo!$B$7:$B$210,Catalogo!$I$7:$I$210,"",0)=0,"",_xlfn.XLOOKUP($J919,Catalogo!$B$7:$B$210,Catalogo!$I$7:$I$210,"",0))</f>
        <v>SELECCIÓN HERRAMIENTAS</v>
      </c>
      <c r="L919" s="36"/>
      <c r="M919" s="257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20" spans="1:14" x14ac:dyDescent="0.25">
      <c r="A920" s="352">
        <v>46111</v>
      </c>
      <c r="B920" s="258" t="s">
        <v>410</v>
      </c>
      <c r="C920" s="259" t="s">
        <v>13</v>
      </c>
      <c r="D920" s="260" t="s">
        <v>403</v>
      </c>
      <c r="E920" s="373" t="s">
        <v>408</v>
      </c>
      <c r="F920" s="261"/>
      <c r="G920" s="261"/>
      <c r="H920" s="220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37</v>
      </c>
      <c r="J920" s="76">
        <v>1.5</v>
      </c>
      <c r="K920" s="66" t="str">
        <f>IF(_xlfn.XLOOKUP($J920,Catalogo!$B$7:$B$210,Catalogo!$I$7:$I$210,"",0)=0,"",_xlfn.XLOOKUP($J920,Catalogo!$B$7:$B$210,Catalogo!$I$7:$I$210,"",0))</f>
        <v>REGIONES ECDA</v>
      </c>
      <c r="L920" s="36"/>
      <c r="M920" s="257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21" spans="1:14" x14ac:dyDescent="0.25">
      <c r="A921" s="352">
        <v>46111</v>
      </c>
      <c r="B921" s="258" t="s">
        <v>410</v>
      </c>
      <c r="C921" s="259" t="s">
        <v>13</v>
      </c>
      <c r="D921" s="260" t="s">
        <v>403</v>
      </c>
      <c r="E921" s="373" t="s">
        <v>409</v>
      </c>
      <c r="F921" s="261"/>
      <c r="G921" s="261"/>
      <c r="H921" s="220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37</v>
      </c>
      <c r="J921" s="76">
        <v>1.6</v>
      </c>
      <c r="K921" s="66" t="str">
        <f>IF(_xlfn.XLOOKUP($J921,Catalogo!$B$7:$B$210,Catalogo!$I$7:$I$210,"",0)=0,"",_xlfn.XLOOKUP($J921,Catalogo!$B$7:$B$210,Catalogo!$I$7:$I$210,"",0))</f>
        <v>REPORTE E1</v>
      </c>
      <c r="L921" s="36"/>
      <c r="M921" s="257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22" spans="1:14" x14ac:dyDescent="0.25">
      <c r="A922" s="353">
        <v>46111</v>
      </c>
      <c r="B922" s="262" t="s">
        <v>410</v>
      </c>
      <c r="C922" s="263" t="s">
        <v>22</v>
      </c>
      <c r="D922" s="264" t="s">
        <v>403</v>
      </c>
      <c r="E922" s="374" t="s">
        <v>404</v>
      </c>
      <c r="F922" s="265"/>
      <c r="G922" s="265"/>
      <c r="H922" s="220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17</v>
      </c>
      <c r="J922" s="76">
        <v>1.1000000000000001</v>
      </c>
      <c r="K922" s="66" t="str">
        <f>IF(_xlfn.XLOOKUP($J922,Catalogo!$B$7:$B$210,Catalogo!$I$7:$I$210,"",0)=0,"",_xlfn.XLOOKUP($J922,Catalogo!$B$7:$B$210,Catalogo!$I$7:$I$210,"",0))</f>
        <v>RECOPILACION</v>
      </c>
      <c r="L922" s="36"/>
      <c r="M922" s="257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23" spans="1:14" x14ac:dyDescent="0.25">
      <c r="A923" s="353">
        <v>46111</v>
      </c>
      <c r="B923" s="262" t="s">
        <v>410</v>
      </c>
      <c r="C923" s="263" t="s">
        <v>22</v>
      </c>
      <c r="D923" s="264" t="s">
        <v>403</v>
      </c>
      <c r="E923" s="374" t="s">
        <v>405</v>
      </c>
      <c r="F923" s="265"/>
      <c r="G923" s="265"/>
      <c r="H923" s="220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17</v>
      </c>
      <c r="J923" s="76">
        <v>1.2</v>
      </c>
      <c r="K923" s="66" t="str">
        <f>IF(_xlfn.XLOOKUP($J923,Catalogo!$B$7:$B$210,Catalogo!$I$7:$I$210,"",0)=0,"",_xlfn.XLOOKUP($J923,Catalogo!$B$7:$B$210,Catalogo!$I$7:$I$210,"",0))</f>
        <v>ANALISIS</v>
      </c>
      <c r="L923" s="36"/>
      <c r="M923" s="257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24" spans="1:14" x14ac:dyDescent="0.25">
      <c r="A924" s="353">
        <v>46111</v>
      </c>
      <c r="B924" s="262" t="s">
        <v>410</v>
      </c>
      <c r="C924" s="263" t="s">
        <v>22</v>
      </c>
      <c r="D924" s="264" t="s">
        <v>403</v>
      </c>
      <c r="E924" s="374" t="s">
        <v>406</v>
      </c>
      <c r="F924" s="265"/>
      <c r="G924" s="265"/>
      <c r="H924" s="220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17</v>
      </c>
      <c r="J924" s="76">
        <v>1.3</v>
      </c>
      <c r="K924" s="66" t="str">
        <f>IF(_xlfn.XLOOKUP($J924,Catalogo!$B$7:$B$210,Catalogo!$I$7:$I$210,"",0)=0,"",_xlfn.XLOOKUP($J924,Catalogo!$B$7:$B$210,Catalogo!$I$7:$I$210,"",0))</f>
        <v>FACTIBILIDAD</v>
      </c>
      <c r="L924" s="36"/>
      <c r="M924" s="257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25" spans="1:14" x14ac:dyDescent="0.25">
      <c r="A925" s="353">
        <v>46111</v>
      </c>
      <c r="B925" s="262" t="s">
        <v>410</v>
      </c>
      <c r="C925" s="263" t="s">
        <v>22</v>
      </c>
      <c r="D925" s="264" t="s">
        <v>403</v>
      </c>
      <c r="E925" s="374" t="s">
        <v>407</v>
      </c>
      <c r="F925" s="265"/>
      <c r="G925" s="265"/>
      <c r="H925" s="220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17</v>
      </c>
      <c r="J925" s="76">
        <v>1.4</v>
      </c>
      <c r="K925" s="66" t="str">
        <f>IF(_xlfn.XLOOKUP($J925,Catalogo!$B$7:$B$210,Catalogo!$I$7:$I$210,"",0)=0,"",_xlfn.XLOOKUP($J925,Catalogo!$B$7:$B$210,Catalogo!$I$7:$I$210,"",0))</f>
        <v>SELECCIÓN HERRAMIENTAS</v>
      </c>
      <c r="L925" s="36"/>
      <c r="M925" s="257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26" spans="1:14" x14ac:dyDescent="0.25">
      <c r="A926" s="353">
        <v>46111</v>
      </c>
      <c r="B926" s="262" t="s">
        <v>410</v>
      </c>
      <c r="C926" s="263" t="s">
        <v>22</v>
      </c>
      <c r="D926" s="264" t="s">
        <v>403</v>
      </c>
      <c r="E926" s="374" t="s">
        <v>408</v>
      </c>
      <c r="F926" s="265"/>
      <c r="G926" s="265"/>
      <c r="H926" s="220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17</v>
      </c>
      <c r="J926" s="76">
        <v>1.5</v>
      </c>
      <c r="K926" s="66" t="str">
        <f>IF(_xlfn.XLOOKUP($J926,Catalogo!$B$7:$B$210,Catalogo!$I$7:$I$210,"",0)=0,"",_xlfn.XLOOKUP($J926,Catalogo!$B$7:$B$210,Catalogo!$I$7:$I$210,"",0))</f>
        <v>REGIONES ECDA</v>
      </c>
      <c r="L926" s="36"/>
      <c r="M926" s="257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7" spans="1:14" x14ac:dyDescent="0.25">
      <c r="A927" s="353">
        <v>46111</v>
      </c>
      <c r="B927" s="262" t="s">
        <v>410</v>
      </c>
      <c r="C927" s="263" t="s">
        <v>22</v>
      </c>
      <c r="D927" s="264" t="s">
        <v>403</v>
      </c>
      <c r="E927" s="374" t="s">
        <v>409</v>
      </c>
      <c r="F927" s="265"/>
      <c r="G927" s="265"/>
      <c r="H927" s="220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17</v>
      </c>
      <c r="J927" s="76">
        <v>1.6</v>
      </c>
      <c r="K927" s="66" t="str">
        <f>IF(_xlfn.XLOOKUP($J927,Catalogo!$B$7:$B$210,Catalogo!$I$7:$I$210,"",0)=0,"",_xlfn.XLOOKUP($J927,Catalogo!$B$7:$B$210,Catalogo!$I$7:$I$210,"",0))</f>
        <v>REPORTE E1</v>
      </c>
      <c r="L927" s="36"/>
      <c r="M927" s="257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8" spans="1:14" x14ac:dyDescent="0.25">
      <c r="A928" s="354">
        <v>46111</v>
      </c>
      <c r="B928" s="266" t="s">
        <v>410</v>
      </c>
      <c r="C928" s="267" t="s">
        <v>329</v>
      </c>
      <c r="D928" s="268" t="s">
        <v>403</v>
      </c>
      <c r="E928" s="375" t="s">
        <v>404</v>
      </c>
      <c r="F928" s="269"/>
      <c r="G928" s="269"/>
      <c r="H928" s="220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40</v>
      </c>
      <c r="J928" s="76">
        <v>1.1000000000000001</v>
      </c>
      <c r="K928" s="66" t="str">
        <f>IF(_xlfn.XLOOKUP($J928,Catalogo!$B$7:$B$210,Catalogo!$I$7:$I$210,"",0)=0,"",_xlfn.XLOOKUP($J928,Catalogo!$B$7:$B$210,Catalogo!$I$7:$I$210,"",0))</f>
        <v>RECOPILACION</v>
      </c>
      <c r="L928" s="36"/>
      <c r="M928" s="257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9" spans="1:13" x14ac:dyDescent="0.25">
      <c r="A929" s="354">
        <v>46111</v>
      </c>
      <c r="B929" s="266" t="s">
        <v>410</v>
      </c>
      <c r="C929" s="267" t="s">
        <v>329</v>
      </c>
      <c r="D929" s="268" t="s">
        <v>403</v>
      </c>
      <c r="E929" s="375" t="s">
        <v>405</v>
      </c>
      <c r="F929" s="269"/>
      <c r="G929" s="269"/>
      <c r="H929" s="220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40</v>
      </c>
      <c r="J929" s="76">
        <v>1.2</v>
      </c>
      <c r="K929" s="66" t="str">
        <f>IF(_xlfn.XLOOKUP($J929,Catalogo!$B$7:$B$210,Catalogo!$I$7:$I$210,"",0)=0,"",_xlfn.XLOOKUP($J929,Catalogo!$B$7:$B$210,Catalogo!$I$7:$I$210,"",0))</f>
        <v>ANALISIS</v>
      </c>
      <c r="L929" s="36"/>
      <c r="M929" s="257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30" spans="1:13" x14ac:dyDescent="0.25">
      <c r="A930" s="354">
        <v>46111</v>
      </c>
      <c r="B930" s="266" t="s">
        <v>410</v>
      </c>
      <c r="C930" s="267" t="s">
        <v>329</v>
      </c>
      <c r="D930" s="268" t="s">
        <v>403</v>
      </c>
      <c r="E930" s="375" t="s">
        <v>406</v>
      </c>
      <c r="F930" s="269"/>
      <c r="G930" s="269"/>
      <c r="H930" s="220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40</v>
      </c>
      <c r="J930" s="76">
        <v>1.3</v>
      </c>
      <c r="K930" s="66" t="str">
        <f>IF(_xlfn.XLOOKUP($J930,Catalogo!$B$7:$B$210,Catalogo!$I$7:$I$210,"",0)=0,"",_xlfn.XLOOKUP($J930,Catalogo!$B$7:$B$210,Catalogo!$I$7:$I$210,"",0))</f>
        <v>FACTIBILIDAD</v>
      </c>
      <c r="L930" s="36"/>
      <c r="M930" s="257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31" spans="1:13" x14ac:dyDescent="0.25">
      <c r="A931" s="354">
        <v>46111</v>
      </c>
      <c r="B931" s="266" t="s">
        <v>410</v>
      </c>
      <c r="C931" s="267" t="s">
        <v>329</v>
      </c>
      <c r="D931" s="268" t="s">
        <v>403</v>
      </c>
      <c r="E931" s="375" t="s">
        <v>407</v>
      </c>
      <c r="F931" s="269"/>
      <c r="G931" s="269"/>
      <c r="H931" s="220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40</v>
      </c>
      <c r="J931" s="76">
        <v>1.4</v>
      </c>
      <c r="K931" s="66" t="str">
        <f>IF(_xlfn.XLOOKUP($J931,Catalogo!$B$7:$B$210,Catalogo!$I$7:$I$210,"",0)=0,"",_xlfn.XLOOKUP($J931,Catalogo!$B$7:$B$210,Catalogo!$I$7:$I$210,"",0))</f>
        <v>SELECCIÓN HERRAMIENTAS</v>
      </c>
      <c r="L931" s="36"/>
      <c r="M931" s="257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32" spans="1:13" x14ac:dyDescent="0.25">
      <c r="A932" s="354">
        <v>46111</v>
      </c>
      <c r="B932" s="266" t="s">
        <v>410</v>
      </c>
      <c r="C932" s="267" t="s">
        <v>329</v>
      </c>
      <c r="D932" s="268" t="s">
        <v>403</v>
      </c>
      <c r="E932" s="375" t="s">
        <v>408</v>
      </c>
      <c r="F932" s="269"/>
      <c r="G932" s="269"/>
      <c r="H932" s="220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40</v>
      </c>
      <c r="J932" s="76">
        <v>1.5</v>
      </c>
      <c r="K932" s="66" t="str">
        <f>IF(_xlfn.XLOOKUP($J932,Catalogo!$B$7:$B$210,Catalogo!$I$7:$I$210,"",0)=0,"",_xlfn.XLOOKUP($J932,Catalogo!$B$7:$B$210,Catalogo!$I$7:$I$210,"",0))</f>
        <v>REGIONES ECDA</v>
      </c>
      <c r="L932" s="36"/>
      <c r="M932" s="257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33" spans="1:13" x14ac:dyDescent="0.25">
      <c r="A933" s="354">
        <v>46111</v>
      </c>
      <c r="B933" s="266" t="s">
        <v>410</v>
      </c>
      <c r="C933" s="267" t="s">
        <v>329</v>
      </c>
      <c r="D933" s="268" t="s">
        <v>403</v>
      </c>
      <c r="E933" s="375" t="s">
        <v>409</v>
      </c>
      <c r="F933" s="269"/>
      <c r="G933" s="269"/>
      <c r="H933" s="220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40</v>
      </c>
      <c r="J933" s="76">
        <v>1.6</v>
      </c>
      <c r="K933" s="66" t="str">
        <f>IF(_xlfn.XLOOKUP($J933,Catalogo!$B$7:$B$210,Catalogo!$I$7:$I$210,"",0)=0,"",_xlfn.XLOOKUP($J933,Catalogo!$B$7:$B$210,Catalogo!$I$7:$I$210,"",0))</f>
        <v>REPORTE E1</v>
      </c>
      <c r="L933" s="36"/>
      <c r="M933" s="257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34" spans="1:13" x14ac:dyDescent="0.25">
      <c r="A934" s="355">
        <v>46134</v>
      </c>
      <c r="B934" s="279" t="s">
        <v>410</v>
      </c>
      <c r="C934" s="280" t="s">
        <v>411</v>
      </c>
      <c r="D934" s="281" t="s">
        <v>403</v>
      </c>
      <c r="E934" s="376" t="s">
        <v>404</v>
      </c>
      <c r="F934" s="282"/>
      <c r="G934" s="282"/>
      <c r="H934" s="220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4</v>
      </c>
      <c r="J934" s="76">
        <v>1.1000000000000001</v>
      </c>
      <c r="K934" s="66" t="str">
        <f>IF(_xlfn.XLOOKUP($J934,Catalogo!$B$7:$B$210,Catalogo!$I$7:$I$210,"",0)=0,"",_xlfn.XLOOKUP($J934,Catalogo!$B$7:$B$210,Catalogo!$I$7:$I$210,"",0))</f>
        <v>RECOPILACION</v>
      </c>
      <c r="L934" s="36"/>
      <c r="M934" s="257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35" spans="1:13" x14ac:dyDescent="0.25">
      <c r="A935" s="355">
        <v>46134</v>
      </c>
      <c r="B935" s="279" t="s">
        <v>410</v>
      </c>
      <c r="C935" s="280" t="s">
        <v>411</v>
      </c>
      <c r="D935" s="281" t="s">
        <v>403</v>
      </c>
      <c r="E935" s="376" t="s">
        <v>405</v>
      </c>
      <c r="F935" s="282"/>
      <c r="G935" s="282"/>
      <c r="H935" s="220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4</v>
      </c>
      <c r="J935" s="76">
        <v>1.2</v>
      </c>
      <c r="K935" s="66" t="str">
        <f>IF(_xlfn.XLOOKUP($J935,Catalogo!$B$7:$B$210,Catalogo!$I$7:$I$210,"",0)=0,"",_xlfn.XLOOKUP($J935,Catalogo!$B$7:$B$210,Catalogo!$I$7:$I$210,"",0))</f>
        <v>ANALISIS</v>
      </c>
      <c r="L935" s="36"/>
      <c r="M935" s="257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36" spans="1:13" x14ac:dyDescent="0.25">
      <c r="A936" s="355">
        <v>46134</v>
      </c>
      <c r="B936" s="279" t="s">
        <v>410</v>
      </c>
      <c r="C936" s="280" t="s">
        <v>411</v>
      </c>
      <c r="D936" s="281" t="s">
        <v>403</v>
      </c>
      <c r="E936" s="376" t="s">
        <v>406</v>
      </c>
      <c r="F936" s="282"/>
      <c r="G936" s="282"/>
      <c r="H936" s="220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4</v>
      </c>
      <c r="J936" s="76">
        <v>1.3</v>
      </c>
      <c r="K936" s="66" t="str">
        <f>IF(_xlfn.XLOOKUP($J936,Catalogo!$B$7:$B$210,Catalogo!$I$7:$I$210,"",0)=0,"",_xlfn.XLOOKUP($J936,Catalogo!$B$7:$B$210,Catalogo!$I$7:$I$210,"",0))</f>
        <v>FACTIBILIDAD</v>
      </c>
      <c r="L936" s="36"/>
      <c r="M936" s="257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7" spans="1:13" x14ac:dyDescent="0.25">
      <c r="A937" s="355">
        <v>46134</v>
      </c>
      <c r="B937" s="279" t="s">
        <v>410</v>
      </c>
      <c r="C937" s="280" t="s">
        <v>411</v>
      </c>
      <c r="D937" s="281" t="s">
        <v>403</v>
      </c>
      <c r="E937" s="376" t="s">
        <v>407</v>
      </c>
      <c r="F937" s="282"/>
      <c r="G937" s="282"/>
      <c r="H937" s="220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4</v>
      </c>
      <c r="J937" s="76">
        <v>1.4</v>
      </c>
      <c r="K937" s="66" t="str">
        <f>IF(_xlfn.XLOOKUP($J937,Catalogo!$B$7:$B$210,Catalogo!$I$7:$I$210,"",0)=0,"",_xlfn.XLOOKUP($J937,Catalogo!$B$7:$B$210,Catalogo!$I$7:$I$210,"",0))</f>
        <v>SELECCIÓN HERRAMIENTAS</v>
      </c>
      <c r="L937" s="36"/>
      <c r="M937" s="257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8" spans="1:13" x14ac:dyDescent="0.25">
      <c r="A938" s="355">
        <v>46134</v>
      </c>
      <c r="B938" s="279" t="s">
        <v>410</v>
      </c>
      <c r="C938" s="280" t="s">
        <v>411</v>
      </c>
      <c r="D938" s="281" t="s">
        <v>403</v>
      </c>
      <c r="E938" s="376" t="s">
        <v>408</v>
      </c>
      <c r="F938" s="282"/>
      <c r="G938" s="282"/>
      <c r="H938" s="220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4</v>
      </c>
      <c r="J938" s="76">
        <v>1.5</v>
      </c>
      <c r="K938" s="66" t="str">
        <f>IF(_xlfn.XLOOKUP($J938,Catalogo!$B$7:$B$210,Catalogo!$I$7:$I$210,"",0)=0,"",_xlfn.XLOOKUP($J938,Catalogo!$B$7:$B$210,Catalogo!$I$7:$I$210,"",0))</f>
        <v>REGIONES ECDA</v>
      </c>
      <c r="L938" s="36"/>
      <c r="M938" s="257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9" spans="1:13" x14ac:dyDescent="0.25">
      <c r="A939" s="355">
        <v>46134</v>
      </c>
      <c r="B939" s="279" t="s">
        <v>410</v>
      </c>
      <c r="C939" s="280" t="s">
        <v>411</v>
      </c>
      <c r="D939" s="281" t="s">
        <v>403</v>
      </c>
      <c r="E939" s="376" t="s">
        <v>409</v>
      </c>
      <c r="F939" s="282"/>
      <c r="G939" s="282"/>
      <c r="H939" s="220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4</v>
      </c>
      <c r="J939" s="76">
        <v>1.6</v>
      </c>
      <c r="K939" s="66" t="str">
        <f>IF(_xlfn.XLOOKUP($J939,Catalogo!$B$7:$B$210,Catalogo!$I$7:$I$210,"",0)=0,"",_xlfn.XLOOKUP($J939,Catalogo!$B$7:$B$210,Catalogo!$I$7:$I$210,"",0))</f>
        <v>REPORTE E1</v>
      </c>
      <c r="L939" s="36"/>
      <c r="M939" s="257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40" spans="1:13" x14ac:dyDescent="0.25">
      <c r="A940" s="356">
        <v>46135</v>
      </c>
      <c r="B940" s="283" t="s">
        <v>410</v>
      </c>
      <c r="C940" s="284" t="s">
        <v>560</v>
      </c>
      <c r="D940" s="285" t="s">
        <v>403</v>
      </c>
      <c r="E940" s="377" t="s">
        <v>404</v>
      </c>
      <c r="F940" s="286"/>
      <c r="G940" s="286"/>
      <c r="H940" s="220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13</v>
      </c>
      <c r="J940" s="76">
        <v>1.1000000000000001</v>
      </c>
      <c r="K940" s="66" t="str">
        <f>IF(_xlfn.XLOOKUP($J940,Catalogo!$B$7:$B$210,Catalogo!$I$7:$I$210,"",0)=0,"",_xlfn.XLOOKUP($J940,Catalogo!$B$7:$B$210,Catalogo!$I$7:$I$210,"",0))</f>
        <v>RECOPILACION</v>
      </c>
      <c r="L940" s="36"/>
      <c r="M940" s="257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41" spans="1:13" x14ac:dyDescent="0.25">
      <c r="A941" s="356">
        <v>46135</v>
      </c>
      <c r="B941" s="283" t="s">
        <v>410</v>
      </c>
      <c r="C941" s="284" t="s">
        <v>560</v>
      </c>
      <c r="D941" s="285" t="s">
        <v>403</v>
      </c>
      <c r="E941" s="377" t="s">
        <v>405</v>
      </c>
      <c r="F941" s="286"/>
      <c r="G941" s="286"/>
      <c r="H941" s="220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13</v>
      </c>
      <c r="J941" s="76">
        <v>1.2</v>
      </c>
      <c r="K941" s="66" t="str">
        <f>IF(_xlfn.XLOOKUP($J941,Catalogo!$B$7:$B$210,Catalogo!$I$7:$I$210,"",0)=0,"",_xlfn.XLOOKUP($J941,Catalogo!$B$7:$B$210,Catalogo!$I$7:$I$210,"",0))</f>
        <v>ANALISIS</v>
      </c>
      <c r="L941" s="36"/>
      <c r="M941" s="257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42" spans="1:13" x14ac:dyDescent="0.25">
      <c r="A942" s="356">
        <v>46135</v>
      </c>
      <c r="B942" s="283" t="s">
        <v>410</v>
      </c>
      <c r="C942" s="284" t="s">
        <v>560</v>
      </c>
      <c r="D942" s="285" t="s">
        <v>403</v>
      </c>
      <c r="E942" s="377" t="s">
        <v>406</v>
      </c>
      <c r="F942" s="286"/>
      <c r="G942" s="286"/>
      <c r="H942" s="220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13</v>
      </c>
      <c r="J942" s="76">
        <v>1.3</v>
      </c>
      <c r="K942" s="66" t="str">
        <f>IF(_xlfn.XLOOKUP($J942,Catalogo!$B$7:$B$210,Catalogo!$I$7:$I$210,"",0)=0,"",_xlfn.XLOOKUP($J942,Catalogo!$B$7:$B$210,Catalogo!$I$7:$I$210,"",0))</f>
        <v>FACTIBILIDAD</v>
      </c>
      <c r="L942" s="36"/>
      <c r="M942" s="257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43" spans="1:13" x14ac:dyDescent="0.25">
      <c r="A943" s="356">
        <v>46135</v>
      </c>
      <c r="B943" s="283" t="s">
        <v>410</v>
      </c>
      <c r="C943" s="284" t="s">
        <v>560</v>
      </c>
      <c r="D943" s="285" t="s">
        <v>403</v>
      </c>
      <c r="E943" s="377" t="s">
        <v>407</v>
      </c>
      <c r="F943" s="286"/>
      <c r="G943" s="286"/>
      <c r="H943" s="220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13</v>
      </c>
      <c r="J943" s="76">
        <v>1.4</v>
      </c>
      <c r="K943" s="66" t="str">
        <f>IF(_xlfn.XLOOKUP($J943,Catalogo!$B$7:$B$210,Catalogo!$I$7:$I$210,"",0)=0,"",_xlfn.XLOOKUP($J943,Catalogo!$B$7:$B$210,Catalogo!$I$7:$I$210,"",0))</f>
        <v>SELECCIÓN HERRAMIENTAS</v>
      </c>
      <c r="L943" s="36"/>
      <c r="M943" s="257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44" spans="1:13" x14ac:dyDescent="0.25">
      <c r="A944" s="356">
        <v>46135</v>
      </c>
      <c r="B944" s="283" t="s">
        <v>410</v>
      </c>
      <c r="C944" s="284" t="s">
        <v>560</v>
      </c>
      <c r="D944" s="285" t="s">
        <v>403</v>
      </c>
      <c r="E944" s="377" t="s">
        <v>408</v>
      </c>
      <c r="F944" s="286"/>
      <c r="G944" s="286"/>
      <c r="H944" s="220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13</v>
      </c>
      <c r="J944" s="76">
        <v>1.5</v>
      </c>
      <c r="K944" s="66" t="str">
        <f>IF(_xlfn.XLOOKUP($J944,Catalogo!$B$7:$B$210,Catalogo!$I$7:$I$210,"",0)=0,"",_xlfn.XLOOKUP($J944,Catalogo!$B$7:$B$210,Catalogo!$I$7:$I$210,"",0))</f>
        <v>REGIONES ECDA</v>
      </c>
      <c r="L944" s="36"/>
      <c r="M944" s="257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45" spans="1:13" x14ac:dyDescent="0.25">
      <c r="A945" s="356">
        <v>46135</v>
      </c>
      <c r="B945" s="283" t="s">
        <v>410</v>
      </c>
      <c r="C945" s="284" t="s">
        <v>560</v>
      </c>
      <c r="D945" s="285" t="s">
        <v>403</v>
      </c>
      <c r="E945" s="377" t="s">
        <v>409</v>
      </c>
      <c r="F945" s="286"/>
      <c r="G945" s="286"/>
      <c r="H945" s="220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13</v>
      </c>
      <c r="J945" s="76">
        <v>1.6</v>
      </c>
      <c r="K945" s="66" t="str">
        <f>IF(_xlfn.XLOOKUP($J945,Catalogo!$B$7:$B$210,Catalogo!$I$7:$I$210,"",0)=0,"",_xlfn.XLOOKUP($J945,Catalogo!$B$7:$B$210,Catalogo!$I$7:$I$210,"",0))</f>
        <v>REPORTE E1</v>
      </c>
      <c r="L945" s="36"/>
      <c r="M945" s="257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46" spans="1:13" x14ac:dyDescent="0.25">
      <c r="A946" s="357">
        <v>46111</v>
      </c>
      <c r="B946" s="270" t="s">
        <v>410</v>
      </c>
      <c r="C946" s="271" t="s">
        <v>265</v>
      </c>
      <c r="D946" s="272" t="s">
        <v>403</v>
      </c>
      <c r="E946" s="378" t="s">
        <v>404</v>
      </c>
      <c r="F946" s="273"/>
      <c r="G946" s="273"/>
      <c r="H946" s="220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3</v>
      </c>
      <c r="J946" s="76">
        <v>1.1000000000000001</v>
      </c>
      <c r="K946" s="66" t="str">
        <f>IF(_xlfn.XLOOKUP($J946,Catalogo!$B$7:$B$210,Catalogo!$I$7:$I$210,"",0)=0,"",_xlfn.XLOOKUP($J946,Catalogo!$B$7:$B$210,Catalogo!$I$7:$I$210,"",0))</f>
        <v>RECOPILACION</v>
      </c>
      <c r="L946" s="36"/>
      <c r="M946" s="257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7" spans="1:13" x14ac:dyDescent="0.25">
      <c r="A947" s="357">
        <v>46111</v>
      </c>
      <c r="B947" s="270" t="s">
        <v>410</v>
      </c>
      <c r="C947" s="271" t="s">
        <v>265</v>
      </c>
      <c r="D947" s="272" t="s">
        <v>403</v>
      </c>
      <c r="E947" s="378" t="s">
        <v>405</v>
      </c>
      <c r="F947" s="273"/>
      <c r="G947" s="273"/>
      <c r="H947" s="220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3</v>
      </c>
      <c r="J947" s="76">
        <v>1.2</v>
      </c>
      <c r="K947" s="66" t="str">
        <f>IF(_xlfn.XLOOKUP($J947,Catalogo!$B$7:$B$210,Catalogo!$I$7:$I$210,"",0)=0,"",_xlfn.XLOOKUP($J947,Catalogo!$B$7:$B$210,Catalogo!$I$7:$I$210,"",0))</f>
        <v>ANALISIS</v>
      </c>
      <c r="L947" s="36"/>
      <c r="M947" s="257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8" spans="1:13" x14ac:dyDescent="0.25">
      <c r="A948" s="357">
        <v>46111</v>
      </c>
      <c r="B948" s="270" t="s">
        <v>410</v>
      </c>
      <c r="C948" s="271" t="s">
        <v>265</v>
      </c>
      <c r="D948" s="272" t="s">
        <v>403</v>
      </c>
      <c r="E948" s="378" t="s">
        <v>406</v>
      </c>
      <c r="F948" s="273"/>
      <c r="G948" s="273"/>
      <c r="H948" s="220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3</v>
      </c>
      <c r="J948" s="76">
        <v>1.3</v>
      </c>
      <c r="K948" s="66" t="str">
        <f>IF(_xlfn.XLOOKUP($J948,Catalogo!$B$7:$B$210,Catalogo!$I$7:$I$210,"",0)=0,"",_xlfn.XLOOKUP($J948,Catalogo!$B$7:$B$210,Catalogo!$I$7:$I$210,"",0))</f>
        <v>FACTIBILIDAD</v>
      </c>
      <c r="L948" s="36"/>
      <c r="M948" s="257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9" spans="1:13" x14ac:dyDescent="0.25">
      <c r="A949" s="357">
        <v>46111</v>
      </c>
      <c r="B949" s="270" t="s">
        <v>410</v>
      </c>
      <c r="C949" s="271" t="s">
        <v>265</v>
      </c>
      <c r="D949" s="272" t="s">
        <v>403</v>
      </c>
      <c r="E949" s="378" t="s">
        <v>407</v>
      </c>
      <c r="F949" s="273"/>
      <c r="G949" s="273"/>
      <c r="H949" s="220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3</v>
      </c>
      <c r="J949" s="76">
        <v>1.4</v>
      </c>
      <c r="K949" s="66" t="str">
        <f>IF(_xlfn.XLOOKUP($J949,Catalogo!$B$7:$B$210,Catalogo!$I$7:$I$210,"",0)=0,"",_xlfn.XLOOKUP($J949,Catalogo!$B$7:$B$210,Catalogo!$I$7:$I$210,"",0))</f>
        <v>SELECCIÓN HERRAMIENTAS</v>
      </c>
      <c r="L949" s="36"/>
      <c r="M949" s="257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50" spans="1:13" x14ac:dyDescent="0.25">
      <c r="A950" s="357">
        <v>46111</v>
      </c>
      <c r="B950" s="270" t="s">
        <v>410</v>
      </c>
      <c r="C950" s="271" t="s">
        <v>265</v>
      </c>
      <c r="D950" s="272" t="s">
        <v>403</v>
      </c>
      <c r="E950" s="378" t="s">
        <v>408</v>
      </c>
      <c r="F950" s="273"/>
      <c r="G950" s="273"/>
      <c r="H950" s="220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3</v>
      </c>
      <c r="J950" s="76">
        <v>1.5</v>
      </c>
      <c r="K950" s="66" t="str">
        <f>IF(_xlfn.XLOOKUP($J950,Catalogo!$B$7:$B$210,Catalogo!$I$7:$I$210,"",0)=0,"",_xlfn.XLOOKUP($J950,Catalogo!$B$7:$B$210,Catalogo!$I$7:$I$210,"",0))</f>
        <v>REGIONES ECDA</v>
      </c>
      <c r="L950" s="36"/>
      <c r="M950" s="257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51" spans="1:13" x14ac:dyDescent="0.25">
      <c r="A951" s="357">
        <v>46111</v>
      </c>
      <c r="B951" s="270" t="s">
        <v>410</v>
      </c>
      <c r="C951" s="271" t="s">
        <v>265</v>
      </c>
      <c r="D951" s="272" t="s">
        <v>403</v>
      </c>
      <c r="E951" s="378" t="s">
        <v>409</v>
      </c>
      <c r="F951" s="273"/>
      <c r="G951" s="273"/>
      <c r="H951" s="220" t="str">
        <f>IF(Tabla1[[#This Row],[Codigo_actividad]]&lt;&gt;2.5,IF(((Tabla1[[#This Row],[fin]]-Tabla1[[#This Row],[inicio]])/1000)=0,"",((Tabla1[[#This Row],[fin]]-Tabla1[[#This Row],[inicio]])/1000)),"")</f>
        <v/>
      </c>
      <c r="I951" s="66">
        <v>3</v>
      </c>
      <c r="J951" s="76">
        <v>1.6</v>
      </c>
      <c r="K951" s="66" t="str">
        <f>IF(_xlfn.XLOOKUP($J951,Catalogo!$B$7:$B$210,Catalogo!$I$7:$I$210,"",0)=0,"",_xlfn.XLOOKUP($J951,Catalogo!$B$7:$B$210,Catalogo!$I$7:$I$210,"",0))</f>
        <v>REPORTE E1</v>
      </c>
      <c r="L951" s="36"/>
      <c r="M951" s="257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52" spans="1:13" x14ac:dyDescent="0.25">
      <c r="A952" s="358">
        <v>46111</v>
      </c>
      <c r="B952" s="274" t="s">
        <v>410</v>
      </c>
      <c r="C952" s="275" t="s">
        <v>335</v>
      </c>
      <c r="D952" s="276" t="s">
        <v>403</v>
      </c>
      <c r="E952" s="379" t="s">
        <v>404</v>
      </c>
      <c r="F952" s="277"/>
      <c r="G952" s="277"/>
      <c r="H952" s="220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2</v>
      </c>
      <c r="J952" s="76">
        <v>1.1000000000000001</v>
      </c>
      <c r="K952" s="66" t="str">
        <f>IF(_xlfn.XLOOKUP($J952,Catalogo!$B$7:$B$210,Catalogo!$I$7:$I$210,"",0)=0,"",_xlfn.XLOOKUP($J952,Catalogo!$B$7:$B$210,Catalogo!$I$7:$I$210,"",0))</f>
        <v>RECOPILACION</v>
      </c>
      <c r="L952" s="36"/>
      <c r="M952" s="257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53" spans="1:13" x14ac:dyDescent="0.25">
      <c r="A953" s="358">
        <v>46111</v>
      </c>
      <c r="B953" s="274" t="s">
        <v>410</v>
      </c>
      <c r="C953" s="275" t="s">
        <v>335</v>
      </c>
      <c r="D953" s="276" t="s">
        <v>403</v>
      </c>
      <c r="E953" s="379" t="s">
        <v>405</v>
      </c>
      <c r="F953" s="277"/>
      <c r="G953" s="277"/>
      <c r="H953" s="220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2</v>
      </c>
      <c r="J953" s="76">
        <v>1.2</v>
      </c>
      <c r="K953" s="66" t="str">
        <f>IF(_xlfn.XLOOKUP($J953,Catalogo!$B$7:$B$210,Catalogo!$I$7:$I$210,"",0)=0,"",_xlfn.XLOOKUP($J953,Catalogo!$B$7:$B$210,Catalogo!$I$7:$I$210,"",0))</f>
        <v>ANALISIS</v>
      </c>
      <c r="L953" s="36"/>
      <c r="M953" s="257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54" spans="1:13" x14ac:dyDescent="0.25">
      <c r="A954" s="358">
        <v>46111</v>
      </c>
      <c r="B954" s="274" t="s">
        <v>410</v>
      </c>
      <c r="C954" s="275" t="s">
        <v>335</v>
      </c>
      <c r="D954" s="276" t="s">
        <v>403</v>
      </c>
      <c r="E954" s="379" t="s">
        <v>406</v>
      </c>
      <c r="F954" s="277"/>
      <c r="G954" s="277"/>
      <c r="H954" s="220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2</v>
      </c>
      <c r="J954" s="76">
        <v>1.3</v>
      </c>
      <c r="K954" s="66" t="str">
        <f>IF(_xlfn.XLOOKUP($J954,Catalogo!$B$7:$B$210,Catalogo!$I$7:$I$210,"",0)=0,"",_xlfn.XLOOKUP($J954,Catalogo!$B$7:$B$210,Catalogo!$I$7:$I$210,"",0))</f>
        <v>FACTIBILIDAD</v>
      </c>
      <c r="L954" s="36"/>
      <c r="M954" s="257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55" spans="1:13" x14ac:dyDescent="0.25">
      <c r="A955" s="358">
        <v>46111</v>
      </c>
      <c r="B955" s="274" t="s">
        <v>410</v>
      </c>
      <c r="C955" s="275" t="s">
        <v>335</v>
      </c>
      <c r="D955" s="276" t="s">
        <v>403</v>
      </c>
      <c r="E955" s="379" t="s">
        <v>407</v>
      </c>
      <c r="F955" s="277"/>
      <c r="G955" s="277"/>
      <c r="H955" s="220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2</v>
      </c>
      <c r="J955" s="76">
        <v>1.4</v>
      </c>
      <c r="K955" s="66" t="str">
        <f>IF(_xlfn.XLOOKUP($J955,Catalogo!$B$7:$B$210,Catalogo!$I$7:$I$210,"",0)=0,"",_xlfn.XLOOKUP($J955,Catalogo!$B$7:$B$210,Catalogo!$I$7:$I$210,"",0))</f>
        <v>SELECCIÓN HERRAMIENTAS</v>
      </c>
      <c r="L955" s="36"/>
      <c r="M955" s="257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56" spans="1:13" x14ac:dyDescent="0.25">
      <c r="A956" s="358">
        <v>46111</v>
      </c>
      <c r="B956" s="274" t="s">
        <v>410</v>
      </c>
      <c r="C956" s="275" t="s">
        <v>335</v>
      </c>
      <c r="D956" s="276" t="s">
        <v>403</v>
      </c>
      <c r="E956" s="379" t="s">
        <v>408</v>
      </c>
      <c r="F956" s="277"/>
      <c r="G956" s="277"/>
      <c r="H956" s="220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2</v>
      </c>
      <c r="J956" s="76">
        <v>1.5</v>
      </c>
      <c r="K956" s="66" t="str">
        <f>IF(_xlfn.XLOOKUP($J956,Catalogo!$B$7:$B$210,Catalogo!$I$7:$I$210,"",0)=0,"",_xlfn.XLOOKUP($J956,Catalogo!$B$7:$B$210,Catalogo!$I$7:$I$210,"",0))</f>
        <v>REGIONES ECDA</v>
      </c>
      <c r="L956" s="36"/>
      <c r="M956" s="257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7" spans="1:13" x14ac:dyDescent="0.25">
      <c r="A957" s="358">
        <v>46111</v>
      </c>
      <c r="B957" s="274" t="s">
        <v>410</v>
      </c>
      <c r="C957" s="275" t="s">
        <v>335</v>
      </c>
      <c r="D957" s="276" t="s">
        <v>403</v>
      </c>
      <c r="E957" s="379" t="s">
        <v>409</v>
      </c>
      <c r="F957" s="277"/>
      <c r="G957" s="277"/>
      <c r="H957" s="220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2</v>
      </c>
      <c r="J957" s="76">
        <v>1.6</v>
      </c>
      <c r="K957" s="66" t="str">
        <f>IF(_xlfn.XLOOKUP($J957,Catalogo!$B$7:$B$210,Catalogo!$I$7:$I$210,"",0)=0,"",_xlfn.XLOOKUP($J957,Catalogo!$B$7:$B$210,Catalogo!$I$7:$I$210,"",0))</f>
        <v>REPORTE E1</v>
      </c>
      <c r="L957" s="36"/>
      <c r="M957" s="257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8" spans="1:13" x14ac:dyDescent="0.25">
      <c r="A958" s="350"/>
      <c r="C958" s="152"/>
      <c r="D958" s="39"/>
      <c r="F958" s="28"/>
      <c r="G958" s="28"/>
      <c r="H958" s="220" t="str">
        <f>IF(Tabla1[[#This Row],[Codigo_actividad]]&lt;&gt;2.5,IF(((Tabla1[[#This Row],[fin]]-Tabla1[[#This Row],[inicio]])/1000)=0,"",((Tabla1[[#This Row],[fin]]-Tabla1[[#This Row],[inicio]])/1000)),"")</f>
        <v/>
      </c>
      <c r="K958" s="55" t="str">
        <f>IF(_xlfn.XLOOKUP($J958,Catalogo!$B$7:$B$210,Catalogo!$I$7:$I$210,"",0)=0,"",_xlfn.XLOOKUP($J958,Catalogo!$B$7:$B$210,Catalogo!$I$7:$I$210,"",0))</f>
        <v/>
      </c>
      <c r="L958" s="36"/>
      <c r="M958" s="288">
        <f>IF(Tabla1[[#This Row],[Avance_km]]&lt;&gt;"",Tabla1[[#This Row],[Avance_km]],Tabla1[[#This Row],[Avance_Med]])*_xlfn.XLOOKUP(Tabla1[[#This Row],[Codigo_actividad]],Catalogo!$B$6:$B$51,Catalogo!$F$6:$F$51,0)</f>
        <v>0</v>
      </c>
    </row>
    <row r="959" spans="1:13" x14ac:dyDescent="0.25">
      <c r="A959" s="352">
        <v>46111</v>
      </c>
      <c r="B959" s="258" t="s">
        <v>410</v>
      </c>
      <c r="C959" s="259" t="s">
        <v>13</v>
      </c>
      <c r="D959" s="260" t="s">
        <v>403</v>
      </c>
      <c r="E959" s="373" t="s">
        <v>412</v>
      </c>
      <c r="F959" s="261"/>
      <c r="G959" s="261"/>
      <c r="H959" s="220" t="str">
        <f>IF(Tabla1[[#This Row],[Codigo_actividad]]&lt;&gt;2.5,IF(((Tabla1[[#This Row],[fin]]-Tabla1[[#This Row],[inicio]])/1000)=0,"",((Tabla1[[#This Row],[fin]]-Tabla1[[#This Row],[inicio]])/1000)),"")</f>
        <v/>
      </c>
      <c r="I959" s="66">
        <v>37</v>
      </c>
      <c r="J959" s="76">
        <v>2.7</v>
      </c>
      <c r="K959" s="66" t="str">
        <f>IF(_xlfn.XLOOKUP($J959,Catalogo!$B$7:$B$210,Catalogo!$I$7:$I$210,"",0)=0,"",_xlfn.XLOOKUP($J959,Catalogo!$B$7:$B$210,Catalogo!$I$7:$I$210,"",0))</f>
        <v>SEVERIDAD</v>
      </c>
      <c r="L959" s="36"/>
      <c r="M959" s="257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60" spans="1:13" x14ac:dyDescent="0.25">
      <c r="A960" s="352">
        <v>46111</v>
      </c>
      <c r="B960" s="258" t="s">
        <v>410</v>
      </c>
      <c r="C960" s="259" t="s">
        <v>13</v>
      </c>
      <c r="D960" s="260" t="s">
        <v>403</v>
      </c>
      <c r="E960" s="373" t="s">
        <v>400</v>
      </c>
      <c r="F960" s="261"/>
      <c r="G960" s="261"/>
      <c r="H960" s="220" t="str">
        <f>IF(Tabla1[[#This Row],[Codigo_actividad]]&lt;&gt;2.5,IF(((Tabla1[[#This Row],[fin]]-Tabla1[[#This Row],[inicio]])/1000)=0,"",((Tabla1[[#This Row],[fin]]-Tabla1[[#This Row],[inicio]])/1000)),"")</f>
        <v/>
      </c>
      <c r="I960" s="66">
        <v>37</v>
      </c>
      <c r="J960" s="76">
        <v>2.8</v>
      </c>
      <c r="K960" s="66" t="str">
        <f>IF(_xlfn.XLOOKUP($J960,Catalogo!$B$7:$B$210,Catalogo!$I$7:$I$210,"",0)=0,"",_xlfn.XLOOKUP($J960,Catalogo!$B$7:$B$210,Catalogo!$I$7:$I$210,"",0))</f>
        <v>REPORTE E2</v>
      </c>
      <c r="L960" s="36"/>
      <c r="M960" s="257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61" spans="1:13" x14ac:dyDescent="0.25">
      <c r="A961" s="353">
        <v>46111</v>
      </c>
      <c r="B961" s="262" t="s">
        <v>410</v>
      </c>
      <c r="C961" s="263" t="s">
        <v>22</v>
      </c>
      <c r="D961" s="264" t="s">
        <v>403</v>
      </c>
      <c r="E961" s="374" t="s">
        <v>412</v>
      </c>
      <c r="F961" s="265"/>
      <c r="G961" s="265"/>
      <c r="H961" s="220" t="str">
        <f>IF(Tabla1[[#This Row],[Codigo_actividad]]&lt;&gt;2.5,IF(((Tabla1[[#This Row],[fin]]-Tabla1[[#This Row],[inicio]])/1000)=0,"",((Tabla1[[#This Row],[fin]]-Tabla1[[#This Row],[inicio]])/1000)),"")</f>
        <v/>
      </c>
      <c r="I961" s="66">
        <v>17</v>
      </c>
      <c r="J961" s="76">
        <v>2.7</v>
      </c>
      <c r="K961" s="66" t="str">
        <f>IF(_xlfn.XLOOKUP($J961,Catalogo!$B$7:$B$210,Catalogo!$I$7:$I$210,"",0)=0,"",_xlfn.XLOOKUP($J961,Catalogo!$B$7:$B$210,Catalogo!$I$7:$I$210,"",0))</f>
        <v>SEVERIDAD</v>
      </c>
      <c r="L961" s="36"/>
      <c r="M961" s="257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62" spans="1:13" x14ac:dyDescent="0.25">
      <c r="A962" s="353">
        <v>46111</v>
      </c>
      <c r="B962" s="262" t="s">
        <v>410</v>
      </c>
      <c r="C962" s="263" t="s">
        <v>22</v>
      </c>
      <c r="D962" s="264" t="s">
        <v>403</v>
      </c>
      <c r="E962" s="374" t="s">
        <v>400</v>
      </c>
      <c r="F962" s="265"/>
      <c r="G962" s="265"/>
      <c r="H962" s="220" t="str">
        <f>IF(Tabla1[[#This Row],[Codigo_actividad]]&lt;&gt;2.5,IF(((Tabla1[[#This Row],[fin]]-Tabla1[[#This Row],[inicio]])/1000)=0,"",((Tabla1[[#This Row],[fin]]-Tabla1[[#This Row],[inicio]])/1000)),"")</f>
        <v/>
      </c>
      <c r="I962" s="66">
        <v>17</v>
      </c>
      <c r="J962" s="76">
        <v>2.8</v>
      </c>
      <c r="K962" s="66" t="str">
        <f>IF(_xlfn.XLOOKUP($J962,Catalogo!$B$7:$B$210,Catalogo!$I$7:$I$210,"",0)=0,"",_xlfn.XLOOKUP($J962,Catalogo!$B$7:$B$210,Catalogo!$I$7:$I$210,"",0))</f>
        <v>REPORTE E2</v>
      </c>
      <c r="L962" s="36"/>
      <c r="M962" s="257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63" spans="1:13" x14ac:dyDescent="0.25">
      <c r="A963" s="400">
        <v>46291</v>
      </c>
      <c r="B963" s="266" t="s">
        <v>410</v>
      </c>
      <c r="C963" s="267" t="s">
        <v>329</v>
      </c>
      <c r="D963" s="268" t="s">
        <v>403</v>
      </c>
      <c r="E963" s="375" t="s">
        <v>412</v>
      </c>
      <c r="F963" s="269"/>
      <c r="G963" s="269"/>
      <c r="H963" s="220" t="str">
        <f>IF(Tabla1[[#This Row],[Codigo_actividad]]&lt;&gt;2.5,IF(((Tabla1[[#This Row],[fin]]-Tabla1[[#This Row],[inicio]])/1000)=0,"",((Tabla1[[#This Row],[fin]]-Tabla1[[#This Row],[inicio]])/1000)),"")</f>
        <v/>
      </c>
      <c r="I963" s="66">
        <v>34</v>
      </c>
      <c r="J963" s="76">
        <v>2.7</v>
      </c>
      <c r="K963" s="66" t="str">
        <f>IF(_xlfn.XLOOKUP($J963,Catalogo!$B$7:$B$210,Catalogo!$I$7:$I$210,"",0)=0,"",_xlfn.XLOOKUP($J963,Catalogo!$B$7:$B$210,Catalogo!$I$7:$I$210,"",0))</f>
        <v>SEVERIDAD</v>
      </c>
      <c r="L963" s="36"/>
      <c r="M963" s="257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64" spans="1:13" x14ac:dyDescent="0.25">
      <c r="A964" s="400">
        <v>46291</v>
      </c>
      <c r="B964" s="266" t="s">
        <v>410</v>
      </c>
      <c r="C964" s="267" t="s">
        <v>329</v>
      </c>
      <c r="D964" s="268" t="s">
        <v>403</v>
      </c>
      <c r="E964" s="375" t="s">
        <v>400</v>
      </c>
      <c r="F964" s="269"/>
      <c r="G964" s="269"/>
      <c r="H964" s="220" t="str">
        <f>IF(Tabla1[[#This Row],[Codigo_actividad]]&lt;&gt;2.5,IF(((Tabla1[[#This Row],[fin]]-Tabla1[[#This Row],[inicio]])/1000)=0,"",((Tabla1[[#This Row],[fin]]-Tabla1[[#This Row],[inicio]])/1000)),"")</f>
        <v/>
      </c>
      <c r="I964" s="66">
        <v>34</v>
      </c>
      <c r="J964" s="76">
        <v>2.8</v>
      </c>
      <c r="K964" s="66" t="str">
        <f>IF(_xlfn.XLOOKUP($J964,Catalogo!$B$7:$B$210,Catalogo!$I$7:$I$210,"",0)=0,"",_xlfn.XLOOKUP($J964,Catalogo!$B$7:$B$210,Catalogo!$I$7:$I$210,"",0))</f>
        <v>REPORTE E2</v>
      </c>
      <c r="L964" s="36"/>
      <c r="M964" s="257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65" spans="1:13" x14ac:dyDescent="0.25">
      <c r="A965" s="401">
        <v>46311</v>
      </c>
      <c r="B965" s="279" t="s">
        <v>410</v>
      </c>
      <c r="C965" s="280" t="s">
        <v>411</v>
      </c>
      <c r="D965" s="281" t="s">
        <v>403</v>
      </c>
      <c r="E965" s="376" t="s">
        <v>412</v>
      </c>
      <c r="F965" s="282"/>
      <c r="G965" s="282"/>
      <c r="H965" s="220" t="str">
        <f>IF(Tabla1[[#This Row],[Codigo_actividad]]&lt;&gt;2.5,IF(((Tabla1[[#This Row],[fin]]-Tabla1[[#This Row],[inicio]])/1000)=0,"",((Tabla1[[#This Row],[fin]]-Tabla1[[#This Row],[inicio]])/1000)),"")</f>
        <v/>
      </c>
      <c r="I965" s="66">
        <v>4</v>
      </c>
      <c r="J965" s="76">
        <v>2.7</v>
      </c>
      <c r="K965" s="66" t="str">
        <f>IF(_xlfn.XLOOKUP($J965,Catalogo!$B$7:$B$210,Catalogo!$I$7:$I$210,"",0)=0,"",_xlfn.XLOOKUP($J965,Catalogo!$B$7:$B$210,Catalogo!$I$7:$I$210,"",0))</f>
        <v>SEVERIDAD</v>
      </c>
      <c r="L965" s="36"/>
      <c r="M965" s="257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66" spans="1:13" x14ac:dyDescent="0.25">
      <c r="A966" s="401">
        <v>46311</v>
      </c>
      <c r="B966" s="279" t="s">
        <v>410</v>
      </c>
      <c r="C966" s="280" t="s">
        <v>411</v>
      </c>
      <c r="D966" s="281" t="s">
        <v>403</v>
      </c>
      <c r="E966" s="376" t="s">
        <v>400</v>
      </c>
      <c r="F966" s="282"/>
      <c r="G966" s="282"/>
      <c r="H966" s="220" t="str">
        <f>IF(Tabla1[[#This Row],[Codigo_actividad]]&lt;&gt;2.5,IF(((Tabla1[[#This Row],[fin]]-Tabla1[[#This Row],[inicio]])/1000)=0,"",((Tabla1[[#This Row],[fin]]-Tabla1[[#This Row],[inicio]])/1000)),"")</f>
        <v/>
      </c>
      <c r="I966" s="66">
        <v>4</v>
      </c>
      <c r="J966" s="76">
        <v>2.8</v>
      </c>
      <c r="K966" s="66" t="str">
        <f>IF(_xlfn.XLOOKUP($J966,Catalogo!$B$7:$B$210,Catalogo!$I$7:$I$210,"",0)=0,"",_xlfn.XLOOKUP($J966,Catalogo!$B$7:$B$210,Catalogo!$I$7:$I$210,"",0))</f>
        <v>REPORTE E2</v>
      </c>
      <c r="L966" s="36"/>
      <c r="M966" s="257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7" spans="1:13" x14ac:dyDescent="0.25">
      <c r="A967" s="402"/>
      <c r="B967" s="283" t="s">
        <v>410</v>
      </c>
      <c r="C967" s="284" t="s">
        <v>560</v>
      </c>
      <c r="D967" s="285" t="s">
        <v>403</v>
      </c>
      <c r="E967" s="377" t="s">
        <v>412</v>
      </c>
      <c r="F967" s="286"/>
      <c r="G967" s="286"/>
      <c r="H967" s="220" t="str">
        <f>IF(Tabla1[[#This Row],[Codigo_actividad]]&lt;&gt;2.5,IF(((Tabla1[[#This Row],[fin]]-Tabla1[[#This Row],[inicio]])/1000)=0,"",((Tabla1[[#This Row],[fin]]-Tabla1[[#This Row],[inicio]])/1000)),"")</f>
        <v/>
      </c>
      <c r="I967" s="278"/>
      <c r="J967" s="76">
        <v>2.7</v>
      </c>
      <c r="K967" s="66" t="str">
        <f>IF(_xlfn.XLOOKUP($J967,Catalogo!$B$7:$B$210,Catalogo!$I$7:$I$210,"",0)=0,"",_xlfn.XLOOKUP($J967,Catalogo!$B$7:$B$210,Catalogo!$I$7:$I$210,"",0))</f>
        <v>SEVERIDAD</v>
      </c>
      <c r="L967" s="36"/>
      <c r="M96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68" spans="1:13" x14ac:dyDescent="0.25">
      <c r="A968" s="402"/>
      <c r="B968" s="283" t="s">
        <v>410</v>
      </c>
      <c r="C968" s="284" t="s">
        <v>560</v>
      </c>
      <c r="D968" s="285" t="s">
        <v>403</v>
      </c>
      <c r="E968" s="377" t="s">
        <v>400</v>
      </c>
      <c r="F968" s="286"/>
      <c r="G968" s="286"/>
      <c r="H968" s="220" t="str">
        <f>IF(Tabla1[[#This Row],[Codigo_actividad]]&lt;&gt;2.5,IF(((Tabla1[[#This Row],[fin]]-Tabla1[[#This Row],[inicio]])/1000)=0,"",((Tabla1[[#This Row],[fin]]-Tabla1[[#This Row],[inicio]])/1000)),"")</f>
        <v/>
      </c>
      <c r="I968" s="278"/>
      <c r="J968" s="76">
        <v>2.8</v>
      </c>
      <c r="K968" s="66" t="str">
        <f>IF(_xlfn.XLOOKUP($J968,Catalogo!$B$7:$B$210,Catalogo!$I$7:$I$210,"",0)=0,"",_xlfn.XLOOKUP($J968,Catalogo!$B$7:$B$210,Catalogo!$I$7:$I$210,"",0))</f>
        <v>REPORTE E2</v>
      </c>
      <c r="L968" s="36"/>
      <c r="M96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69" spans="1:13" x14ac:dyDescent="0.25">
      <c r="A969" s="357">
        <v>46111</v>
      </c>
      <c r="B969" s="270" t="s">
        <v>410</v>
      </c>
      <c r="C969" s="271" t="s">
        <v>265</v>
      </c>
      <c r="D969" s="272" t="s">
        <v>403</v>
      </c>
      <c r="E969" s="378" t="s">
        <v>412</v>
      </c>
      <c r="F969" s="273"/>
      <c r="G969" s="273"/>
      <c r="H969" s="220" t="str">
        <f>IF(Tabla1[[#This Row],[Codigo_actividad]]&lt;&gt;2.5,IF(((Tabla1[[#This Row],[fin]]-Tabla1[[#This Row],[inicio]])/1000)=0,"",((Tabla1[[#This Row],[fin]]-Tabla1[[#This Row],[inicio]])/1000)),"")</f>
        <v/>
      </c>
      <c r="I969" s="278"/>
      <c r="J969" s="76">
        <v>2.7</v>
      </c>
      <c r="K969" s="66" t="str">
        <f>IF(_xlfn.XLOOKUP($J969,Catalogo!$B$7:$B$210,Catalogo!$I$7:$I$210,"",0)=0,"",_xlfn.XLOOKUP($J969,Catalogo!$B$7:$B$210,Catalogo!$I$7:$I$210,"",0))</f>
        <v>SEVERIDAD</v>
      </c>
      <c r="L969" s="36"/>
      <c r="M96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0" spans="1:13" x14ac:dyDescent="0.25">
      <c r="A970" s="357">
        <v>46111</v>
      </c>
      <c r="B970" s="270" t="s">
        <v>410</v>
      </c>
      <c r="C970" s="271" t="s">
        <v>265</v>
      </c>
      <c r="D970" s="272" t="s">
        <v>403</v>
      </c>
      <c r="E970" s="378" t="s">
        <v>400</v>
      </c>
      <c r="F970" s="273"/>
      <c r="G970" s="273"/>
      <c r="H970" s="220" t="str">
        <f>IF(Tabla1[[#This Row],[Codigo_actividad]]&lt;&gt;2.5,IF(((Tabla1[[#This Row],[fin]]-Tabla1[[#This Row],[inicio]])/1000)=0,"",((Tabla1[[#This Row],[fin]]-Tabla1[[#This Row],[inicio]])/1000)),"")</f>
        <v/>
      </c>
      <c r="I970" s="278"/>
      <c r="J970" s="76">
        <v>2.8</v>
      </c>
      <c r="K970" s="66" t="str">
        <f>IF(_xlfn.XLOOKUP($J970,Catalogo!$B$7:$B$210,Catalogo!$I$7:$I$210,"",0)=0,"",_xlfn.XLOOKUP($J970,Catalogo!$B$7:$B$210,Catalogo!$I$7:$I$210,"",0))</f>
        <v>REPORTE E2</v>
      </c>
      <c r="L970" s="36"/>
      <c r="M97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1" spans="1:13" x14ac:dyDescent="0.25">
      <c r="A971" s="358">
        <v>46111</v>
      </c>
      <c r="B971" s="274" t="s">
        <v>410</v>
      </c>
      <c r="C971" s="275" t="s">
        <v>335</v>
      </c>
      <c r="D971" s="276" t="s">
        <v>403</v>
      </c>
      <c r="E971" s="379" t="s">
        <v>412</v>
      </c>
      <c r="F971" s="277"/>
      <c r="G971" s="277"/>
      <c r="H971" s="220" t="str">
        <f>IF(Tabla1[[#This Row],[Codigo_actividad]]&lt;&gt;2.5,IF(((Tabla1[[#This Row],[fin]]-Tabla1[[#This Row],[inicio]])/1000)=0,"",((Tabla1[[#This Row],[fin]]-Tabla1[[#This Row],[inicio]])/1000)),"")</f>
        <v/>
      </c>
      <c r="I971" s="278"/>
      <c r="J971" s="76">
        <v>2.7</v>
      </c>
      <c r="K971" s="66" t="str">
        <f>IF(_xlfn.XLOOKUP($J971,Catalogo!$B$7:$B$210,Catalogo!$I$7:$I$210,"",0)=0,"",_xlfn.XLOOKUP($J971,Catalogo!$B$7:$B$210,Catalogo!$I$7:$I$210,"",0))</f>
        <v>SEVERIDAD</v>
      </c>
      <c r="L971" s="36"/>
      <c r="M97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3" x14ac:dyDescent="0.25">
      <c r="A972" s="358">
        <v>46111</v>
      </c>
      <c r="B972" s="274" t="s">
        <v>410</v>
      </c>
      <c r="C972" s="275" t="s">
        <v>335</v>
      </c>
      <c r="D972" s="276" t="s">
        <v>403</v>
      </c>
      <c r="E972" s="379" t="s">
        <v>400</v>
      </c>
      <c r="F972" s="277"/>
      <c r="G972" s="277"/>
      <c r="H972" s="220" t="str">
        <f>IF(Tabla1[[#This Row],[Codigo_actividad]]&lt;&gt;2.5,IF(((Tabla1[[#This Row],[fin]]-Tabla1[[#This Row],[inicio]])/1000)=0,"",((Tabla1[[#This Row],[fin]]-Tabla1[[#This Row],[inicio]])/1000)),"")</f>
        <v/>
      </c>
      <c r="I972" s="278"/>
      <c r="J972" s="76">
        <v>2.8</v>
      </c>
      <c r="K972" s="66" t="str">
        <f>IF(_xlfn.XLOOKUP($J972,Catalogo!$B$7:$B$210,Catalogo!$I$7:$I$210,"",0)=0,"",_xlfn.XLOOKUP($J972,Catalogo!$B$7:$B$210,Catalogo!$I$7:$I$210,"",0))</f>
        <v>REPORTE E2</v>
      </c>
      <c r="L972" s="36"/>
      <c r="M97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3" x14ac:dyDescent="0.25">
      <c r="A973" s="350"/>
      <c r="C973" s="152"/>
      <c r="D973" s="39"/>
      <c r="F973" s="28"/>
      <c r="G973" s="28"/>
      <c r="H973" s="220" t="str">
        <f>IF(Tabla1[[#This Row],[Codigo_actividad]]&lt;&gt;2.5,IF(((Tabla1[[#This Row],[fin]]-Tabla1[[#This Row],[inicio]])/1000)=0,"",((Tabla1[[#This Row],[fin]]-Tabla1[[#This Row],[inicio]])/1000)),"")</f>
        <v/>
      </c>
      <c r="K973" s="55" t="str">
        <f>IF(_xlfn.XLOOKUP($J973,Catalogo!$B$7:$B$210,Catalogo!$I$7:$I$210,"",0)=0,"",_xlfn.XLOOKUP($J973,Catalogo!$B$7:$B$210,Catalogo!$I$7:$I$210,"",0))</f>
        <v/>
      </c>
      <c r="L973" s="36"/>
      <c r="M973" s="288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3" x14ac:dyDescent="0.25">
      <c r="A974" s="352">
        <v>46111</v>
      </c>
      <c r="B974" s="258" t="s">
        <v>410</v>
      </c>
      <c r="C974" s="259" t="s">
        <v>13</v>
      </c>
      <c r="D974" s="260" t="s">
        <v>403</v>
      </c>
      <c r="E974" s="373" t="s">
        <v>413</v>
      </c>
      <c r="F974" s="261"/>
      <c r="G974" s="261"/>
      <c r="H974" s="220" t="str">
        <f>IF(Tabla1[[#This Row],[Codigo_actividad]]&lt;&gt;2.5,IF(((Tabla1[[#This Row],[fin]]-Tabla1[[#This Row],[inicio]])/1000)=0,"",((Tabla1[[#This Row],[fin]]-Tabla1[[#This Row],[inicio]])/1000)),"")</f>
        <v/>
      </c>
      <c r="I974" s="66">
        <v>37</v>
      </c>
      <c r="J974" s="76">
        <v>3.1</v>
      </c>
      <c r="K974" s="66" t="str">
        <f>IF(_xlfn.XLOOKUP($J974,Catalogo!$B$7:$B$210,Catalogo!$I$7:$I$210,"",0)=0,"",_xlfn.XLOOKUP($J974,Catalogo!$B$7:$B$210,Catalogo!$I$7:$I$210,"",0))</f>
        <v>PRIORIZACION</v>
      </c>
      <c r="L974" s="36"/>
      <c r="M974" s="257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75" spans="1:13" x14ac:dyDescent="0.25">
      <c r="A975" s="353">
        <v>46111</v>
      </c>
      <c r="B975" s="262" t="s">
        <v>410</v>
      </c>
      <c r="C975" s="263" t="s">
        <v>22</v>
      </c>
      <c r="D975" s="264" t="s">
        <v>403</v>
      </c>
      <c r="E975" s="374" t="s">
        <v>413</v>
      </c>
      <c r="F975" s="265"/>
      <c r="G975" s="265"/>
      <c r="H975" s="220" t="str">
        <f>IF(Tabla1[[#This Row],[Codigo_actividad]]&lt;&gt;2.5,IF(((Tabla1[[#This Row],[fin]]-Tabla1[[#This Row],[inicio]])/1000)=0,"",((Tabla1[[#This Row],[fin]]-Tabla1[[#This Row],[inicio]])/1000)),"")</f>
        <v/>
      </c>
      <c r="I975" s="66">
        <v>17</v>
      </c>
      <c r="J975" s="76">
        <v>3.1</v>
      </c>
      <c r="K975" s="66" t="str">
        <f>IF(_xlfn.XLOOKUP($J975,Catalogo!$B$7:$B$210,Catalogo!$I$7:$I$210,"",0)=0,"",_xlfn.XLOOKUP($J975,Catalogo!$B$7:$B$210,Catalogo!$I$7:$I$210,"",0))</f>
        <v>PRIORIZACION</v>
      </c>
      <c r="L975" s="36"/>
      <c r="M975" s="257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76" spans="1:13" x14ac:dyDescent="0.25">
      <c r="A976" s="400">
        <v>46291</v>
      </c>
      <c r="B976" s="266" t="s">
        <v>410</v>
      </c>
      <c r="C976" s="267" t="s">
        <v>329</v>
      </c>
      <c r="D976" s="268" t="s">
        <v>403</v>
      </c>
      <c r="E976" s="375" t="s">
        <v>413</v>
      </c>
      <c r="F976" s="269"/>
      <c r="G976" s="269"/>
      <c r="H976" s="220" t="str">
        <f>IF(Tabla1[[#This Row],[Codigo_actividad]]&lt;&gt;2.5,IF(((Tabla1[[#This Row],[fin]]-Tabla1[[#This Row],[inicio]])/1000)=0,"",((Tabla1[[#This Row],[fin]]-Tabla1[[#This Row],[inicio]])/1000)),"")</f>
        <v/>
      </c>
      <c r="I976" s="66">
        <v>34</v>
      </c>
      <c r="J976" s="76">
        <v>3.1</v>
      </c>
      <c r="K976" s="66" t="str">
        <f>IF(_xlfn.XLOOKUP($J976,Catalogo!$B$7:$B$210,Catalogo!$I$7:$I$210,"",0)=0,"",_xlfn.XLOOKUP($J976,Catalogo!$B$7:$B$210,Catalogo!$I$7:$I$210,"",0))</f>
        <v>PRIORIZACION</v>
      </c>
      <c r="L976" s="36"/>
      <c r="M976" s="257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7" spans="1:14" x14ac:dyDescent="0.25">
      <c r="A977" s="401">
        <v>46311</v>
      </c>
      <c r="B977" s="279" t="s">
        <v>410</v>
      </c>
      <c r="C977" s="280" t="s">
        <v>411</v>
      </c>
      <c r="D977" s="281" t="s">
        <v>403</v>
      </c>
      <c r="E977" s="376" t="s">
        <v>413</v>
      </c>
      <c r="F977" s="282"/>
      <c r="G977" s="282"/>
      <c r="H977" s="220" t="str">
        <f>IF(Tabla1[[#This Row],[Codigo_actividad]]&lt;&gt;2.5,IF(((Tabla1[[#This Row],[fin]]-Tabla1[[#This Row],[inicio]])/1000)=0,"",((Tabla1[[#This Row],[fin]]-Tabla1[[#This Row],[inicio]])/1000)),"")</f>
        <v/>
      </c>
      <c r="I977" s="66">
        <v>4</v>
      </c>
      <c r="J977" s="76">
        <v>3.1</v>
      </c>
      <c r="K977" s="66" t="str">
        <f>IF(_xlfn.XLOOKUP($J977,Catalogo!$B$7:$B$210,Catalogo!$I$7:$I$210,"",0)=0,"",_xlfn.XLOOKUP($J977,Catalogo!$B$7:$B$210,Catalogo!$I$7:$I$210,"",0))</f>
        <v>PRIORIZACION</v>
      </c>
      <c r="L977" s="36"/>
      <c r="M977" s="257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8" spans="1:14" x14ac:dyDescent="0.25">
      <c r="A978" s="402"/>
      <c r="B978" s="283" t="s">
        <v>410</v>
      </c>
      <c r="C978" s="284" t="s">
        <v>560</v>
      </c>
      <c r="D978" s="285" t="s">
        <v>403</v>
      </c>
      <c r="E978" s="377" t="s">
        <v>413</v>
      </c>
      <c r="F978" s="286"/>
      <c r="G978" s="286"/>
      <c r="H978" s="220" t="str">
        <f>IF(Tabla1[[#This Row],[Codigo_actividad]]&lt;&gt;2.5,IF(((Tabla1[[#This Row],[fin]]-Tabla1[[#This Row],[inicio]])/1000)=0,"",((Tabla1[[#This Row],[fin]]-Tabla1[[#This Row],[inicio]])/1000)),"")</f>
        <v/>
      </c>
      <c r="I978" s="278"/>
      <c r="J978" s="76">
        <v>3.1</v>
      </c>
      <c r="K978" s="66" t="str">
        <f>IF(_xlfn.XLOOKUP($J978,Catalogo!$B$7:$B$210,Catalogo!$I$7:$I$210,"",0)=0,"",_xlfn.XLOOKUP($J978,Catalogo!$B$7:$B$210,Catalogo!$I$7:$I$210,"",0))</f>
        <v>PRIORIZACION</v>
      </c>
      <c r="L978" s="36"/>
      <c r="M97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9" spans="1:14" x14ac:dyDescent="0.25">
      <c r="A979" s="403"/>
      <c r="B979" s="270" t="s">
        <v>410</v>
      </c>
      <c r="C979" s="271" t="s">
        <v>265</v>
      </c>
      <c r="D979" s="272" t="s">
        <v>403</v>
      </c>
      <c r="E979" s="378" t="s">
        <v>413</v>
      </c>
      <c r="F979" s="273"/>
      <c r="G979" s="273"/>
      <c r="H979" s="220" t="str">
        <f>IF(Tabla1[[#This Row],[Codigo_actividad]]&lt;&gt;2.5,IF(((Tabla1[[#This Row],[fin]]-Tabla1[[#This Row],[inicio]])/1000)=0,"",((Tabla1[[#This Row],[fin]]-Tabla1[[#This Row],[inicio]])/1000)),"")</f>
        <v/>
      </c>
      <c r="I979" s="278"/>
      <c r="J979" s="76">
        <v>3.1</v>
      </c>
      <c r="K979" s="66" t="str">
        <f>IF(_xlfn.XLOOKUP($J979,Catalogo!$B$7:$B$210,Catalogo!$I$7:$I$210,"",0)=0,"",_xlfn.XLOOKUP($J979,Catalogo!$B$7:$B$210,Catalogo!$I$7:$I$210,"",0))</f>
        <v>PRIORIZACION</v>
      </c>
      <c r="L979" s="36"/>
      <c r="M97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0" spans="1:14" x14ac:dyDescent="0.25">
      <c r="A980" s="358"/>
      <c r="B980" s="274" t="s">
        <v>410</v>
      </c>
      <c r="C980" s="275" t="s">
        <v>335</v>
      </c>
      <c r="D980" s="276" t="s">
        <v>403</v>
      </c>
      <c r="E980" s="379" t="s">
        <v>413</v>
      </c>
      <c r="F980" s="277"/>
      <c r="G980" s="277"/>
      <c r="H980" s="220" t="str">
        <f>IF(Tabla1[[#This Row],[Codigo_actividad]]&lt;&gt;2.5,IF(((Tabla1[[#This Row],[fin]]-Tabla1[[#This Row],[inicio]])/1000)=0,"",((Tabla1[[#This Row],[fin]]-Tabla1[[#This Row],[inicio]])/1000)),"")</f>
        <v/>
      </c>
      <c r="I980" s="278"/>
      <c r="J980" s="76">
        <v>3.1</v>
      </c>
      <c r="K980" s="66" t="str">
        <f>IF(_xlfn.XLOOKUP($J980,Catalogo!$B$7:$B$210,Catalogo!$I$7:$I$210,"",0)=0,"",_xlfn.XLOOKUP($J980,Catalogo!$B$7:$B$210,Catalogo!$I$7:$I$210,"",0))</f>
        <v>PRIORIZACION</v>
      </c>
      <c r="L980" s="36"/>
      <c r="M98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1" spans="1:14" x14ac:dyDescent="0.25">
      <c r="A981" s="350"/>
      <c r="C981" s="152"/>
      <c r="D981" s="39"/>
      <c r="F981" s="28"/>
      <c r="G981" s="28"/>
      <c r="H981" s="220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IF(_xlfn.XLOOKUP($J981,Catalogo!$B$7:$B$210,Catalogo!$I$7:$I$210,"",0)=0,"",_xlfn.XLOOKUP($J981,Catalogo!$B$7:$B$210,Catalogo!$I$7:$I$210,"",0))</f>
        <v/>
      </c>
      <c r="L981" s="36"/>
      <c r="M98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2" spans="1:14" x14ac:dyDescent="0.25">
      <c r="A982" s="352"/>
      <c r="B982" s="258" t="s">
        <v>410</v>
      </c>
      <c r="C982" s="259" t="s">
        <v>13</v>
      </c>
      <c r="D982" s="260" t="s">
        <v>403</v>
      </c>
      <c r="E982" s="373" t="s">
        <v>650</v>
      </c>
      <c r="F982" s="261"/>
      <c r="G982" s="261"/>
      <c r="H982" s="220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>
        <v>3.4</v>
      </c>
      <c r="K982" s="66" t="str">
        <f>IF(_xlfn.XLOOKUP($J982,Catalogo!$B$7:$B$210,Catalogo!$I$7:$I$210,"",0)=0,"",_xlfn.XLOOKUP($J982,Catalogo!$B$7:$B$210,Catalogo!$I$7:$I$210,"",0))</f>
        <v>REPORTE E3</v>
      </c>
      <c r="L982" s="36"/>
      <c r="M98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3" spans="1:14" x14ac:dyDescent="0.25">
      <c r="A983" s="353"/>
      <c r="B983" s="262" t="s">
        <v>410</v>
      </c>
      <c r="C983" s="263" t="s">
        <v>22</v>
      </c>
      <c r="D983" s="264" t="s">
        <v>403</v>
      </c>
      <c r="E983" s="374" t="s">
        <v>650</v>
      </c>
      <c r="F983" s="265"/>
      <c r="G983" s="265"/>
      <c r="H983" s="220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>
        <v>3.4</v>
      </c>
      <c r="K983" s="66" t="str">
        <f>IF(_xlfn.XLOOKUP($J983,Catalogo!$B$7:$B$210,Catalogo!$I$7:$I$210,"",0)=0,"",_xlfn.XLOOKUP($J983,Catalogo!$B$7:$B$210,Catalogo!$I$7:$I$210,"",0))</f>
        <v>REPORTE E3</v>
      </c>
      <c r="L983" s="36"/>
      <c r="M98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4" spans="1:14" x14ac:dyDescent="0.25">
      <c r="A984" s="400"/>
      <c r="B984" s="266" t="s">
        <v>410</v>
      </c>
      <c r="C984" s="267" t="s">
        <v>329</v>
      </c>
      <c r="D984" s="268" t="s">
        <v>403</v>
      </c>
      <c r="E984" s="375" t="s">
        <v>650</v>
      </c>
      <c r="F984" s="269"/>
      <c r="G984" s="269"/>
      <c r="H984" s="220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>
        <v>3.4</v>
      </c>
      <c r="K984" s="66" t="str">
        <f>IF(_xlfn.XLOOKUP($J984,Catalogo!$B$7:$B$210,Catalogo!$I$7:$I$210,"",0)=0,"",_xlfn.XLOOKUP($J984,Catalogo!$B$7:$B$210,Catalogo!$I$7:$I$210,"",0))</f>
        <v>REPORTE E3</v>
      </c>
      <c r="L984" s="36"/>
      <c r="M98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5" spans="1:14" x14ac:dyDescent="0.25">
      <c r="A985" s="401"/>
      <c r="B985" s="279" t="s">
        <v>410</v>
      </c>
      <c r="C985" s="280" t="s">
        <v>411</v>
      </c>
      <c r="D985" s="281" t="s">
        <v>403</v>
      </c>
      <c r="E985" s="376" t="s">
        <v>650</v>
      </c>
      <c r="F985" s="282"/>
      <c r="G985" s="282"/>
      <c r="H985" s="220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>
        <v>3.4</v>
      </c>
      <c r="K985" s="66" t="str">
        <f>IF(_xlfn.XLOOKUP($J985,Catalogo!$B$7:$B$210,Catalogo!$I$7:$I$210,"",0)=0,"",_xlfn.XLOOKUP($J985,Catalogo!$B$7:$B$210,Catalogo!$I$7:$I$210,"",0))</f>
        <v>REPORTE E3</v>
      </c>
      <c r="L985" s="36"/>
      <c r="M98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6" spans="1:14" x14ac:dyDescent="0.25">
      <c r="A986" s="402"/>
      <c r="B986" s="283" t="s">
        <v>410</v>
      </c>
      <c r="C986" s="284" t="s">
        <v>560</v>
      </c>
      <c r="D986" s="285" t="s">
        <v>403</v>
      </c>
      <c r="E986" s="377" t="s">
        <v>650</v>
      </c>
      <c r="F986" s="286"/>
      <c r="G986" s="286"/>
      <c r="H986" s="220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>
        <v>3.4</v>
      </c>
      <c r="K986" s="66" t="str">
        <f>IF(_xlfn.XLOOKUP($J986,Catalogo!$B$7:$B$210,Catalogo!$I$7:$I$210,"",0)=0,"",_xlfn.XLOOKUP($J986,Catalogo!$B$7:$B$210,Catalogo!$I$7:$I$210,"",0))</f>
        <v>REPORTE E3</v>
      </c>
      <c r="L986" s="36"/>
      <c r="M98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7" spans="1:14" x14ac:dyDescent="0.25">
      <c r="A987" s="403"/>
      <c r="B987" s="270" t="s">
        <v>410</v>
      </c>
      <c r="C987" s="271" t="s">
        <v>265</v>
      </c>
      <c r="D987" s="272" t="s">
        <v>403</v>
      </c>
      <c r="E987" s="378" t="s">
        <v>650</v>
      </c>
      <c r="F987" s="273"/>
      <c r="G987" s="273"/>
      <c r="H987" s="220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>
        <v>3.4</v>
      </c>
      <c r="K987" s="66" t="str">
        <f>IF(_xlfn.XLOOKUP($J987,Catalogo!$B$7:$B$210,Catalogo!$I$7:$I$210,"",0)=0,"",_xlfn.XLOOKUP($J987,Catalogo!$B$7:$B$210,Catalogo!$I$7:$I$210,"",0))</f>
        <v>REPORTE E3</v>
      </c>
      <c r="L987" s="36"/>
      <c r="M98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8" spans="1:14" x14ac:dyDescent="0.25">
      <c r="A988" s="358"/>
      <c r="B988" s="274" t="s">
        <v>410</v>
      </c>
      <c r="C988" s="275" t="s">
        <v>335</v>
      </c>
      <c r="D988" s="276" t="s">
        <v>403</v>
      </c>
      <c r="E988" s="379" t="s">
        <v>650</v>
      </c>
      <c r="F988" s="277"/>
      <c r="G988" s="277"/>
      <c r="H988" s="220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>
        <v>3.4</v>
      </c>
      <c r="K988" s="66" t="str">
        <f>IF(_xlfn.XLOOKUP($J988,Catalogo!$B$7:$B$210,Catalogo!$I$7:$I$210,"",0)=0,"",_xlfn.XLOOKUP($J988,Catalogo!$B$7:$B$210,Catalogo!$I$7:$I$210,"",0))</f>
        <v>REPORTE E3</v>
      </c>
      <c r="L988" s="36"/>
      <c r="M98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9" spans="1:14" x14ac:dyDescent="0.25">
      <c r="A989" s="350"/>
      <c r="C989" s="152"/>
      <c r="D989" s="39"/>
      <c r="F989" s="28"/>
      <c r="G989" s="28"/>
      <c r="H989" s="220" t="str">
        <f>IF(Tabla1[[#This Row],[Codigo_actividad]]&lt;&gt;2.5,IF(((Tabla1[[#This Row],[fin]]-Tabla1[[#This Row],[inicio]])/1000)=0,"",((Tabla1[[#This Row],[fin]]-Tabla1[[#This Row],[inicio]])/1000)),"")</f>
        <v/>
      </c>
      <c r="I989" s="66"/>
      <c r="J989" s="76"/>
      <c r="K989" s="55" t="str">
        <f>IF(_xlfn.XLOOKUP($J989,Catalogo!$B$7:$B$21,Catalogo!$I$7:$I$21,"",0)=0,"",_xlfn.XLOOKUP($J989,Catalogo!$B$7:$B$21,Catalogo!$I$7:$I$21,"",0))</f>
        <v/>
      </c>
      <c r="L989" s="36"/>
      <c r="M989" s="257">
        <f>IF(Tabla1[[#This Row],[Avance_km]]&lt;&gt;"",Tabla1[[#This Row],[Avance_km]],Tabla1[[#This Row],[Avance_Med]])*_xlfn.XLOOKUP(Tabla1[[#This Row],[Codigo_actividad]],Catalogo!$B$6:$B$51,Catalogo!$F$6:$F$51,0)</f>
        <v>0</v>
      </c>
      <c r="N989" t="str">
        <f>_xlfn.IFNA(_xlfn.XLOOKUP(Tabla1[[#This Row],[fin]],$P$379:$P$398,$T$379:$T$398),"")</f>
        <v/>
      </c>
    </row>
    <row r="990" spans="1:14" x14ac:dyDescent="0.25">
      <c r="A990" s="350"/>
      <c r="C990" s="152"/>
      <c r="D990" s="39"/>
      <c r="F990" s="28"/>
      <c r="G990" s="28"/>
      <c r="H990" s="220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IF(_xlfn.XLOOKUP($J990,Catalogo!$B$7:$B$21,Catalogo!$I$7:$I$21,"",0)=0,"",_xlfn.XLOOKUP($J990,Catalogo!$B$7:$B$21,Catalogo!$I$7:$I$21,"",0))</f>
        <v/>
      </c>
      <c r="L990" s="36"/>
      <c r="M990" s="257">
        <f>IF(Tabla1[[#This Row],[Avance_km]]&lt;&gt;"",Tabla1[[#This Row],[Avance_km]],Tabla1[[#This Row],[Avance_Med]])*_xlfn.XLOOKUP(Tabla1[[#This Row],[Codigo_actividad]],Catalogo!$B$6:$B$51,Catalogo!$F$6:$F$51,0)</f>
        <v>0</v>
      </c>
      <c r="N990" t="str">
        <f>_xlfn.IFNA(_xlfn.XLOOKUP(Tabla1[[#This Row],[fin]],$P$379:$P$398,$T$379:$T$398),"")</f>
        <v/>
      </c>
    </row>
    <row r="991" spans="1:14" x14ac:dyDescent="0.25">
      <c r="A991" s="355"/>
      <c r="B991" s="376"/>
      <c r="C991" s="280"/>
      <c r="D991" s="281"/>
      <c r="E991" s="376"/>
      <c r="F991" s="282"/>
      <c r="G991" s="282"/>
      <c r="H991" s="511" t="str">
        <f>IF(Tabla1[[#This Row],[Codigo_actividad]]&lt;&gt;2.5,IF(((Tabla1[[#This Row],[fin]]-Tabla1[[#This Row],[inicio]])/1000)=0,"",((Tabla1[[#This Row],[fin]]-Tabla1[[#This Row],[inicio]])/1000)),"")</f>
        <v/>
      </c>
      <c r="I991" s="512"/>
      <c r="J991" s="512"/>
      <c r="K991" s="515" t="str">
        <f>IF(_xlfn.XLOOKUP($J991,Catalogo!$B$7:$B$21,Catalogo!$I$7:$I$21,"",0)=0,"",_xlfn.XLOOKUP($J991,Catalogo!$B$7:$B$21,Catalogo!$I$7:$I$21,"",0))</f>
        <v/>
      </c>
      <c r="L991" s="513"/>
      <c r="M991" s="514">
        <f>IF(Tabla1[[#This Row],[Avance_km]]&lt;&gt;"",Tabla1[[#This Row],[Avance_km]],Tabla1[[#This Row],[Avance_Med]])*_xlfn.XLOOKUP(Tabla1[[#This Row],[Codigo_actividad]],Catalogo!$B$6:$B$51,Catalogo!$F$6:$F$51,0)</f>
        <v>0</v>
      </c>
      <c r="N991" s="515" t="str">
        <f>_xlfn.IFNA(_xlfn.XLOOKUP(Tabla1[[#This Row],[fin]],$P$379:$P$398,$T$379:$T$398),"")</f>
        <v/>
      </c>
    </row>
    <row r="992" spans="1:14" x14ac:dyDescent="0.25">
      <c r="A992" s="350"/>
      <c r="C992" s="152"/>
      <c r="D992" s="39"/>
      <c r="F992" s="28"/>
      <c r="G992" s="28"/>
      <c r="H992" s="220" t="str">
        <f>IF(Tabla1[[#This Row],[Codigo_actividad]]&lt;&gt;2.5,IF(((Tabla1[[#This Row],[fin]]-Tabla1[[#This Row],[inicio]])/1000)=0,"",((Tabla1[[#This Row],[fin]]-Tabla1[[#This Row],[inicio]])/1000)),"")</f>
        <v/>
      </c>
      <c r="I992" s="66"/>
      <c r="J992" s="76"/>
      <c r="K992" s="55" t="str">
        <f>IF(_xlfn.XLOOKUP($J992,Catalogo!$B$7:$B$210,Catalogo!$I$7:$I$210,"",0)=0,"",_xlfn.XLOOKUP($J992,Catalogo!$B$7:$B$210,Catalogo!$I$7:$I$210,"",0))</f>
        <v/>
      </c>
      <c r="L992" s="36"/>
      <c r="M99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93" spans="1:14" x14ac:dyDescent="0.25">
      <c r="A993" s="350">
        <v>46258</v>
      </c>
      <c r="B993" s="40" t="s">
        <v>522</v>
      </c>
      <c r="C993" s="152" t="s">
        <v>13</v>
      </c>
      <c r="D993" s="39" t="s">
        <v>403</v>
      </c>
      <c r="E993" s="40" t="s">
        <v>434</v>
      </c>
      <c r="F993" s="28"/>
      <c r="G993" s="28"/>
      <c r="H993" s="220" t="str">
        <f>IF(Tabla1[[#This Row],[Codigo_actividad]]&lt;&gt;2.5,IF(((Tabla1[[#This Row],[fin]]-Tabla1[[#This Row],[inicio]])/1000)=0,"",((Tabla1[[#This Row],[fin]]-Tabla1[[#This Row],[inicio]])/1000)),"")</f>
        <v/>
      </c>
      <c r="I993" s="66">
        <v>24</v>
      </c>
      <c r="J993" s="76">
        <v>4.9000000000000004</v>
      </c>
      <c r="K993" s="66" t="str">
        <f>IF(_xlfn.XLOOKUP($J993,Catalogo!$B$7:$B$210,Catalogo!$I$7:$I$210,"",0)=0,"",_xlfn.XLOOKUP($J993,Catalogo!$B$7:$B$210,Catalogo!$I$7:$I$210,"",0))</f>
        <v>COATING 2-4</v>
      </c>
      <c r="L993" s="36"/>
      <c r="M993" s="257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3" t="str">
        <f>_xlfn.IFNA(_xlfn.XLOOKUP(Tabla1[[#This Row],[fin]],$P$379:$P$398,$T$379:$T$398),"")</f>
        <v/>
      </c>
    </row>
    <row r="994" spans="1:14" x14ac:dyDescent="0.25">
      <c r="A994" s="350">
        <v>46258</v>
      </c>
      <c r="B994" s="40" t="s">
        <v>522</v>
      </c>
      <c r="C994" s="152" t="s">
        <v>22</v>
      </c>
      <c r="D994" s="39" t="s">
        <v>403</v>
      </c>
      <c r="E994" s="40" t="s">
        <v>435</v>
      </c>
      <c r="F994" s="28"/>
      <c r="G994" s="28"/>
      <c r="H994" s="220" t="str">
        <f>IF(Tabla1[[#This Row],[Codigo_actividad]]&lt;&gt;2.5,IF(((Tabla1[[#This Row],[fin]]-Tabla1[[#This Row],[inicio]])/1000)=0,"",((Tabla1[[#This Row],[fin]]-Tabla1[[#This Row],[inicio]])/1000)),"")</f>
        <v/>
      </c>
      <c r="I994" s="66">
        <v>24</v>
      </c>
      <c r="J994" s="433" t="s">
        <v>523</v>
      </c>
      <c r="K994" s="66" t="str">
        <f>IF(_xlfn.XLOOKUP($J994,Catalogo!$B$7:$B$210,Catalogo!$I$7:$I$210,"",0)=0,"",_xlfn.XLOOKUP($J994,Catalogo!$B$7:$B$210,Catalogo!$I$7:$I$210,"",0))</f>
        <v>COATING 6-8</v>
      </c>
      <c r="L994" s="36"/>
      <c r="M994" s="257">
        <f>IF(Tabla1[[#This Row],[Avance_km]]&lt;&gt;"",Tabla1[[#This Row],[Avance_km]],Tabla1[[#This Row],[Avance_Med]])*_xlfn.XLOOKUP(Tabla1[[#This Row],[Codigo_actividad]],Catalogo!$B$6:$B$51,Catalogo!$F$6:$F$51,0)</f>
        <v>167470.32</v>
      </c>
      <c r="N994" t="str">
        <f>_xlfn.IFNA(_xlfn.XLOOKUP(Tabla1[[#This Row],[fin]],$P$379:$P$398,$T$379:$T$398),"")</f>
        <v/>
      </c>
    </row>
    <row r="995" spans="1:14" x14ac:dyDescent="0.25">
      <c r="A995" s="350"/>
      <c r="C995" s="152"/>
      <c r="D995" s="39"/>
      <c r="F995" s="28"/>
      <c r="G995" s="28"/>
      <c r="H995" s="220" t="str">
        <f>IF(Tabla1[[#This Row],[Codigo_actividad]]&lt;&gt;2.5,IF(((Tabla1[[#This Row],[fin]]-Tabla1[[#This Row],[inicio]])/1000)=0,"",((Tabla1[[#This Row],[fin]]-Tabla1[[#This Row],[inicio]])/1000)),"")</f>
        <v/>
      </c>
      <c r="I995" s="66"/>
      <c r="J995" s="76"/>
      <c r="K995" s="55" t="str">
        <f>IF(_xlfn.XLOOKUP($J995,Catalogo!$B$7:$B$210,Catalogo!$I$7:$I$210,"",0)=0,"",_xlfn.XLOOKUP($J995,Catalogo!$B$7:$B$210,Catalogo!$I$7:$I$210,"",0))</f>
        <v/>
      </c>
      <c r="L995" s="36"/>
      <c r="M99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96" spans="1:14" x14ac:dyDescent="0.25">
      <c r="A996" s="350"/>
      <c r="C996" s="152"/>
      <c r="D996" s="39"/>
      <c r="F996" s="28"/>
      <c r="G996" s="28"/>
      <c r="H996" s="220">
        <f>SUBTOTAL(109,Tabla1[Avance_km])</f>
        <v>636.82017920048372</v>
      </c>
      <c r="I996" s="220"/>
      <c r="L996" s="36"/>
      <c r="M996" s="288">
        <f>+SUBTOTAL(9,Tabla1[EV])</f>
        <v>11233314.507239984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5">
    <cfRule type="cellIs" dxfId="4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7 D478:D495 D522:D556 D727:D854 D859:D914 D601:D725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nombres!$N$2:$N$5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nombres!$N$2:$N$6</xm:f>
          </x14:formula1>
          <xm:sqref>C248:C266 C269:C277 C290:C291 C293:C296 C280 C286:C287 C283 C300:C304</xm:sqref>
        </x14:dataValidation>
        <x14:dataValidation type="list" allowBlank="1" showInputMessage="1" showErrorMessage="1" xr:uid="{BC6A72A2-5CDC-4A3F-ADA1-8551F32AE030}">
          <x14:formula1>
            <xm:f>nombres!$N$2:$N$4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30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30">_xlfn._xlws.FILTER(_xlfn.UNIQUE(Tabla1[Ducto]), _xlfn.UNIQUE(Tabla1[Ducto])&lt;&gt;0)</f>
        <v>AC 8-6-4 in La Lira-Galeras</v>
      </c>
      <c r="C2" s="110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39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0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39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0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39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0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36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39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0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39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0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39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0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39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0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39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0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36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39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0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39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0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39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0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39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0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36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39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0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39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0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39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0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39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0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39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0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39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0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39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0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36"/>
      <c r="H21" s="79"/>
      <c r="I21" s="79"/>
      <c r="J21" s="139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0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39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0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39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0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39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0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39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0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39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0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39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0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36"/>
      <c r="H28" s="79"/>
      <c r="I28" s="79"/>
      <c r="J28" s="139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0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39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0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39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0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39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0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36"/>
      <c r="J32" s="139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0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36"/>
      <c r="J33" s="139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0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36"/>
      <c r="J34" s="139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0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36"/>
      <c r="J35" s="139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0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39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0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36"/>
      <c r="J37" s="139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0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36"/>
      <c r="J38" s="139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0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36"/>
      <c r="J39" s="139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0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39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0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39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0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36"/>
      <c r="J42" s="139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0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36"/>
      <c r="J43" s="139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0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39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0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39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0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39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0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36"/>
      <c r="J47" s="139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0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39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0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39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0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36"/>
      <c r="J50" s="139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0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36"/>
      <c r="J51" s="139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0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36"/>
      <c r="J52" s="139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0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36"/>
      <c r="J53" s="139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0">
        <f>+_xlfn.XLOOKUP(B54,Tabla1[Ducto],Tabla1[Length])</f>
        <v>1.175</v>
      </c>
      <c r="D54" s="161">
        <f>IFERROR(SUMIFS(Tabla1[Avance_km],Tabla1[Ducto],Resumen!$B54,Tabla1[nombre_actividad],D$1)/$C54,0)</f>
        <v>0</v>
      </c>
      <c r="E54" s="161">
        <f>IFERROR(SUMIFS(Tabla1[Avance_km],Tabla1[Ducto],Resumen!$B54,Tabla1[nombre_actividad],E$1)/$C54,0)</f>
        <v>0</v>
      </c>
      <c r="F54" s="161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39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0">
        <f>+_xlfn.XLOOKUP(B55,Tabla1[Ducto],Tabla1[Length])</f>
        <v>3.5</v>
      </c>
      <c r="D55" s="161">
        <f>IFERROR(SUMIFS(Tabla1[Avance_km],Tabla1[Ducto],Resumen!$B55,Tabla1[nombre_actividad],D$1)/$C55,0)</f>
        <v>0</v>
      </c>
      <c r="E55" s="161">
        <f>IFERROR(SUMIFS(Tabla1[Avance_km],Tabla1[Ducto],Resumen!$B55,Tabla1[nombre_actividad],E$1)/$C55,0)</f>
        <v>0</v>
      </c>
      <c r="F55" s="161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39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0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39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0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39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0">
        <f>+_xlfn.XLOOKUP(B58,Tabla1[Ducto],Tabla1[Length])</f>
        <v>1.2E-2</v>
      </c>
      <c r="D58" s="161">
        <f>IFERROR(SUMIFS(Tabla1[Avance_km],Tabla1[Ducto],Resumen!#REF!,Tabla1[nombre_actividad],D$1)/$C58,0)</f>
        <v>0</v>
      </c>
      <c r="E58" s="161">
        <f>IFERROR(SUMIFS(Tabla1[Avance_km],Tabla1[Ducto],Resumen!#REF!,Tabla1[nombre_actividad],E$1)/$C58,0)</f>
        <v>0</v>
      </c>
      <c r="F58" s="161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39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0">
        <f>+_xlfn.XLOOKUP(B59,Tabla1[Ducto],Tabla1[Length])</f>
        <v>3.1E-2</v>
      </c>
      <c r="D59" s="161">
        <f>IFERROR(SUMIFS(Tabla1[Avance_km],Tabla1[Ducto],Resumen!$B59,Tabla1[nombre_actividad],D$1)/$C59,0)</f>
        <v>1</v>
      </c>
      <c r="E59" s="161">
        <f>IFERROR(SUMIFS(Tabla1[Avance_km],Tabla1[Ducto],Resumen!$B59,Tabla1[nombre_actividad],E$1)/$C59,0)</f>
        <v>1</v>
      </c>
      <c r="F59" s="161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39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0">
        <f>+_xlfn.XLOOKUP(B60,Tabla1[Ducto],Tabla1[Length])</f>
        <v>1.8720000000000001</v>
      </c>
      <c r="D60" s="161">
        <f>IFERROR(SUMIFS(Tabla1[Avance_km],Tabla1[Ducto],Resumen!$B60,Tabla1[nombre_actividad],D$1)/$C60,0)</f>
        <v>1.0256410256410255</v>
      </c>
      <c r="E60" s="161">
        <f>IFERROR(SUMIFS(Tabla1[Avance_km],Tabla1[Ducto],Resumen!$B60,Tabla1[nombre_actividad],E$1)/$C60,0)</f>
        <v>1.0042735042735043</v>
      </c>
      <c r="F60" s="161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39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0">
        <f>+_xlfn.XLOOKUP(B61,Tabla1[Ducto],Tabla1[Length])</f>
        <v>8.9999999999999993E-3</v>
      </c>
      <c r="D61" s="161">
        <f>IFERROR(SUMIFS(Tabla1[Avance_km],Tabla1[Ducto],Resumen!$B61,Tabla1[nombre_actividad],D$1)/$C61,0)</f>
        <v>1.4444444444444444</v>
      </c>
      <c r="E61" s="161">
        <f>IFERROR(SUMIFS(Tabla1[Avance_km],Tabla1[Ducto],Resumen!$B61,Tabla1[nombre_actividad],E$1)/$C61,0)</f>
        <v>1.4444444444444444</v>
      </c>
      <c r="F61" s="161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39"/>
    </row>
    <row r="62" spans="1:10" ht="26.25" x14ac:dyDescent="0.25">
      <c r="A62" s="34" t="s">
        <v>329</v>
      </c>
      <c r="B62" s="34" t="str">
        <v>ESTACION ATONGO</v>
      </c>
      <c r="C62" s="110">
        <f>+_xlfn.XLOOKUP(B62,Tabla1[Ducto],Tabla1[Length])</f>
        <v>3.6999999999999998E-2</v>
      </c>
      <c r="D62" s="161">
        <f>IFERROR(SUMIFS(Tabla1[Avance_km],Tabla1[Ducto],Resumen!$B62,Tabla1[nombre_actividad],D$1)/$C62,0)</f>
        <v>1</v>
      </c>
      <c r="E62" s="161">
        <f>IFERROR(SUMIFS(Tabla1[Avance_km],Tabla1[Ducto],Resumen!$B62,Tabla1[nombre_actividad],E$1)/$C62,0)</f>
        <v>1</v>
      </c>
      <c r="F62" s="161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39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CITY GATE SJR-OMYA</v>
      </c>
    </row>
    <row r="119" spans="2:2" x14ac:dyDescent="0.25">
      <c r="B119" t="str">
        <v>CERRO DEL TAMBOR-PIE DE GALLO</v>
      </c>
    </row>
    <row r="120" spans="2:2" x14ac:dyDescent="0.25">
      <c r="B120" t="str">
        <v>LIRA_GALERAS</v>
      </c>
    </row>
    <row r="121" spans="2:2" x14ac:dyDescent="0.25">
      <c r="B121" t="str">
        <v>PECO_AGROS</v>
      </c>
    </row>
    <row r="122" spans="2:2" x14ac:dyDescent="0.25">
      <c r="B122" t="str">
        <v>SAN JUAN DEL RIO</v>
      </c>
    </row>
    <row r="123" spans="2:2" x14ac:dyDescent="0.25">
      <c r="B123" t="str">
        <v>LIRA_GALERAS_PECO</v>
      </c>
    </row>
    <row r="124" spans="2:2" x14ac:dyDescent="0.25">
      <c r="B124" t="str">
        <v>Gasoducto 1"  de abasto a la ERM Viborillas</v>
      </c>
    </row>
    <row r="125" spans="2:2" x14ac:dyDescent="0.25">
      <c r="B125" t="str">
        <v>Gasoducto 2" de abasto a la ERM Bachoco</v>
      </c>
    </row>
    <row r="126" spans="2:2" x14ac:dyDescent="0.25">
      <c r="B126" t="str">
        <v xml:space="preserve"> Gasoducto 3" de abasto a la ERM Porcelanite</v>
      </c>
    </row>
    <row r="127" spans="2:2" x14ac:dyDescent="0.25">
      <c r="B127" t="str">
        <v>Gasoducto 2" de abasto a la ERM Italgres</v>
      </c>
    </row>
    <row r="128" spans="2:2" x14ac:dyDescent="0.25">
      <c r="B128" t="str">
        <v>Gasoducto 2" de abasto a la ERM Artigraf</v>
      </c>
    </row>
    <row r="129" spans="2:2" x14ac:dyDescent="0.25">
      <c r="B129" t="str">
        <v>Gasoducto 6" de abasto a la ERM Kimberly</v>
      </c>
    </row>
    <row r="130" spans="2:2" x14ac:dyDescent="0.25">
      <c r="B130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606" t="s">
        <v>84</v>
      </c>
      <c r="E1" s="607"/>
      <c r="F1" s="607"/>
      <c r="G1" s="607"/>
      <c r="H1" s="607"/>
      <c r="I1" s="607"/>
      <c r="J1" s="607"/>
      <c r="K1" s="607"/>
      <c r="L1" s="2"/>
    </row>
    <row r="2" spans="2:15" ht="42.75" customHeight="1" x14ac:dyDescent="0.25">
      <c r="B2" s="2"/>
      <c r="C2" s="2"/>
      <c r="D2" s="607"/>
      <c r="E2" s="607"/>
      <c r="F2" s="607"/>
      <c r="G2" s="607"/>
      <c r="H2" s="607"/>
      <c r="I2" s="607"/>
      <c r="J2" s="607"/>
      <c r="K2" s="607"/>
      <c r="L2" s="2"/>
    </row>
    <row r="3" spans="2:15" x14ac:dyDescent="0.25">
      <c r="B3" s="599" t="s">
        <v>85</v>
      </c>
      <c r="C3" s="599"/>
      <c r="D3" s="599"/>
      <c r="E3" s="599"/>
      <c r="F3" s="599"/>
      <c r="G3" s="599" t="s">
        <v>86</v>
      </c>
      <c r="H3" s="599"/>
      <c r="I3" s="599"/>
      <c r="J3" s="599"/>
      <c r="K3" s="599"/>
      <c r="L3" s="3"/>
    </row>
    <row r="4" spans="2:15" x14ac:dyDescent="0.25">
      <c r="B4" s="608"/>
      <c r="C4" s="608"/>
      <c r="D4" s="608"/>
      <c r="E4" s="608"/>
      <c r="F4" s="608"/>
      <c r="G4" s="609" t="s">
        <v>87</v>
      </c>
      <c r="H4" s="609"/>
      <c r="I4" s="609"/>
      <c r="J4" s="609"/>
      <c r="K4" s="609"/>
      <c r="L4" s="3"/>
    </row>
    <row r="5" spans="2:15" ht="27" x14ac:dyDescent="0.25">
      <c r="B5" s="149" t="s">
        <v>88</v>
      </c>
      <c r="C5" s="599" t="s">
        <v>89</v>
      </c>
      <c r="D5" s="600"/>
      <c r="E5" s="600"/>
      <c r="F5" s="600"/>
      <c r="G5" s="149" t="s">
        <v>90</v>
      </c>
      <c r="H5" s="149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49">
        <v>1</v>
      </c>
      <c r="C6" s="602" t="s">
        <v>95</v>
      </c>
      <c r="D6" s="602"/>
      <c r="E6" s="602"/>
      <c r="F6" s="602"/>
      <c r="G6" s="149"/>
      <c r="H6" s="149"/>
      <c r="I6" s="4"/>
      <c r="J6" s="4"/>
      <c r="K6" s="4"/>
      <c r="L6" s="3"/>
    </row>
    <row r="7" spans="2:15" x14ac:dyDescent="0.25">
      <c r="B7" s="5">
        <v>1.1000000000000001</v>
      </c>
      <c r="C7" s="598" t="s">
        <v>96</v>
      </c>
      <c r="D7" s="598"/>
      <c r="E7" s="598"/>
      <c r="F7" s="598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98" t="s">
        <v>99</v>
      </c>
      <c r="D8" s="598"/>
      <c r="E8" s="598"/>
      <c r="F8" s="598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98" t="s">
        <v>100</v>
      </c>
      <c r="D9" s="598"/>
      <c r="E9" s="598"/>
      <c r="F9" s="598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605" t="s">
        <v>102</v>
      </c>
      <c r="D10" s="605"/>
      <c r="E10" s="605"/>
      <c r="F10" s="605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98" t="s">
        <v>103</v>
      </c>
      <c r="D11" s="598"/>
      <c r="E11" s="598"/>
      <c r="F11" s="598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98" t="s">
        <v>104</v>
      </c>
      <c r="D12" s="598"/>
      <c r="E12" s="598"/>
      <c r="F12" s="598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49">
        <v>2</v>
      </c>
      <c r="C13" s="602" t="s">
        <v>105</v>
      </c>
      <c r="D13" s="602"/>
      <c r="E13" s="602"/>
      <c r="F13" s="602"/>
      <c r="G13" s="149"/>
      <c r="H13" s="149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98" t="s">
        <v>107</v>
      </c>
      <c r="D14" s="598"/>
      <c r="E14" s="598"/>
      <c r="F14" s="598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98" t="s">
        <v>109</v>
      </c>
      <c r="D15" s="598"/>
      <c r="E15" s="598"/>
      <c r="F15" s="598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98" t="s">
        <v>110</v>
      </c>
      <c r="D16" s="598"/>
      <c r="E16" s="598"/>
      <c r="F16" s="598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604" t="s">
        <v>111</v>
      </c>
      <c r="D17" s="604"/>
      <c r="E17" s="604"/>
      <c r="F17" s="604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98" t="s">
        <v>112</v>
      </c>
      <c r="D18" s="598"/>
      <c r="E18" s="598"/>
      <c r="F18" s="598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98" t="s">
        <v>114</v>
      </c>
      <c r="D19" s="598"/>
      <c r="E19" s="598"/>
      <c r="F19" s="598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98" t="s">
        <v>115</v>
      </c>
      <c r="D20" s="598"/>
      <c r="E20" s="598"/>
      <c r="F20" s="598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98" t="s">
        <v>104</v>
      </c>
      <c r="D21" s="598"/>
      <c r="E21" s="598"/>
      <c r="F21" s="598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49">
        <v>3</v>
      </c>
      <c r="C22" s="602" t="s">
        <v>116</v>
      </c>
      <c r="D22" s="602"/>
      <c r="E22" s="602"/>
      <c r="F22" s="602"/>
      <c r="G22" s="149"/>
      <c r="H22" s="149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98" t="s">
        <v>117</v>
      </c>
      <c r="D23" s="598"/>
      <c r="E23" s="598"/>
      <c r="F23" s="598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98" t="s">
        <v>119</v>
      </c>
      <c r="D24" s="598"/>
      <c r="E24" s="598"/>
      <c r="F24" s="598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603" t="s">
        <v>121</v>
      </c>
      <c r="D25" s="603"/>
      <c r="E25" s="603"/>
      <c r="F25" s="603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98" t="s">
        <v>123</v>
      </c>
      <c r="D26" s="598"/>
      <c r="E26" s="598"/>
      <c r="F26" s="598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98" t="s">
        <v>125</v>
      </c>
      <c r="D27" s="598"/>
      <c r="E27" s="598"/>
      <c r="F27" s="598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98" t="s">
        <v>128</v>
      </c>
      <c r="D28" s="598"/>
      <c r="E28" s="598"/>
      <c r="F28" s="598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98" t="s">
        <v>130</v>
      </c>
      <c r="D29" s="598"/>
      <c r="E29" s="598"/>
      <c r="F29" s="598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98" t="s">
        <v>132</v>
      </c>
      <c r="D30" s="598"/>
      <c r="E30" s="598"/>
      <c r="F30" s="598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98" t="s">
        <v>134</v>
      </c>
      <c r="D31" s="598"/>
      <c r="E31" s="598"/>
      <c r="F31" s="598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98" t="s">
        <v>136</v>
      </c>
      <c r="D32" s="598"/>
      <c r="E32" s="598"/>
      <c r="F32" s="598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98" t="s">
        <v>138</v>
      </c>
      <c r="D33" s="598"/>
      <c r="E33" s="598"/>
      <c r="F33" s="598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98" t="s">
        <v>140</v>
      </c>
      <c r="D34" s="598"/>
      <c r="E34" s="598"/>
      <c r="F34" s="598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98" t="s">
        <v>141</v>
      </c>
      <c r="D35" s="598"/>
      <c r="E35" s="598"/>
      <c r="F35" s="598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49">
        <v>4</v>
      </c>
      <c r="C36" s="602" t="s">
        <v>142</v>
      </c>
      <c r="D36" s="602"/>
      <c r="E36" s="602"/>
      <c r="F36" s="602"/>
      <c r="G36" s="149"/>
      <c r="H36" s="149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98" t="s">
        <v>143</v>
      </c>
      <c r="D37" s="598"/>
      <c r="E37" s="598"/>
      <c r="F37" s="598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98" t="s">
        <v>144</v>
      </c>
      <c r="D38" s="598"/>
      <c r="E38" s="598"/>
      <c r="F38" s="598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98" t="s">
        <v>145</v>
      </c>
      <c r="D39" s="598"/>
      <c r="E39" s="598"/>
      <c r="F39" s="598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98" t="s">
        <v>146</v>
      </c>
      <c r="D40" s="598"/>
      <c r="E40" s="598"/>
      <c r="F40" s="598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98" t="s">
        <v>147</v>
      </c>
      <c r="D41" s="598"/>
      <c r="E41" s="598"/>
      <c r="F41" s="598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98" t="s">
        <v>148</v>
      </c>
      <c r="D42" s="598"/>
      <c r="E42" s="598"/>
      <c r="F42" s="598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98" t="s">
        <v>149</v>
      </c>
      <c r="D43" s="598"/>
      <c r="E43" s="598"/>
      <c r="F43" s="598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98" t="s">
        <v>150</v>
      </c>
      <c r="D44" s="598"/>
      <c r="E44" s="598"/>
      <c r="F44" s="598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98" t="s">
        <v>151</v>
      </c>
      <c r="D45" s="598"/>
      <c r="E45" s="598"/>
      <c r="F45" s="598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98" t="s">
        <v>153</v>
      </c>
      <c r="D46" s="598"/>
      <c r="E46" s="598"/>
      <c r="F46" s="598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98" t="s">
        <v>154</v>
      </c>
      <c r="D47" s="598"/>
      <c r="E47" s="598"/>
      <c r="F47" s="598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98" t="s">
        <v>155</v>
      </c>
      <c r="D48" s="598"/>
      <c r="E48" s="598"/>
      <c r="F48" s="598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49">
        <v>5</v>
      </c>
      <c r="C49" s="602" t="s">
        <v>156</v>
      </c>
      <c r="D49" s="602"/>
      <c r="E49" s="602"/>
      <c r="F49" s="602"/>
      <c r="G49" s="149"/>
      <c r="H49" s="149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98" t="s">
        <v>157</v>
      </c>
      <c r="D50" s="598"/>
      <c r="E50" s="598"/>
      <c r="F50" s="598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98" t="s">
        <v>159</v>
      </c>
      <c r="D51" s="598"/>
      <c r="E51" s="598"/>
      <c r="F51" s="598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601"/>
      <c r="C56" s="601"/>
      <c r="D56" s="601"/>
      <c r="E56" s="601"/>
      <c r="F56" s="601"/>
      <c r="G56" s="601"/>
      <c r="H56" s="601"/>
      <c r="I56" s="601"/>
      <c r="J56" s="601"/>
      <c r="K56" s="601"/>
      <c r="L56" s="3"/>
    </row>
    <row r="57" spans="2:12" ht="20.100000000000001" customHeight="1" x14ac:dyDescent="0.25">
      <c r="B57" s="601"/>
      <c r="C57" s="601"/>
      <c r="D57" s="601"/>
      <c r="E57" s="601"/>
      <c r="F57" s="601"/>
      <c r="G57" s="601"/>
      <c r="H57" s="601"/>
      <c r="I57" s="601"/>
      <c r="J57" s="601"/>
      <c r="K57" s="601"/>
      <c r="L57" s="3"/>
    </row>
    <row r="58" spans="2:12" ht="20.100000000000001" customHeight="1" x14ac:dyDescent="0.25">
      <c r="B58" s="601"/>
      <c r="C58" s="601"/>
      <c r="D58" s="601"/>
      <c r="E58" s="601"/>
      <c r="F58" s="601"/>
      <c r="G58" s="601"/>
      <c r="H58" s="601"/>
      <c r="I58" s="601"/>
      <c r="J58" s="601"/>
      <c r="K58" s="601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601"/>
      <c r="C61" s="601"/>
      <c r="D61" s="601"/>
      <c r="E61" s="601"/>
      <c r="F61" s="601"/>
      <c r="G61" s="601"/>
      <c r="H61" s="601"/>
      <c r="I61" s="601"/>
      <c r="J61" s="601"/>
      <c r="K61" s="601"/>
      <c r="L61" s="3"/>
    </row>
    <row r="62" spans="2:12" ht="20.100000000000001" customHeight="1" x14ac:dyDescent="0.25">
      <c r="B62" s="601"/>
      <c r="C62" s="601"/>
      <c r="D62" s="601"/>
      <c r="E62" s="601"/>
      <c r="F62" s="601"/>
      <c r="G62" s="601"/>
      <c r="H62" s="601"/>
      <c r="I62" s="601"/>
      <c r="J62" s="601"/>
      <c r="K62" s="601"/>
      <c r="L62" s="3"/>
    </row>
    <row r="63" spans="2:12" ht="20.100000000000001" customHeight="1" x14ac:dyDescent="0.25">
      <c r="B63" s="601"/>
      <c r="C63" s="601"/>
      <c r="D63" s="601"/>
      <c r="E63" s="601"/>
      <c r="F63" s="601"/>
      <c r="G63" s="601"/>
      <c r="H63" s="601"/>
      <c r="I63" s="601"/>
      <c r="J63" s="601"/>
      <c r="K63" s="601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49">
        <v>6</v>
      </c>
      <c r="C66" s="599" t="s">
        <v>163</v>
      </c>
      <c r="D66" s="600"/>
      <c r="E66" s="600"/>
      <c r="F66" s="600"/>
    </row>
    <row r="67" spans="2:12" x14ac:dyDescent="0.25">
      <c r="B67" s="5">
        <v>6.1</v>
      </c>
      <c r="C67" s="598" t="s">
        <v>164</v>
      </c>
      <c r="D67" s="598"/>
      <c r="E67" s="598"/>
      <c r="F67" s="598"/>
    </row>
    <row r="68" spans="2:12" x14ac:dyDescent="0.25">
      <c r="B68" s="5">
        <v>6.2</v>
      </c>
      <c r="C68" s="598" t="s">
        <v>165</v>
      </c>
      <c r="D68" s="598"/>
      <c r="E68" s="598"/>
      <c r="F68" s="598"/>
    </row>
    <row r="69" spans="2:12" x14ac:dyDescent="0.25">
      <c r="B69" s="5">
        <v>6.3</v>
      </c>
      <c r="C69" s="598" t="s">
        <v>166</v>
      </c>
      <c r="D69" s="598"/>
      <c r="E69" s="598"/>
      <c r="F69" s="598"/>
    </row>
    <row r="70" spans="2:12" x14ac:dyDescent="0.25">
      <c r="B70" s="5">
        <v>6.4</v>
      </c>
      <c r="C70" s="598" t="s">
        <v>167</v>
      </c>
      <c r="D70" s="598"/>
      <c r="E70" s="598"/>
      <c r="F70" s="598"/>
    </row>
    <row r="71" spans="2:12" x14ac:dyDescent="0.25">
      <c r="B71" s="5">
        <v>6.5</v>
      </c>
      <c r="C71" s="598" t="s">
        <v>168</v>
      </c>
      <c r="D71" s="598"/>
      <c r="E71" s="598"/>
      <c r="F71" s="598"/>
    </row>
    <row r="72" spans="2:12" x14ac:dyDescent="0.25">
      <c r="B72" s="5">
        <v>6.6</v>
      </c>
      <c r="C72" s="598" t="s">
        <v>169</v>
      </c>
      <c r="D72" s="598"/>
      <c r="E72" s="598"/>
      <c r="F72" s="598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28" customFormat="1" ht="66.75" customHeight="1" x14ac:dyDescent="0.25">
      <c r="B1" s="229">
        <v>2532.81</v>
      </c>
      <c r="C1" s="229">
        <v>3250.01</v>
      </c>
      <c r="D1" s="229">
        <v>985.32</v>
      </c>
      <c r="E1" s="229">
        <v>1062.92</v>
      </c>
      <c r="F1" s="229">
        <v>1337.25</v>
      </c>
      <c r="G1" s="229">
        <v>1581.21</v>
      </c>
      <c r="H1" s="229">
        <v>14521.41</v>
      </c>
      <c r="I1" s="230">
        <v>13555.63</v>
      </c>
      <c r="J1" s="229">
        <v>13555.63</v>
      </c>
      <c r="K1" s="230">
        <v>13696.28</v>
      </c>
      <c r="L1" s="229">
        <v>4658</v>
      </c>
      <c r="M1" s="229">
        <v>2257.42</v>
      </c>
      <c r="N1" s="229">
        <v>3540.12</v>
      </c>
      <c r="O1" s="229">
        <v>2646.28</v>
      </c>
      <c r="P1" s="229">
        <v>1970.65</v>
      </c>
      <c r="Q1" s="245">
        <v>1</v>
      </c>
    </row>
    <row r="2" spans="1:19" x14ac:dyDescent="0.25">
      <c r="B2" s="311">
        <v>1.1000000000000001</v>
      </c>
      <c r="C2" s="311">
        <v>1.2</v>
      </c>
      <c r="D2" s="311">
        <v>1.3</v>
      </c>
      <c r="E2" s="311">
        <v>1.4</v>
      </c>
      <c r="F2" s="311">
        <v>1.5</v>
      </c>
      <c r="G2" s="311">
        <v>1.6</v>
      </c>
      <c r="H2" s="313">
        <v>2.1</v>
      </c>
      <c r="I2" s="314">
        <v>2.2000000000000002</v>
      </c>
      <c r="J2" s="313">
        <v>2.2999999999999998</v>
      </c>
      <c r="K2" s="314">
        <v>2.4</v>
      </c>
      <c r="L2" s="315">
        <v>2.5</v>
      </c>
      <c r="M2" s="313">
        <v>2.6</v>
      </c>
      <c r="N2" s="313">
        <v>2.7</v>
      </c>
      <c r="O2" s="313">
        <v>2.8</v>
      </c>
      <c r="P2" s="313">
        <v>3.1</v>
      </c>
    </row>
    <row r="3" spans="1:19" s="1" customFormat="1" x14ac:dyDescent="0.25">
      <c r="B3" s="610" t="s">
        <v>398</v>
      </c>
      <c r="C3" s="610"/>
      <c r="D3" s="610"/>
      <c r="E3" s="610"/>
      <c r="F3" s="610"/>
      <c r="G3" s="610"/>
      <c r="H3" s="33" t="s">
        <v>79</v>
      </c>
      <c r="I3" s="33" t="s">
        <v>82</v>
      </c>
      <c r="J3" s="33" t="s">
        <v>80</v>
      </c>
      <c r="K3" s="33" t="s">
        <v>83</v>
      </c>
      <c r="L3" s="246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2" t="s">
        <v>397</v>
      </c>
      <c r="B4" s="312"/>
      <c r="C4" s="312"/>
      <c r="D4" s="312"/>
      <c r="E4" s="312"/>
      <c r="F4" s="312"/>
      <c r="G4" s="312"/>
      <c r="H4" s="312"/>
      <c r="I4" s="312"/>
      <c r="J4" s="312"/>
      <c r="K4" s="312"/>
      <c r="L4" s="312"/>
      <c r="M4" s="316"/>
      <c r="N4" s="312"/>
      <c r="O4" s="312"/>
      <c r="P4" s="312"/>
      <c r="Q4" s="232">
        <v>-11162921.84</v>
      </c>
      <c r="R4" s="13">
        <f>+SUMPRODUCT(B4:Q4,$B$1:$Q$1)</f>
        <v>-11162921.84</v>
      </c>
      <c r="S4" s="13"/>
    </row>
    <row r="5" spans="1:19" x14ac:dyDescent="0.25">
      <c r="A5" s="238">
        <v>45931</v>
      </c>
      <c r="B5" s="227">
        <f>+SUMIFS(Tabla1[Avance_Med],Tabla1[Fecha],"&gt;="&amp;$A5,Tabla1[Fecha],"&lt;="&amp;EOMONTH($A5,0),Tabla1[Codigo_actividad],B$2)</f>
        <v>0</v>
      </c>
      <c r="C5" s="227">
        <f>+SUMIFS(Tabla1[Avance_Med],Tabla1[Fecha],"&gt;="&amp;$A5,Tabla1[Fecha],"&lt;="&amp;EOMONTH($A5,0),Tabla1[Codigo_actividad],C$2)</f>
        <v>0</v>
      </c>
      <c r="D5" s="227">
        <f>+SUMIFS(Tabla1[Avance_Med],Tabla1[Fecha],"&gt;="&amp;$A5,Tabla1[Fecha],"&lt;="&amp;EOMONTH($A5,0),Tabla1[Codigo_actividad],D$2)</f>
        <v>0</v>
      </c>
      <c r="E5" s="227">
        <f>+SUMIFS(Tabla1[Avance_Med],Tabla1[Fecha],"&gt;="&amp;$A5,Tabla1[Fecha],"&lt;="&amp;EOMONTH($A5,0),Tabla1[Codigo_actividad],E$2)</f>
        <v>0</v>
      </c>
      <c r="F5" s="227">
        <f>+SUMIFS(Tabla1[Avance_Med],Tabla1[Fecha],"&gt;="&amp;$A5,Tabla1[Fecha],"&lt;="&amp;EOMONTH($A5,0),Tabla1[Codigo_actividad],F$2)</f>
        <v>0</v>
      </c>
      <c r="G5" s="227">
        <f>+SUMIFS(Tabla1[Avance_Med],Tabla1[Fecha],"&gt;="&amp;$A5,Tabla1[Fecha],"&lt;="&amp;EOMONTH($A5,0),Tabla1[Codigo_actividad],G$2)</f>
        <v>0</v>
      </c>
      <c r="H5" s="227">
        <f>+SUMIFS(Tabla1[Avance_km],Tabla1[Fecha],"&gt;="&amp;$A5,Tabla1[Fecha],"&lt;="&amp;EOMONTH($A5,0),Tabla1[nombre_actividad],H$3)</f>
        <v>0</v>
      </c>
      <c r="I5" s="33"/>
      <c r="J5" s="227">
        <f>+SUMIFS(Tabla1[Avance_km],Tabla1[Fecha],"&gt;="&amp;$A5,Tabla1[Fecha],"&lt;="&amp;EOMONTH($A5,0),Tabla1[nombre_actividad],$J$3,Tabla1[Avance_km],"&gt;0")</f>
        <v>0</v>
      </c>
      <c r="K5" s="33"/>
      <c r="L5" s="227">
        <f>+SUMIFS(Tabla1[Avance_Med],Tabla1[Fecha],"&gt;="&amp;$A5,Tabla1[Fecha],"&lt;="&amp;EOMONTH($A5,0),Tabla1[Codigo_actividad],L$2)</f>
        <v>0</v>
      </c>
      <c r="M5" s="227">
        <f>+SUMIFS(Tabla1[Avance_km],Tabla1[Fecha],"&gt;="&amp;$A5,Tabla1[Fecha],"&lt;="&amp;EOMONTH($A5,0),Tabla1[nombre_actividad],$M$3)</f>
        <v>0</v>
      </c>
      <c r="N5" s="227">
        <f>+SUMIFS(Tabla1[Avance_Med],Tabla1[Fecha],"&gt;="&amp;$A5,Tabla1[Fecha],"&lt;="&amp;EOMONTH($A5,0),Tabla1[Codigo_actividad],N$2)</f>
        <v>0</v>
      </c>
      <c r="O5" s="227">
        <f>+SUMIFS(Tabla1[Avance_Med],Tabla1[Fecha],"&gt;="&amp;$A5,Tabla1[Fecha],"&lt;="&amp;EOMONTH($A5,0),Tabla1[Codigo_actividad],O$2)</f>
        <v>0</v>
      </c>
      <c r="P5" s="227">
        <f>+SUMIFS(Tabla1[Avance_Med],Tabla1[Fecha],"&gt;="&amp;$A5,Tabla1[Fecha],"&lt;="&amp;EOMONTH($A5,0),Tabla1[Codigo_actividad],P$2)</f>
        <v>0</v>
      </c>
      <c r="Q5" s="232"/>
      <c r="R5" s="13">
        <f>+SUMPRODUCT(B5:P5,$B$1:$P$1)</f>
        <v>0</v>
      </c>
    </row>
    <row r="6" spans="1:19" x14ac:dyDescent="0.25">
      <c r="A6" s="238">
        <v>45962</v>
      </c>
      <c r="B6" s="227">
        <f>+SUMIFS(Tabla1[Avance_Med],Tabla1[Fecha],"&gt;="&amp;$A6,Tabla1[Fecha],"&lt;="&amp;EOMONTH($A6,0),Tabla1[Codigo_actividad],B$2)</f>
        <v>0</v>
      </c>
      <c r="C6" s="227">
        <f>+SUMIFS(Tabla1[Avance_Med],Tabla1[Fecha],"&gt;="&amp;$A6,Tabla1[Fecha],"&lt;="&amp;EOMONTH($A6,0),Tabla1[Codigo_actividad],C$2)</f>
        <v>0</v>
      </c>
      <c r="D6" s="227">
        <f>+SUMIFS(Tabla1[Avance_Med],Tabla1[Fecha],"&gt;="&amp;$A6,Tabla1[Fecha],"&lt;="&amp;EOMONTH($A6,0),Tabla1[Codigo_actividad],D$2)</f>
        <v>0</v>
      </c>
      <c r="E6" s="227">
        <f>+SUMIFS(Tabla1[Avance_Med],Tabla1[Fecha],"&gt;="&amp;$A6,Tabla1[Fecha],"&lt;="&amp;EOMONTH($A6,0),Tabla1[Codigo_actividad],E$2)</f>
        <v>0</v>
      </c>
      <c r="F6" s="227">
        <f>+SUMIFS(Tabla1[Avance_Med],Tabla1[Fecha],"&gt;="&amp;$A6,Tabla1[Fecha],"&lt;="&amp;EOMONTH($A6,0),Tabla1[Codigo_actividad],F$2)</f>
        <v>0</v>
      </c>
      <c r="G6" s="227">
        <f>+SUMIFS(Tabla1[Avance_Med],Tabla1[Fecha],"&gt;="&amp;$A6,Tabla1[Fecha],"&lt;="&amp;EOMONTH($A6,0),Tabla1[Codigo_actividad],G$2)</f>
        <v>0</v>
      </c>
      <c r="H6" s="227">
        <f>+SUMIFS(Tabla1[Avance_km],Tabla1[Fecha],"&gt;="&amp;$A6,Tabla1[Fecha],"&lt;="&amp;EOMONTH($A6,0),Tabla1[nombre_actividad],H$3)</f>
        <v>31.548999999999999</v>
      </c>
      <c r="I6" s="33"/>
      <c r="J6" s="227">
        <f>+SUMIFS(Tabla1[Avance_km],Tabla1[Fecha],"&gt;="&amp;$A6,Tabla1[Fecha],"&lt;="&amp;EOMONTH($A6,0),Tabla1[nombre_actividad],$J$3,Tabla1[Avance_km],"&gt;0")</f>
        <v>53.048999999999999</v>
      </c>
      <c r="K6" s="33"/>
      <c r="L6" s="227">
        <f>+SUMIFS(Tabla1[Avance_Med],Tabla1[Fecha],"&gt;="&amp;$A6,Tabla1[Fecha],"&lt;="&amp;EOMONTH($A6,0),Tabla1[Codigo_actividad],L$2)</f>
        <v>98</v>
      </c>
      <c r="M6" s="227">
        <f>+SUMIFS(Tabla1[Avance_km],Tabla1[Fecha],"&gt;="&amp;$A6,Tabla1[Fecha],"&lt;="&amp;EOMONTH($A6,0),Tabla1[nombre_actividad],$M$3)</f>
        <v>72.02200000000002</v>
      </c>
      <c r="N6" s="227">
        <f>+SUMIFS(Tabla1[Avance_Med],Tabla1[Fecha],"&gt;="&amp;$A6,Tabla1[Fecha],"&lt;="&amp;EOMONTH($A6,0),Tabla1[Codigo_actividad],N$2)</f>
        <v>0</v>
      </c>
      <c r="O6" s="227">
        <f>+SUMIFS(Tabla1[Avance_Med],Tabla1[Fecha],"&gt;="&amp;$A6,Tabla1[Fecha],"&lt;="&amp;EOMONTH($A6,0),Tabla1[Codigo_actividad],O$2)</f>
        <v>0</v>
      </c>
      <c r="P6" s="227">
        <f>+SUMIFS(Tabla1[Avance_Med],Tabla1[Fecha],"&gt;="&amp;$A6,Tabla1[Fecha],"&lt;="&amp;EOMONTH($A6,0),Tabla1[Codigo_actividad],P$2)</f>
        <v>0</v>
      </c>
      <c r="Q6" s="232"/>
      <c r="R6" s="13">
        <f t="shared" ref="R6:R19" si="0">+SUMPRODUCT(B6:P6,$B$1:$P$1)</f>
        <v>1796316.4832000001</v>
      </c>
    </row>
    <row r="7" spans="1:19" x14ac:dyDescent="0.25">
      <c r="A7" s="238">
        <v>45992</v>
      </c>
      <c r="B7" s="227">
        <f>+SUMIFS(Tabla1[Avance_Med],Tabla1[Fecha],"&gt;="&amp;$A7,Tabla1[Fecha],"&lt;="&amp;EOMONTH($A7,0),Tabla1[Codigo_actividad],B$2)</f>
        <v>0</v>
      </c>
      <c r="C7" s="227">
        <f>+SUMIFS(Tabla1[Avance_Med],Tabla1[Fecha],"&gt;="&amp;$A7,Tabla1[Fecha],"&lt;="&amp;EOMONTH($A7,0),Tabla1[Codigo_actividad],C$2)</f>
        <v>0</v>
      </c>
      <c r="D7" s="227">
        <f>+SUMIFS(Tabla1[Avance_Med],Tabla1[Fecha],"&gt;="&amp;$A7,Tabla1[Fecha],"&lt;="&amp;EOMONTH($A7,0),Tabla1[Codigo_actividad],D$2)</f>
        <v>0</v>
      </c>
      <c r="E7" s="227">
        <f>+SUMIFS(Tabla1[Avance_Med],Tabla1[Fecha],"&gt;="&amp;$A7,Tabla1[Fecha],"&lt;="&amp;EOMONTH($A7,0),Tabla1[Codigo_actividad],E$2)</f>
        <v>0</v>
      </c>
      <c r="F7" s="227">
        <f>+SUMIFS(Tabla1[Avance_Med],Tabla1[Fecha],"&gt;="&amp;$A7,Tabla1[Fecha],"&lt;="&amp;EOMONTH($A7,0),Tabla1[Codigo_actividad],F$2)</f>
        <v>0</v>
      </c>
      <c r="G7" s="227">
        <f>+SUMIFS(Tabla1[Avance_Med],Tabla1[Fecha],"&gt;="&amp;$A7,Tabla1[Fecha],"&lt;="&amp;EOMONTH($A7,0),Tabla1[Codigo_actividad],G$2)</f>
        <v>0</v>
      </c>
      <c r="H7" s="227">
        <f>+SUMIFS(Tabla1[Avance_km],Tabla1[Fecha],"&gt;="&amp;$A7,Tabla1[Fecha],"&lt;="&amp;EOMONTH($A7,0),Tabla1[nombre_actividad],H$3)</f>
        <v>31.517000000000003</v>
      </c>
      <c r="I7" s="33"/>
      <c r="J7" s="227">
        <f>+SUMIFS(Tabla1[Avance_km],Tabla1[Fecha],"&gt;="&amp;$A7,Tabla1[Fecha],"&lt;="&amp;EOMONTH($A7,0),Tabla1[nombre_actividad],$J$3,Tabla1[Avance_km],"&gt;0")</f>
        <v>31.543999999999993</v>
      </c>
      <c r="K7" s="33"/>
      <c r="L7" s="227">
        <f>+SUMIFS(Tabla1[Avance_Med],Tabla1[Fecha],"&gt;="&amp;$A7,Tabla1[Fecha],"&lt;="&amp;EOMONTH($A7,0),Tabla1[Codigo_actividad],L$2)</f>
        <v>130</v>
      </c>
      <c r="M7" s="227">
        <f>+SUMIFS(Tabla1[Avance_km],Tabla1[Fecha],"&gt;="&amp;$A7,Tabla1[Fecha],"&lt;="&amp;EOMONTH($A7,0),Tabla1[nombre_actividad],$M$3)</f>
        <v>21.183</v>
      </c>
      <c r="N7" s="227">
        <f>+SUMIFS(Tabla1[Avance_Med],Tabla1[Fecha],"&gt;="&amp;$A7,Tabla1[Fecha],"&lt;="&amp;EOMONTH($A7,0),Tabla1[Codigo_actividad],N$2)</f>
        <v>0</v>
      </c>
      <c r="O7" s="227">
        <f>+SUMIFS(Tabla1[Avance_Med],Tabla1[Fecha],"&gt;="&amp;$A7,Tabla1[Fecha],"&lt;="&amp;EOMONTH($A7,0),Tabla1[Codigo_actividad],O$2)</f>
        <v>0</v>
      </c>
      <c r="P7" s="227">
        <f>+SUMIFS(Tabla1[Avance_Med],Tabla1[Fecha],"&gt;="&amp;$A7,Tabla1[Fecha],"&lt;="&amp;EOMONTH($A7,0),Tabla1[Codigo_actividad],P$2)</f>
        <v>0</v>
      </c>
      <c r="Q7" s="232"/>
      <c r="R7" s="13">
        <f t="shared" si="0"/>
        <v>1538628.9995499998</v>
      </c>
    </row>
    <row r="8" spans="1:19" x14ac:dyDescent="0.25">
      <c r="A8" s="238">
        <v>46023</v>
      </c>
      <c r="B8" s="227">
        <f>+SUMIFS(Tabla1[Avance_Med],Tabla1[Fecha],"&gt;="&amp;$A8,Tabla1[Fecha],"&lt;="&amp;EOMONTH($A8,0),Tabla1[Codigo_actividad],B$2)</f>
        <v>0</v>
      </c>
      <c r="C8" s="227">
        <f>+SUMIFS(Tabla1[Avance_Med],Tabla1[Fecha],"&gt;="&amp;$A8,Tabla1[Fecha],"&lt;="&amp;EOMONTH($A8,0),Tabla1[Codigo_actividad],C$2)</f>
        <v>0</v>
      </c>
      <c r="D8" s="227">
        <f>+SUMIFS(Tabla1[Avance_Med],Tabla1[Fecha],"&gt;="&amp;$A8,Tabla1[Fecha],"&lt;="&amp;EOMONTH($A8,0),Tabla1[Codigo_actividad],D$2)</f>
        <v>0</v>
      </c>
      <c r="E8" s="227">
        <f>+SUMIFS(Tabla1[Avance_Med],Tabla1[Fecha],"&gt;="&amp;$A8,Tabla1[Fecha],"&lt;="&amp;EOMONTH($A8,0),Tabla1[Codigo_actividad],E$2)</f>
        <v>0</v>
      </c>
      <c r="F8" s="227">
        <f>+SUMIFS(Tabla1[Avance_Med],Tabla1[Fecha],"&gt;="&amp;$A8,Tabla1[Fecha],"&lt;="&amp;EOMONTH($A8,0),Tabla1[Codigo_actividad],F$2)</f>
        <v>0</v>
      </c>
      <c r="G8" s="227">
        <f>+SUMIFS(Tabla1[Avance_Med],Tabla1[Fecha],"&gt;="&amp;$A8,Tabla1[Fecha],"&lt;="&amp;EOMONTH($A8,0),Tabla1[Codigo_actividad],G$2)</f>
        <v>0</v>
      </c>
      <c r="H8" s="227">
        <f>+SUMIFS(Tabla1[Avance_km],Tabla1[Fecha],"&gt;="&amp;$A8,Tabla1[Fecha],"&lt;="&amp;EOMONTH($A8,0),Tabla1[nombre_actividad],H$3)</f>
        <v>36.840000000000011</v>
      </c>
      <c r="I8" s="33"/>
      <c r="J8" s="227">
        <f>+SUMIFS(Tabla1[Avance_km],Tabla1[Fecha],"&gt;="&amp;$A8,Tabla1[Fecha],"&lt;="&amp;EOMONTH($A8,0),Tabla1[nombre_actividad],$J$3,Tabla1[Avance_km],"&gt;0")</f>
        <v>15.313000000000004</v>
      </c>
      <c r="K8" s="33"/>
      <c r="L8" s="227">
        <f>+SUMIFS(Tabla1[Avance_Med],Tabla1[Fecha],"&gt;="&amp;$A8,Tabla1[Fecha],"&lt;="&amp;EOMONTH($A8,0),Tabla1[Codigo_actividad],L$2)</f>
        <v>130</v>
      </c>
      <c r="M8" s="227">
        <f>+SUMIFS(Tabla1[Avance_km],Tabla1[Fecha],"&gt;="&amp;$A8,Tabla1[Fecha],"&lt;="&amp;EOMONTH($A8,0),Tabla1[nombre_actividad],$M$3)</f>
        <v>6.7009999999999996</v>
      </c>
      <c r="N8" s="227">
        <f>+SUMIFS(Tabla1[Avance_Med],Tabla1[Fecha],"&gt;="&amp;$A8,Tabla1[Fecha],"&lt;="&amp;EOMONTH($A8,0),Tabla1[Codigo_actividad],N$2)</f>
        <v>0</v>
      </c>
      <c r="O8" s="227">
        <f>+SUMIFS(Tabla1[Avance_Med],Tabla1[Fecha],"&gt;="&amp;$A8,Tabla1[Fecha],"&lt;="&amp;EOMONTH($A8,0),Tabla1[Codigo_actividad],O$2)</f>
        <v>0</v>
      </c>
      <c r="P8" s="227">
        <f>+SUMIFS(Tabla1[Avance_Med],Tabla1[Fecha],"&gt;="&amp;$A8,Tabla1[Fecha],"&lt;="&amp;EOMONTH($A8,0),Tabla1[Codigo_actividad],P$2)</f>
        <v>0</v>
      </c>
      <c r="Q8" s="232"/>
      <c r="R8" s="13">
        <f t="shared" si="0"/>
        <v>1363213.0780100003</v>
      </c>
    </row>
    <row r="9" spans="1:19" x14ac:dyDescent="0.25">
      <c r="A9" s="238">
        <v>46054</v>
      </c>
      <c r="B9" s="227">
        <f>+SUMIFS(Tabla1[Avance_Med],Tabla1[Fecha],"&gt;="&amp;$A9,Tabla1[Fecha],"&lt;="&amp;EOMONTH($A9,0),Tabla1[Codigo_actividad],B$2)</f>
        <v>0</v>
      </c>
      <c r="C9" s="227">
        <f>+SUMIFS(Tabla1[Avance_Med],Tabla1[Fecha],"&gt;="&amp;$A9,Tabla1[Fecha],"&lt;="&amp;EOMONTH($A9,0),Tabla1[Codigo_actividad],C$2)</f>
        <v>0</v>
      </c>
      <c r="D9" s="227">
        <f>+SUMIFS(Tabla1[Avance_Med],Tabla1[Fecha],"&gt;="&amp;$A9,Tabla1[Fecha],"&lt;="&amp;EOMONTH($A9,0),Tabla1[Codigo_actividad],D$2)</f>
        <v>0</v>
      </c>
      <c r="E9" s="227">
        <f>+SUMIFS(Tabla1[Avance_Med],Tabla1[Fecha],"&gt;="&amp;$A9,Tabla1[Fecha],"&lt;="&amp;EOMONTH($A9,0),Tabla1[Codigo_actividad],E$2)</f>
        <v>0</v>
      </c>
      <c r="F9" s="227">
        <f>+SUMIFS(Tabla1[Avance_Med],Tabla1[Fecha],"&gt;="&amp;$A9,Tabla1[Fecha],"&lt;="&amp;EOMONTH($A9,0),Tabla1[Codigo_actividad],F$2)</f>
        <v>0</v>
      </c>
      <c r="G9" s="227">
        <f>+SUMIFS(Tabla1[Avance_Med],Tabla1[Fecha],"&gt;="&amp;$A9,Tabla1[Fecha],"&lt;="&amp;EOMONTH($A9,0),Tabla1[Codigo_actividad],G$2)</f>
        <v>0</v>
      </c>
      <c r="H9" s="227">
        <f>+SUMIFS(Tabla1[Avance_km],Tabla1[Fecha],"&gt;="&amp;$A9,Tabla1[Fecha],"&lt;="&amp;EOMONTH($A9,0),Tabla1[nombre_actividad],H$3)</f>
        <v>0</v>
      </c>
      <c r="I9" s="33"/>
      <c r="J9" s="227">
        <f>+SUMIFS(Tabla1[Avance_km],Tabla1[Fecha],"&gt;="&amp;$A9,Tabla1[Fecha],"&lt;="&amp;EOMONTH($A9,0),Tabla1[nombre_actividad],$J$3,Tabla1[Avance_km],"&gt;0")</f>
        <v>0</v>
      </c>
      <c r="K9" s="33"/>
      <c r="L9" s="227">
        <f>+SUMIFS(Tabla1[Avance_Med],Tabla1[Fecha],"&gt;="&amp;$A9,Tabla1[Fecha],"&lt;="&amp;EOMONTH($A9,0),Tabla1[Codigo_actividad],L$2)</f>
        <v>18</v>
      </c>
      <c r="M9" s="227">
        <f>+SUMIFS(Tabla1[Avance_km],Tabla1[Fecha],"&gt;="&amp;$A9,Tabla1[Fecha],"&lt;="&amp;EOMONTH($A9,0),Tabla1[nombre_actividad],$M$3)</f>
        <v>0</v>
      </c>
      <c r="N9" s="227">
        <f>+SUMIFS(Tabla1[Avance_Med],Tabla1[Fecha],"&gt;="&amp;$A9,Tabla1[Fecha],"&lt;="&amp;EOMONTH($A9,0),Tabla1[Codigo_actividad],N$2)</f>
        <v>0</v>
      </c>
      <c r="O9" s="227">
        <f>+SUMIFS(Tabla1[Avance_Med],Tabla1[Fecha],"&gt;="&amp;$A9,Tabla1[Fecha],"&lt;="&amp;EOMONTH($A9,0),Tabla1[Codigo_actividad],O$2)</f>
        <v>0</v>
      </c>
      <c r="P9" s="227">
        <f>+SUMIFS(Tabla1[Avance_Med],Tabla1[Fecha],"&gt;="&amp;$A9,Tabla1[Fecha],"&lt;="&amp;EOMONTH($A9,0),Tabla1[Codigo_actividad],P$2)</f>
        <v>0</v>
      </c>
      <c r="Q9" s="232"/>
      <c r="R9" s="13">
        <f t="shared" si="0"/>
        <v>83844</v>
      </c>
    </row>
    <row r="10" spans="1:19" x14ac:dyDescent="0.25">
      <c r="A10" s="238">
        <v>46082</v>
      </c>
      <c r="B10" s="227">
        <f>+SUMIFS(Tabla1[Avance_Med],Tabla1[Fecha],"&gt;="&amp;$A10,Tabla1[Fecha],"&lt;="&amp;EOMONTH($A10,0),Tabla1[Codigo_actividad],B$2)</f>
        <v>99</v>
      </c>
      <c r="C10" s="227">
        <f>+SUMIFS(Tabla1[Avance_Med],Tabla1[Fecha],"&gt;="&amp;$A10,Tabla1[Fecha],"&lt;="&amp;EOMONTH($A10,0),Tabla1[Codigo_actividad],C$2)</f>
        <v>99</v>
      </c>
      <c r="D10" s="227">
        <f>+SUMIFS(Tabla1[Avance_Med],Tabla1[Fecha],"&gt;="&amp;$A10,Tabla1[Fecha],"&lt;="&amp;EOMONTH($A10,0),Tabla1[Codigo_actividad],D$2)</f>
        <v>99</v>
      </c>
      <c r="E10" s="227">
        <f>+SUMIFS(Tabla1[Avance_Med],Tabla1[Fecha],"&gt;="&amp;$A10,Tabla1[Fecha],"&lt;="&amp;EOMONTH($A10,0),Tabla1[Codigo_actividad],E$2)</f>
        <v>99</v>
      </c>
      <c r="F10" s="227">
        <f>+SUMIFS(Tabla1[Avance_Med],Tabla1[Fecha],"&gt;="&amp;$A10,Tabla1[Fecha],"&lt;="&amp;EOMONTH($A10,0),Tabla1[Codigo_actividad],F$2)</f>
        <v>99</v>
      </c>
      <c r="G10" s="227">
        <f>+SUMIFS(Tabla1[Avance_Med],Tabla1[Fecha],"&gt;="&amp;$A10,Tabla1[Fecha],"&lt;="&amp;EOMONTH($A10,0),Tabla1[Codigo_actividad],G$2)</f>
        <v>99</v>
      </c>
      <c r="H10" s="227">
        <f>+SUMIFS(Tabla1[Avance_km],Tabla1[Fecha],"&gt;="&amp;$A10,Tabla1[Fecha],"&lt;="&amp;EOMONTH($A10,0),Tabla1[nombre_actividad],H$3)</f>
        <v>0</v>
      </c>
      <c r="I10" s="33"/>
      <c r="J10" s="227">
        <f>+SUMIFS(Tabla1[Avance_km],Tabla1[Fecha],"&gt;="&amp;$A10,Tabla1[Fecha],"&lt;="&amp;EOMONTH($A10,0),Tabla1[nombre_actividad],$J$3,Tabla1[Avance_km],"&gt;0")</f>
        <v>0</v>
      </c>
      <c r="K10" s="33"/>
      <c r="L10" s="227">
        <f>+SUMIFS(Tabla1[Avance_Med],Tabla1[Fecha],"&gt;="&amp;$A10,Tabla1[Fecha],"&lt;="&amp;EOMONTH($A10,0),Tabla1[Codigo_actividad],L$2)</f>
        <v>0</v>
      </c>
      <c r="M10" s="227">
        <f>+SUMIFS(Tabla1[Avance_km],Tabla1[Fecha],"&gt;="&amp;$A10,Tabla1[Fecha],"&lt;="&amp;EOMONTH($A10,0),Tabla1[nombre_actividad],$M$3)</f>
        <v>3.6</v>
      </c>
      <c r="N10" s="227">
        <f>+SUMIFS(Tabla1[Avance_Med],Tabla1[Fecha],"&gt;="&amp;$A10,Tabla1[Fecha],"&lt;="&amp;EOMONTH($A10,0),Tabla1[Codigo_actividad],N$2)</f>
        <v>54</v>
      </c>
      <c r="O10" s="227">
        <f>+SUMIFS(Tabla1[Avance_Med],Tabla1[Fecha],"&gt;="&amp;$A10,Tabla1[Fecha],"&lt;="&amp;EOMONTH($A10,0),Tabla1[Codigo_actividad],O$2)</f>
        <v>54</v>
      </c>
      <c r="P10" s="227">
        <f>+SUMIFS(Tabla1[Avance_Med],Tabla1[Fecha],"&gt;="&amp;$A10,Tabla1[Fecha],"&lt;="&amp;EOMONTH($A10,0),Tabla1[Codigo_actividad],P$2)</f>
        <v>54</v>
      </c>
      <c r="Q10" s="232"/>
      <c r="R10" s="13">
        <f t="shared" si="0"/>
        <v>1512809.8920000002</v>
      </c>
    </row>
    <row r="11" spans="1:19" x14ac:dyDescent="0.25">
      <c r="A11" s="238">
        <v>46113</v>
      </c>
      <c r="B11" s="227">
        <f>+SUMIFS(Tabla1[Avance_Med],Tabla1[Fecha],"&gt;="&amp;$A11,Tabla1[Fecha],"&lt;="&amp;EOMONTH($A11,0),Tabla1[Codigo_actividad],B$2)</f>
        <v>17</v>
      </c>
      <c r="C11" s="227">
        <f>+SUMIFS(Tabla1[Avance_Med],Tabla1[Fecha],"&gt;="&amp;$A11,Tabla1[Fecha],"&lt;="&amp;EOMONTH($A11,0),Tabla1[Codigo_actividad],C$2)</f>
        <v>17</v>
      </c>
      <c r="D11" s="227">
        <f>+SUMIFS(Tabla1[Avance_Med],Tabla1[Fecha],"&gt;="&amp;$A11,Tabla1[Fecha],"&lt;="&amp;EOMONTH($A11,0),Tabla1[Codigo_actividad],D$2)</f>
        <v>17</v>
      </c>
      <c r="E11" s="227">
        <f>+SUMIFS(Tabla1[Avance_Med],Tabla1[Fecha],"&gt;="&amp;$A11,Tabla1[Fecha],"&lt;="&amp;EOMONTH($A11,0),Tabla1[Codigo_actividad],E$2)</f>
        <v>17</v>
      </c>
      <c r="F11" s="227">
        <f>+SUMIFS(Tabla1[Avance_Med],Tabla1[Fecha],"&gt;="&amp;$A11,Tabla1[Fecha],"&lt;="&amp;EOMONTH($A11,0),Tabla1[Codigo_actividad],F$2)</f>
        <v>17</v>
      </c>
      <c r="G11" s="227">
        <f>+SUMIFS(Tabla1[Avance_Med],Tabla1[Fecha],"&gt;="&amp;$A11,Tabla1[Fecha],"&lt;="&amp;EOMONTH($A11,0),Tabla1[Codigo_actividad],G$2)</f>
        <v>17</v>
      </c>
      <c r="H11" s="227">
        <f>+SUMIFS(Tabla1[Avance_km],Tabla1[Fecha],"&gt;="&amp;$A11,Tabla1[Fecha],"&lt;="&amp;EOMONTH($A11,0),Tabla1[nombre_actividad],H$3)</f>
        <v>0</v>
      </c>
      <c r="I11" s="33"/>
      <c r="J11" s="227">
        <f>+SUMIFS(Tabla1[Avance_km],Tabla1[Fecha],"&gt;="&amp;$A11,Tabla1[Fecha],"&lt;="&amp;EOMONTH($A11,0),Tabla1[nombre_actividad],$J$3,Tabla1[Avance_km],"&gt;0")</f>
        <v>5.9550000000000001</v>
      </c>
      <c r="K11" s="33"/>
      <c r="L11" s="227">
        <f>+SUMIFS(Tabla1[Avance_Med],Tabla1[Fecha],"&gt;="&amp;$A11,Tabla1[Fecha],"&lt;="&amp;EOMONTH($A11,0),Tabla1[Codigo_actividad],L$2)</f>
        <v>0</v>
      </c>
      <c r="M11" s="227">
        <f>+SUMIFS(Tabla1[Avance_km],Tabla1[Fecha],"&gt;="&amp;$A11,Tabla1[Fecha],"&lt;="&amp;EOMONTH($A11,0),Tabla1[nombre_actividad],$M$3)</f>
        <v>21.635999999999999</v>
      </c>
      <c r="N11" s="227">
        <f>+SUMIFS(Tabla1[Avance_Med],Tabla1[Fecha],"&gt;="&amp;$A11,Tabla1[Fecha],"&lt;="&amp;EOMONTH($A11,0),Tabla1[Codigo_actividad],N$2)</f>
        <v>0</v>
      </c>
      <c r="O11" s="227">
        <f>+SUMIFS(Tabla1[Avance_Med],Tabla1[Fecha],"&gt;="&amp;$A11,Tabla1[Fecha],"&lt;="&amp;EOMONTH($A11,0),Tabla1[Codigo_actividad],O$2)</f>
        <v>0</v>
      </c>
      <c r="P11" s="227">
        <f>+SUMIFS(Tabla1[Avance_Med],Tabla1[Fecha],"&gt;="&amp;$A11,Tabla1[Fecha],"&lt;="&amp;EOMONTH($A11,0),Tabla1[Codigo_actividad],P$2)</f>
        <v>0</v>
      </c>
      <c r="Q11" s="232"/>
      <c r="R11" s="13">
        <f t="shared" si="0"/>
        <v>312307.15577000007</v>
      </c>
    </row>
    <row r="12" spans="1:19" x14ac:dyDescent="0.25">
      <c r="A12" s="238">
        <v>46143</v>
      </c>
      <c r="B12" s="227">
        <f>+SUMIFS(Tabla1[Avance_Med],Tabla1[Fecha],"&gt;="&amp;$A12,Tabla1[Fecha],"&lt;="&amp;EOMONTH($A12,0),Tabla1[Codigo_actividad],B$2)</f>
        <v>0</v>
      </c>
      <c r="C12" s="227">
        <f>+SUMIFS(Tabla1[Avance_Med],Tabla1[Fecha],"&gt;="&amp;$A12,Tabla1[Fecha],"&lt;="&amp;EOMONTH($A12,0),Tabla1[Codigo_actividad],C$2)</f>
        <v>0</v>
      </c>
      <c r="D12" s="227">
        <f>+SUMIFS(Tabla1[Avance_Med],Tabla1[Fecha],"&gt;="&amp;$A12,Tabla1[Fecha],"&lt;="&amp;EOMONTH($A12,0),Tabla1[Codigo_actividad],D$2)</f>
        <v>0</v>
      </c>
      <c r="E12" s="227">
        <f>+SUMIFS(Tabla1[Avance_Med],Tabla1[Fecha],"&gt;="&amp;$A12,Tabla1[Fecha],"&lt;="&amp;EOMONTH($A12,0),Tabla1[Codigo_actividad],E$2)</f>
        <v>0</v>
      </c>
      <c r="F12" s="227">
        <f>+SUMIFS(Tabla1[Avance_Med],Tabla1[Fecha],"&gt;="&amp;$A12,Tabla1[Fecha],"&lt;="&amp;EOMONTH($A12,0),Tabla1[Codigo_actividad],F$2)</f>
        <v>0</v>
      </c>
      <c r="G12" s="227">
        <f>+SUMIFS(Tabla1[Avance_Med],Tabla1[Fecha],"&gt;="&amp;$A12,Tabla1[Fecha],"&lt;="&amp;EOMONTH($A12,0),Tabla1[Codigo_actividad],G$2)</f>
        <v>0</v>
      </c>
      <c r="H12" s="227">
        <f>+SUMIFS(Tabla1[Avance_km],Tabla1[Fecha],"&gt;="&amp;$A12,Tabla1[Fecha],"&lt;="&amp;EOMONTH($A12,0),Tabla1[nombre_actividad],H$3)</f>
        <v>11.253</v>
      </c>
      <c r="I12" s="33"/>
      <c r="J12" s="227">
        <f>+SUMIFS(Tabla1[Avance_km],Tabla1[Fecha],"&gt;="&amp;$A12,Tabla1[Fecha],"&lt;="&amp;EOMONTH($A12,0),Tabla1[nombre_actividad],$J$3,Tabla1[Avance_km],"&gt;0")</f>
        <v>19.906000000000002</v>
      </c>
      <c r="K12" s="33"/>
      <c r="L12" s="227">
        <f>+SUMIFS(Tabla1[Avance_Med],Tabla1[Fecha],"&gt;="&amp;$A12,Tabla1[Fecha],"&lt;="&amp;EOMONTH($A12,0),Tabla1[Codigo_actividad],L$2)</f>
        <v>0</v>
      </c>
      <c r="M12" s="227">
        <f>+SUMIFS(Tabla1[Avance_km],Tabla1[Fecha],"&gt;="&amp;$A12,Tabla1[Fecha],"&lt;="&amp;EOMONTH($A12,0),Tabla1[nombre_actividad],$M$3)</f>
        <v>3.6269999999999998</v>
      </c>
      <c r="N12" s="227">
        <f>+SUMIFS(Tabla1[Avance_Med],Tabla1[Fecha],"&gt;="&amp;$A12,Tabla1[Fecha],"&lt;="&amp;EOMONTH($A12,0),Tabla1[Codigo_actividad],N$2)</f>
        <v>0</v>
      </c>
      <c r="O12" s="227">
        <f>+SUMIFS(Tabla1[Avance_Med],Tabla1[Fecha],"&gt;="&amp;$A12,Tabla1[Fecha],"&lt;="&amp;EOMONTH($A12,0),Tabla1[Codigo_actividad],O$2)</f>
        <v>0</v>
      </c>
      <c r="P12" s="227">
        <f>+SUMIFS(Tabla1[Avance_Med],Tabla1[Fecha],"&gt;="&amp;$A12,Tabla1[Fecha],"&lt;="&amp;EOMONTH($A12,0),Tabla1[Codigo_actividad],P$2)</f>
        <v>0</v>
      </c>
      <c r="Q12" s="232"/>
      <c r="R12" s="13">
        <f t="shared" si="0"/>
        <v>441435.45984999998</v>
      </c>
    </row>
    <row r="13" spans="1:19" x14ac:dyDescent="0.25">
      <c r="A13" s="238">
        <v>46174</v>
      </c>
      <c r="B13" s="227">
        <f>+SUMIFS(Tabla1[Avance_Med],Tabla1[Fecha],"&gt;="&amp;$A13,Tabla1[Fecha],"&lt;="&amp;EOMONTH($A13,0),Tabla1[Codigo_actividad],B$2)</f>
        <v>0</v>
      </c>
      <c r="C13" s="227">
        <f>+SUMIFS(Tabla1[Avance_Med],Tabla1[Fecha],"&gt;="&amp;$A13,Tabla1[Fecha],"&lt;="&amp;EOMONTH($A13,0),Tabla1[Codigo_actividad],C$2)</f>
        <v>0</v>
      </c>
      <c r="D13" s="227">
        <f>+SUMIFS(Tabla1[Avance_Med],Tabla1[Fecha],"&gt;="&amp;$A13,Tabla1[Fecha],"&lt;="&amp;EOMONTH($A13,0),Tabla1[Codigo_actividad],D$2)</f>
        <v>0</v>
      </c>
      <c r="E13" s="227">
        <f>+SUMIFS(Tabla1[Avance_Med],Tabla1[Fecha],"&gt;="&amp;$A13,Tabla1[Fecha],"&lt;="&amp;EOMONTH($A13,0),Tabla1[Codigo_actividad],E$2)</f>
        <v>0</v>
      </c>
      <c r="F13" s="227">
        <f>+SUMIFS(Tabla1[Avance_Med],Tabla1[Fecha],"&gt;="&amp;$A13,Tabla1[Fecha],"&lt;="&amp;EOMONTH($A13,0),Tabla1[Codigo_actividad],F$2)</f>
        <v>0</v>
      </c>
      <c r="G13" s="227">
        <f>+SUMIFS(Tabla1[Avance_Med],Tabla1[Fecha],"&gt;="&amp;$A13,Tabla1[Fecha],"&lt;="&amp;EOMONTH($A13,0),Tabla1[Codigo_actividad],G$2)</f>
        <v>0</v>
      </c>
      <c r="H13" s="227">
        <f>+SUMIFS(Tabla1[Avance_km],Tabla1[Fecha],"&gt;="&amp;$A13,Tabla1[Fecha],"&lt;="&amp;EOMONTH($A13,0),Tabla1[nombre_actividad],H$3)</f>
        <v>20.328000000000003</v>
      </c>
      <c r="I13" s="33"/>
      <c r="J13" s="227">
        <f>+SUMIFS(Tabla1[Avance_km],Tabla1[Fecha],"&gt;="&amp;$A13,Tabla1[Fecha],"&lt;="&amp;EOMONTH($A13,0),Tabla1[nombre_actividad],$J$3,Tabla1[Avance_km],"&gt;0")</f>
        <v>0</v>
      </c>
      <c r="K13" s="33"/>
      <c r="L13" s="227">
        <f>+SUMIFS(Tabla1[Avance_Med],Tabla1[Fecha],"&gt;="&amp;$A13,Tabla1[Fecha],"&lt;="&amp;EOMONTH($A13,0),Tabla1[Codigo_actividad],L$2)</f>
        <v>0</v>
      </c>
      <c r="M13" s="227">
        <f>+SUMIFS(Tabla1[Avance_km],Tabla1[Fecha],"&gt;="&amp;$A13,Tabla1[Fecha],"&lt;="&amp;EOMONTH($A13,0),Tabla1[nombre_actividad],$M$3)</f>
        <v>5.4169999999999998</v>
      </c>
      <c r="N13" s="227">
        <f>+SUMIFS(Tabla1[Avance_Med],Tabla1[Fecha],"&gt;="&amp;$A13,Tabla1[Fecha],"&lt;="&amp;EOMONTH($A13,0),Tabla1[Codigo_actividad],N$2)</f>
        <v>0</v>
      </c>
      <c r="O13" s="227">
        <f>+SUMIFS(Tabla1[Avance_Med],Tabla1[Fecha],"&gt;="&amp;$A13,Tabla1[Fecha],"&lt;="&amp;EOMONTH($A13,0),Tabla1[Codigo_actividad],O$2)</f>
        <v>0</v>
      </c>
      <c r="P13" s="227">
        <f>+SUMIFS(Tabla1[Avance_Med],Tabla1[Fecha],"&gt;="&amp;$A13,Tabla1[Fecha],"&lt;="&amp;EOMONTH($A13,0),Tabla1[Codigo_actividad],P$2)</f>
        <v>0</v>
      </c>
      <c r="Q13" s="232"/>
      <c r="R13" s="13">
        <f t="shared" si="0"/>
        <v>307419.66662000003</v>
      </c>
    </row>
    <row r="14" spans="1:19" x14ac:dyDescent="0.25">
      <c r="A14" s="238">
        <v>46204</v>
      </c>
      <c r="B14" s="227">
        <f>+SUMIFS(Tabla1[Avance_Med],Tabla1[Fecha],"&gt;="&amp;$A14,Tabla1[Fecha],"&lt;="&amp;EOMONTH($A14,0),Tabla1[Codigo_actividad],B$2)</f>
        <v>0</v>
      </c>
      <c r="C14" s="227">
        <f>+SUMIFS(Tabla1[Avance_Med],Tabla1[Fecha],"&gt;="&amp;$A14,Tabla1[Fecha],"&lt;="&amp;EOMONTH($A14,0),Tabla1[Codigo_actividad],C$2)</f>
        <v>0</v>
      </c>
      <c r="D14" s="227">
        <f>+SUMIFS(Tabla1[Avance_Med],Tabla1[Fecha],"&gt;="&amp;$A14,Tabla1[Fecha],"&lt;="&amp;EOMONTH($A14,0),Tabla1[Codigo_actividad],D$2)</f>
        <v>0</v>
      </c>
      <c r="E14" s="227">
        <f>+SUMIFS(Tabla1[Avance_Med],Tabla1[Fecha],"&gt;="&amp;$A14,Tabla1[Fecha],"&lt;="&amp;EOMONTH($A14,0),Tabla1[Codigo_actividad],E$2)</f>
        <v>0</v>
      </c>
      <c r="F14" s="227">
        <f>+SUMIFS(Tabla1[Avance_Med],Tabla1[Fecha],"&gt;="&amp;$A14,Tabla1[Fecha],"&lt;="&amp;EOMONTH($A14,0),Tabla1[Codigo_actividad],F$2)</f>
        <v>0</v>
      </c>
      <c r="G14" s="227">
        <f>+SUMIFS(Tabla1[Avance_Med],Tabla1[Fecha],"&gt;="&amp;$A14,Tabla1[Fecha],"&lt;="&amp;EOMONTH($A14,0),Tabla1[Codigo_actividad],G$2)</f>
        <v>0</v>
      </c>
      <c r="H14" s="227">
        <f>+SUMIFS(Tabla1[Avance_km],Tabla1[Fecha],"&gt;="&amp;$A14,Tabla1[Fecha],"&lt;="&amp;EOMONTH($A14,0),Tabla1[nombre_actividad],H$3)</f>
        <v>13.568</v>
      </c>
      <c r="I14" s="33"/>
      <c r="J14" s="227">
        <f>+SUMIFS(Tabla1[Avance_km],Tabla1[Fecha],"&gt;="&amp;$A14,Tabla1[Fecha],"&lt;="&amp;EOMONTH($A14,0),Tabla1[nombre_actividad],$J$3,Tabla1[Avance_km],"&gt;0")</f>
        <v>10.538</v>
      </c>
      <c r="K14" s="33"/>
      <c r="L14" s="227">
        <f>+SUMIFS(Tabla1[Avance_Med],Tabla1[Fecha],"&gt;="&amp;$A14,Tabla1[Fecha],"&lt;="&amp;EOMONTH($A14,0),Tabla1[Codigo_actividad],L$2)</f>
        <v>0</v>
      </c>
      <c r="M14" s="227">
        <f>+SUMIFS(Tabla1[Avance_km],Tabla1[Fecha],"&gt;="&amp;$A14,Tabla1[Fecha],"&lt;="&amp;EOMONTH($A14,0),Tabla1[nombre_actividad],$M$3)</f>
        <v>13.835000000000001</v>
      </c>
      <c r="N14" s="227">
        <f>+SUMIFS(Tabla1[Avance_Med],Tabla1[Fecha],"&gt;="&amp;$A14,Tabla1[Fecha],"&lt;="&amp;EOMONTH($A14,0),Tabla1[Codigo_actividad],N$2)</f>
        <v>0</v>
      </c>
      <c r="O14" s="227">
        <f>+SUMIFS(Tabla1[Avance_Med],Tabla1[Fecha],"&gt;="&amp;$A14,Tabla1[Fecha],"&lt;="&amp;EOMONTH($A14,0),Tabla1[Codigo_actividad],O$2)</f>
        <v>0</v>
      </c>
      <c r="P14" s="227">
        <f>+SUMIFS(Tabla1[Avance_Med],Tabla1[Fecha],"&gt;="&amp;$A14,Tabla1[Fecha],"&lt;="&amp;EOMONTH($A14,0),Tabla1[Codigo_actividad],P$2)</f>
        <v>0</v>
      </c>
      <c r="Q14" s="232"/>
      <c r="R14" s="13">
        <f t="shared" si="0"/>
        <v>371107.12552</v>
      </c>
    </row>
    <row r="15" spans="1:19" x14ac:dyDescent="0.25">
      <c r="A15" s="238">
        <v>46235</v>
      </c>
      <c r="B15" s="227">
        <f>+SUMIFS(Tabla1[Avance_Med],Tabla1[Fecha],"&gt;="&amp;$A15,Tabla1[Fecha],"&lt;="&amp;EOMONTH($A15,0),Tabla1[Codigo_actividad],B$2)</f>
        <v>0</v>
      </c>
      <c r="C15" s="227">
        <f>+SUMIFS(Tabla1[Avance_Med],Tabla1[Fecha],"&gt;="&amp;$A15,Tabla1[Fecha],"&lt;="&amp;EOMONTH($A15,0),Tabla1[Codigo_actividad],C$2)</f>
        <v>0</v>
      </c>
      <c r="D15" s="227">
        <f>+SUMIFS(Tabla1[Avance_Med],Tabla1[Fecha],"&gt;="&amp;$A15,Tabla1[Fecha],"&lt;="&amp;EOMONTH($A15,0),Tabla1[Codigo_actividad],D$2)</f>
        <v>0</v>
      </c>
      <c r="E15" s="227">
        <f>+SUMIFS(Tabla1[Avance_Med],Tabla1[Fecha],"&gt;="&amp;$A15,Tabla1[Fecha],"&lt;="&amp;EOMONTH($A15,0),Tabla1[Codigo_actividad],E$2)</f>
        <v>0</v>
      </c>
      <c r="F15" s="227">
        <f>+SUMIFS(Tabla1[Avance_Med],Tabla1[Fecha],"&gt;="&amp;$A15,Tabla1[Fecha],"&lt;="&amp;EOMONTH($A15,0),Tabla1[Codigo_actividad],F$2)</f>
        <v>0</v>
      </c>
      <c r="G15" s="227">
        <f>+SUMIFS(Tabla1[Avance_Med],Tabla1[Fecha],"&gt;="&amp;$A15,Tabla1[Fecha],"&lt;="&amp;EOMONTH($A15,0),Tabla1[Codigo_actividad],G$2)</f>
        <v>0</v>
      </c>
      <c r="H15" s="227">
        <f>+SUMIFS(Tabla1[Avance_km],Tabla1[Fecha],"&gt;="&amp;$A15,Tabla1[Fecha],"&lt;="&amp;EOMONTH($A15,0),Tabla1[nombre_actividad],H$3)</f>
        <v>10.033000000000001</v>
      </c>
      <c r="I15" s="33"/>
      <c r="J15" s="227">
        <f>+SUMIFS(Tabla1[Avance_km],Tabla1[Fecha],"&gt;="&amp;$A15,Tabla1[Fecha],"&lt;="&amp;EOMONTH($A15,0),Tabla1[nombre_actividad],$J$3,Tabla1[Avance_km],"&gt;0")</f>
        <v>12.395</v>
      </c>
      <c r="K15" s="33"/>
      <c r="L15" s="227">
        <f>+SUMIFS(Tabla1[Avance_Med],Tabla1[Fecha],"&gt;="&amp;$A15,Tabla1[Fecha],"&lt;="&amp;EOMONTH($A15,0),Tabla1[Codigo_actividad],L$2)</f>
        <v>0</v>
      </c>
      <c r="M15" s="227">
        <f>+SUMIFS(Tabla1[Avance_km],Tabla1[Fecha],"&gt;="&amp;$A15,Tabla1[Fecha],"&lt;="&amp;EOMONTH($A15,0),Tabla1[nombre_actividad],$M$3)</f>
        <v>12.17</v>
      </c>
      <c r="N15" s="227">
        <f>+SUMIFS(Tabla1[Avance_Med],Tabla1[Fecha],"&gt;="&amp;$A15,Tabla1[Fecha],"&lt;="&amp;EOMONTH($A15,0),Tabla1[Codigo_actividad],N$2)</f>
        <v>0</v>
      </c>
      <c r="O15" s="227">
        <f>+SUMIFS(Tabla1[Avance_Med],Tabla1[Fecha],"&gt;="&amp;$A15,Tabla1[Fecha],"&lt;="&amp;EOMONTH($A15,0),Tabla1[Codigo_actividad],O$2)</f>
        <v>0</v>
      </c>
      <c r="P15" s="227">
        <f>+SUMIFS(Tabla1[Avance_Med],Tabla1[Fecha],"&gt;="&amp;$A15,Tabla1[Fecha],"&lt;="&amp;EOMONTH($A15,0),Tabla1[Codigo_actividad],P$2)</f>
        <v>0</v>
      </c>
      <c r="Q15" s="232"/>
      <c r="R15" s="13">
        <f t="shared" si="0"/>
        <v>341188.14178000001</v>
      </c>
    </row>
    <row r="16" spans="1:19" x14ac:dyDescent="0.25">
      <c r="A16" s="238">
        <v>46266</v>
      </c>
      <c r="B16" s="227">
        <f>+SUMIFS(Tabla1[Avance_Med],Tabla1[Fecha],"&gt;="&amp;$A16,Tabla1[Fecha],"&lt;="&amp;EOMONTH($A16,0),Tabla1[Codigo_actividad],B$2)</f>
        <v>0</v>
      </c>
      <c r="C16" s="227">
        <f>+SUMIFS(Tabla1[Avance_Med],Tabla1[Fecha],"&gt;="&amp;$A16,Tabla1[Fecha],"&lt;="&amp;EOMONTH($A16,0),Tabla1[Codigo_actividad],C$2)</f>
        <v>0</v>
      </c>
      <c r="D16" s="227">
        <f>+SUMIFS(Tabla1[Avance_Med],Tabla1[Fecha],"&gt;="&amp;$A16,Tabla1[Fecha],"&lt;="&amp;EOMONTH($A16,0),Tabla1[Codigo_actividad],D$2)</f>
        <v>0</v>
      </c>
      <c r="E16" s="227">
        <f>+SUMIFS(Tabla1[Avance_Med],Tabla1[Fecha],"&gt;="&amp;$A16,Tabla1[Fecha],"&lt;="&amp;EOMONTH($A16,0),Tabla1[Codigo_actividad],E$2)</f>
        <v>0</v>
      </c>
      <c r="F16" s="227">
        <f>+SUMIFS(Tabla1[Avance_Med],Tabla1[Fecha],"&gt;="&amp;$A16,Tabla1[Fecha],"&lt;="&amp;EOMONTH($A16,0),Tabla1[Codigo_actividad],F$2)</f>
        <v>0</v>
      </c>
      <c r="G16" s="227">
        <f>+SUMIFS(Tabla1[Avance_Med],Tabla1[Fecha],"&gt;="&amp;$A16,Tabla1[Fecha],"&lt;="&amp;EOMONTH($A16,0),Tabla1[Codigo_actividad],G$2)</f>
        <v>0</v>
      </c>
      <c r="H16" s="227">
        <f>+SUMIFS(Tabla1[Avance_km],Tabla1[Fecha],"&gt;="&amp;$A16,Tabla1[Fecha],"&lt;="&amp;EOMONTH($A16,0),Tabla1[nombre_actividad],H$3)</f>
        <v>10.719999999999999</v>
      </c>
      <c r="I16" s="33"/>
      <c r="J16" s="227">
        <f>+SUMIFS(Tabla1[Avance_km],Tabla1[Fecha],"&gt;="&amp;$A16,Tabla1[Fecha],"&lt;="&amp;EOMONTH($A16,0),Tabla1[nombre_actividad],$J$3,Tabla1[Avance_km],"&gt;0")</f>
        <v>0</v>
      </c>
      <c r="K16" s="33"/>
      <c r="L16" s="227">
        <f>+SUMIFS(Tabla1[Avance_Med],Tabla1[Fecha],"&gt;="&amp;$A16,Tabla1[Fecha],"&lt;="&amp;EOMONTH($A16,0),Tabla1[Codigo_actividad],L$2)</f>
        <v>20</v>
      </c>
      <c r="M16" s="227">
        <f>+SUMIFS(Tabla1[Avance_km],Tabla1[Fecha],"&gt;="&amp;$A16,Tabla1[Fecha],"&lt;="&amp;EOMONTH($A16,0),Tabla1[nombre_actividad],$M$3)</f>
        <v>20.07</v>
      </c>
      <c r="N16" s="227">
        <f>+SUMIFS(Tabla1[Avance_Med],Tabla1[Fecha],"&gt;="&amp;$A16,Tabla1[Fecha],"&lt;="&amp;EOMONTH($A16,0),Tabla1[Codigo_actividad],N$2)</f>
        <v>34</v>
      </c>
      <c r="O16" s="227">
        <f>+SUMIFS(Tabla1[Avance_Med],Tabla1[Fecha],"&gt;="&amp;$A16,Tabla1[Fecha],"&lt;="&amp;EOMONTH($A16,0),Tabla1[Codigo_actividad],O$2)</f>
        <v>34</v>
      </c>
      <c r="P16" s="227">
        <f>+SUMIFS(Tabla1[Avance_Med],Tabla1[Fecha],"&gt;="&amp;$A16,Tabla1[Fecha],"&lt;="&amp;EOMONTH($A16,0),Tabla1[Codigo_actividad],P$2)</f>
        <v>34</v>
      </c>
      <c r="Q16" s="232"/>
      <c r="R16" s="13">
        <f t="shared" si="0"/>
        <v>571475.63459999999</v>
      </c>
    </row>
    <row r="17" spans="1:20" x14ac:dyDescent="0.25">
      <c r="A17" s="238">
        <v>46296</v>
      </c>
      <c r="B17" s="227">
        <f>+SUMIFS(Tabla1[Avance_Med],Tabla1[Fecha],"&gt;="&amp;$A17,Tabla1[Fecha],"&lt;="&amp;EOMONTH($A17,0),Tabla1[Codigo_actividad],B$2)</f>
        <v>0</v>
      </c>
      <c r="C17" s="227">
        <f>+SUMIFS(Tabla1[Avance_Med],Tabla1[Fecha],"&gt;="&amp;$A17,Tabla1[Fecha],"&lt;="&amp;EOMONTH($A17,0),Tabla1[Codigo_actividad],C$2)</f>
        <v>0</v>
      </c>
      <c r="D17" s="227">
        <f>+SUMIFS(Tabla1[Avance_Med],Tabla1[Fecha],"&gt;="&amp;$A17,Tabla1[Fecha],"&lt;="&amp;EOMONTH($A17,0),Tabla1[Codigo_actividad],D$2)</f>
        <v>0</v>
      </c>
      <c r="E17" s="227">
        <f>+SUMIFS(Tabla1[Avance_Med],Tabla1[Fecha],"&gt;="&amp;$A17,Tabla1[Fecha],"&lt;="&amp;EOMONTH($A17,0),Tabla1[Codigo_actividad],E$2)</f>
        <v>0</v>
      </c>
      <c r="F17" s="227">
        <f>+SUMIFS(Tabla1[Avance_Med],Tabla1[Fecha],"&gt;="&amp;$A17,Tabla1[Fecha],"&lt;="&amp;EOMONTH($A17,0),Tabla1[Codigo_actividad],F$2)</f>
        <v>0</v>
      </c>
      <c r="G17" s="227">
        <f>+SUMIFS(Tabla1[Avance_Med],Tabla1[Fecha],"&gt;="&amp;$A17,Tabla1[Fecha],"&lt;="&amp;EOMONTH($A17,0),Tabla1[Codigo_actividad],G$2)</f>
        <v>0</v>
      </c>
      <c r="H17" s="227">
        <f>+SUMIFS(Tabla1[Avance_km],Tabla1[Fecha],"&gt;="&amp;$A17,Tabla1[Fecha],"&lt;="&amp;EOMONTH($A17,0),Tabla1[nombre_actividad],H$3)</f>
        <v>16.6295</v>
      </c>
      <c r="I17" s="33"/>
      <c r="J17" s="227">
        <f>+SUMIFS(Tabla1[Avance_km],Tabla1[Fecha],"&gt;="&amp;$A17,Tabla1[Fecha],"&lt;="&amp;EOMONTH($A17,0),Tabla1[nombre_actividad],$J$3,Tabla1[Avance_km],"&gt;0")</f>
        <v>1.6244999999999994</v>
      </c>
      <c r="K17" s="33"/>
      <c r="L17" s="227">
        <f>+SUMIFS(Tabla1[Avance_Med],Tabla1[Fecha],"&gt;="&amp;$A17,Tabla1[Fecha],"&lt;="&amp;EOMONTH($A17,0),Tabla1[Codigo_actividad],L$2)</f>
        <v>0</v>
      </c>
      <c r="M17" s="227">
        <f>+SUMIFS(Tabla1[Avance_km],Tabla1[Fecha],"&gt;="&amp;$A17,Tabla1[Fecha],"&lt;="&amp;EOMONTH($A17,0),Tabla1[nombre_actividad],$M$3)</f>
        <v>6.4055</v>
      </c>
      <c r="N17" s="227">
        <f>+SUMIFS(Tabla1[Avance_Med],Tabla1[Fecha],"&gt;="&amp;$A17,Tabla1[Fecha],"&lt;="&amp;EOMONTH($A17,0),Tabla1[Codigo_actividad],N$2)</f>
        <v>4</v>
      </c>
      <c r="O17" s="227">
        <f>+SUMIFS(Tabla1[Avance_Med],Tabla1[Fecha],"&gt;="&amp;$A17,Tabla1[Fecha],"&lt;="&amp;EOMONTH($A17,0),Tabla1[Codigo_actividad],O$2)</f>
        <v>4</v>
      </c>
      <c r="P17" s="227">
        <f>+SUMIFS(Tabla1[Avance_Med],Tabla1[Fecha],"&gt;="&amp;$A17,Tabla1[Fecha],"&lt;="&amp;EOMONTH($A17,0),Tabla1[Codigo_actividad],P$2)</f>
        <v>4</v>
      </c>
      <c r="Q17" s="232"/>
      <c r="R17" s="13">
        <f t="shared" si="0"/>
        <v>310593.01233999996</v>
      </c>
    </row>
    <row r="18" spans="1:20" x14ac:dyDescent="0.25">
      <c r="A18" s="238">
        <v>46327</v>
      </c>
      <c r="B18" s="227">
        <f>+SUMIFS(Tabla1[Avance_Med],Tabla1[Fecha],"&gt;="&amp;$A18,Tabla1[Fecha],"&lt;="&amp;EOMONTH($A18,0),Tabla1[Codigo_actividad],B$2)</f>
        <v>0</v>
      </c>
      <c r="C18" s="227">
        <f>+SUMIFS(Tabla1[Avance_Med],Tabla1[Fecha],"&gt;="&amp;$A18,Tabla1[Fecha],"&lt;="&amp;EOMONTH($A18,0),Tabla1[Codigo_actividad],C$2)</f>
        <v>0</v>
      </c>
      <c r="D18" s="227">
        <f>+SUMIFS(Tabla1[Avance_Med],Tabla1[Fecha],"&gt;="&amp;$A18,Tabla1[Fecha],"&lt;="&amp;EOMONTH($A18,0),Tabla1[Codigo_actividad],D$2)</f>
        <v>0</v>
      </c>
      <c r="E18" s="227">
        <f>+SUMIFS(Tabla1[Avance_Med],Tabla1[Fecha],"&gt;="&amp;$A18,Tabla1[Fecha],"&lt;="&amp;EOMONTH($A18,0),Tabla1[Codigo_actividad],E$2)</f>
        <v>0</v>
      </c>
      <c r="F18" s="227">
        <f>+SUMIFS(Tabla1[Avance_Med],Tabla1[Fecha],"&gt;="&amp;$A18,Tabla1[Fecha],"&lt;="&amp;EOMONTH($A18,0),Tabla1[Codigo_actividad],F$2)</f>
        <v>0</v>
      </c>
      <c r="G18" s="227">
        <f>+SUMIFS(Tabla1[Avance_Med],Tabla1[Fecha],"&gt;="&amp;$A18,Tabla1[Fecha],"&lt;="&amp;EOMONTH($A18,0),Tabla1[Codigo_actividad],G$2)</f>
        <v>0</v>
      </c>
      <c r="H18" s="227">
        <f>+SUMIFS(Tabla1[Avance_km],Tabla1[Fecha],"&gt;="&amp;$A18,Tabla1[Fecha],"&lt;="&amp;EOMONTH($A18,0),Tabla1[nombre_actividad],H$3)</f>
        <v>0</v>
      </c>
      <c r="I18" s="33"/>
      <c r="J18" s="227">
        <f>+SUMIFS(Tabla1[Avance_km],Tabla1[Fecha],"&gt;="&amp;$A18,Tabla1[Fecha],"&lt;="&amp;EOMONTH($A18,0),Tabla1[nombre_actividad],$J$3,Tabla1[Avance_km],"&gt;0")</f>
        <v>0</v>
      </c>
      <c r="K18" s="33"/>
      <c r="L18" s="227">
        <f>+SUMIFS(Tabla1[Avance_Med],Tabla1[Fecha],"&gt;="&amp;$A18,Tabla1[Fecha],"&lt;="&amp;EOMONTH($A18,0),Tabla1[Codigo_actividad],L$2)</f>
        <v>0</v>
      </c>
      <c r="M18" s="227">
        <f>+SUMIFS(Tabla1[Avance_km],Tabla1[Fecha],"&gt;="&amp;$A18,Tabla1[Fecha],"&lt;="&amp;EOMONTH($A18,0),Tabla1[nombre_actividad],$M$3)</f>
        <v>0</v>
      </c>
      <c r="N18" s="227">
        <f>+SUMIFS(Tabla1[Avance_Med],Tabla1[Fecha],"&gt;="&amp;$A18,Tabla1[Fecha],"&lt;="&amp;EOMONTH($A18,0),Tabla1[Codigo_actividad],N$2)</f>
        <v>0</v>
      </c>
      <c r="O18" s="227">
        <f>+SUMIFS(Tabla1[Avance_Med],Tabla1[Fecha],"&gt;="&amp;$A18,Tabla1[Fecha],"&lt;="&amp;EOMONTH($A18,0),Tabla1[Codigo_actividad],O$2)</f>
        <v>0</v>
      </c>
      <c r="P18" s="227">
        <f>+SUMIFS(Tabla1[Avance_Med],Tabla1[Fecha],"&gt;="&amp;$A18,Tabla1[Fecha],"&lt;="&amp;EOMONTH($A18,0),Tabla1[Codigo_actividad],P$2)</f>
        <v>0</v>
      </c>
      <c r="Q18" s="232"/>
      <c r="R18" s="13">
        <f t="shared" si="0"/>
        <v>0</v>
      </c>
    </row>
    <row r="19" spans="1:20" x14ac:dyDescent="0.25">
      <c r="A19" s="238">
        <v>46357</v>
      </c>
      <c r="B19" s="227">
        <f>+SUMIFS(Tabla1[Avance_Med],Tabla1[Fecha],"&gt;="&amp;$A19,Tabla1[Fecha],"&lt;="&amp;EOMONTH($A19,0),Tabla1[Codigo_actividad],B$2)</f>
        <v>0</v>
      </c>
      <c r="C19" s="227">
        <f>+SUMIFS(Tabla1[Avance_Med],Tabla1[Fecha],"&gt;="&amp;$A19,Tabla1[Fecha],"&lt;="&amp;EOMONTH($A19,0),Tabla1[Codigo_actividad],C$2)</f>
        <v>0</v>
      </c>
      <c r="D19" s="227">
        <f>+SUMIFS(Tabla1[Avance_Med],Tabla1[Fecha],"&gt;="&amp;$A19,Tabla1[Fecha],"&lt;="&amp;EOMONTH($A19,0),Tabla1[Codigo_actividad],D$2)</f>
        <v>0</v>
      </c>
      <c r="E19" s="227">
        <f>+SUMIFS(Tabla1[Avance_Med],Tabla1[Fecha],"&gt;="&amp;$A19,Tabla1[Fecha],"&lt;="&amp;EOMONTH($A19,0),Tabla1[Codigo_actividad],E$2)</f>
        <v>0</v>
      </c>
      <c r="F19" s="227">
        <f>+SUMIFS(Tabla1[Avance_Med],Tabla1[Fecha],"&gt;="&amp;$A19,Tabla1[Fecha],"&lt;="&amp;EOMONTH($A19,0),Tabla1[Codigo_actividad],F$2)</f>
        <v>0</v>
      </c>
      <c r="G19" s="227">
        <f>+SUMIFS(Tabla1[Avance_Med],Tabla1[Fecha],"&gt;="&amp;$A19,Tabla1[Fecha],"&lt;="&amp;EOMONTH($A19,0),Tabla1[Codigo_actividad],G$2)</f>
        <v>0</v>
      </c>
      <c r="H19" s="227">
        <f>+SUMIFS(Tabla1[Avance_km],Tabla1[Fecha],"&gt;="&amp;$A19,Tabla1[Fecha],"&lt;="&amp;EOMONTH($A19,0),Tabla1[nombre_actividad],H$3)</f>
        <v>0</v>
      </c>
      <c r="I19" s="33"/>
      <c r="J19" s="227">
        <f>+SUMIFS(Tabla1[Avance_km],Tabla1[Fecha],"&gt;="&amp;$A19,Tabla1[Fecha],"&lt;="&amp;EOMONTH($A19,0),Tabla1[nombre_actividad],$J$3,Tabla1[Avance_km],"&gt;0")</f>
        <v>0</v>
      </c>
      <c r="K19" s="33"/>
      <c r="L19" s="227">
        <f>+SUMIFS(Tabla1[Avance_Med],Tabla1[Fecha],"&gt;="&amp;$A19,Tabla1[Fecha],"&lt;="&amp;EOMONTH($A19,0),Tabla1[Codigo_actividad],L$2)</f>
        <v>0</v>
      </c>
      <c r="M19" s="227">
        <f>+SUMIFS(Tabla1[Avance_km],Tabla1[Fecha],"&gt;="&amp;$A19,Tabla1[Fecha],"&lt;="&amp;EOMONTH($A19,0),Tabla1[nombre_actividad],$M$3)</f>
        <v>0</v>
      </c>
      <c r="N19" s="227">
        <f>+SUMIFS(Tabla1[Avance_Med],Tabla1[Fecha],"&gt;="&amp;$A19,Tabla1[Fecha],"&lt;="&amp;EOMONTH($A19,0),Tabla1[Codigo_actividad],N$2)</f>
        <v>0</v>
      </c>
      <c r="O19" s="227">
        <f>+SUMIFS(Tabla1[Avance_Med],Tabla1[Fecha],"&gt;="&amp;$A19,Tabla1[Fecha],"&lt;="&amp;EOMONTH($A19,0),Tabla1[Codigo_actividad],O$2)</f>
        <v>0</v>
      </c>
      <c r="P19" s="227">
        <f>+SUMIFS(Tabla1[Avance_Med],Tabla1[Fecha],"&gt;="&amp;$A19,Tabla1[Fecha],"&lt;="&amp;EOMONTH($A19,0),Tabla1[Codigo_actividad],P$2)</f>
        <v>0</v>
      </c>
      <c r="Q19" s="232"/>
      <c r="R19" s="13">
        <f t="shared" si="0"/>
        <v>0</v>
      </c>
    </row>
    <row r="20" spans="1:20" ht="21" x14ac:dyDescent="0.35">
      <c r="A20" s="222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182.43750000000003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186.66649999999998</v>
      </c>
      <c r="N20" s="1">
        <f t="shared" si="1"/>
        <v>92</v>
      </c>
      <c r="O20" s="1">
        <f t="shared" si="1"/>
        <v>92</v>
      </c>
      <c r="P20" s="1"/>
      <c r="Q20" s="233"/>
      <c r="R20" s="13">
        <f>SUM(R4:R19)</f>
        <v>-2212583.1907599983</v>
      </c>
      <c r="S20" s="13">
        <f>+R4-R20</f>
        <v>-8950338.649240002</v>
      </c>
      <c r="T20" s="247">
        <f>$S$20/$R$4</f>
        <v>0.80179175107795986</v>
      </c>
    </row>
    <row r="21" spans="1:20" x14ac:dyDescent="0.25">
      <c r="A21" s="222"/>
      <c r="H21" s="226"/>
      <c r="J21" s="76"/>
      <c r="K21" s="61"/>
      <c r="L21" s="76"/>
      <c r="M21" s="226"/>
      <c r="Q21" s="233"/>
    </row>
    <row r="24" spans="1:20" x14ac:dyDescent="0.25">
      <c r="S24" s="389"/>
    </row>
  </sheetData>
  <mergeCells count="1">
    <mergeCell ref="B3:G3"/>
  </mergeCells>
  <conditionalFormatting sqref="B5:H19">
    <cfRule type="expression" dxfId="48" priority="4">
      <formula>B5=0</formula>
    </cfRule>
  </conditionalFormatting>
  <conditionalFormatting sqref="J5:J19">
    <cfRule type="expression" dxfId="47" priority="3">
      <formula>J5=0</formula>
    </cfRule>
  </conditionalFormatting>
  <conditionalFormatting sqref="L5:P19">
    <cfRule type="expression" dxfId="4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15" zoomScaleNormal="100" workbookViewId="0">
      <selection activeCell="A26" sqref="A26:Q30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style="61" bestFit="1" customWidth="1"/>
    <col min="22" max="22" width="12.42578125" style="61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2" ht="36" customHeight="1" x14ac:dyDescent="0.25">
      <c r="B1" s="2"/>
      <c r="C1" s="611" t="s">
        <v>84</v>
      </c>
      <c r="D1" s="611"/>
      <c r="E1" s="611"/>
      <c r="F1" s="611"/>
      <c r="G1" s="611"/>
      <c r="H1" s="611"/>
    </row>
    <row r="2" spans="1:22" ht="15" customHeight="1" x14ac:dyDescent="0.25">
      <c r="B2" s="2"/>
      <c r="C2" s="2"/>
      <c r="D2" s="32"/>
      <c r="E2" s="32"/>
      <c r="F2" s="32"/>
      <c r="G2" s="32"/>
      <c r="H2" s="32"/>
    </row>
    <row r="3" spans="1:22" x14ac:dyDescent="0.25">
      <c r="B3" s="599" t="s">
        <v>85</v>
      </c>
      <c r="C3" s="599"/>
      <c r="D3" s="599" t="s">
        <v>86</v>
      </c>
      <c r="E3" s="599"/>
      <c r="F3" s="599"/>
      <c r="G3" s="599"/>
      <c r="H3" s="599"/>
    </row>
    <row r="4" spans="1:22" x14ac:dyDescent="0.25">
      <c r="B4" s="608"/>
      <c r="C4" s="608"/>
      <c r="D4" s="609" t="s">
        <v>87</v>
      </c>
      <c r="E4" s="609"/>
      <c r="F4" s="609"/>
      <c r="G4" s="609"/>
      <c r="H4" s="609"/>
    </row>
    <row r="5" spans="1:22" ht="27" x14ac:dyDescent="0.25">
      <c r="B5" s="149" t="s">
        <v>88</v>
      </c>
      <c r="C5" s="30" t="s">
        <v>89</v>
      </c>
      <c r="D5" s="149" t="s">
        <v>90</v>
      </c>
      <c r="E5" s="149" t="s">
        <v>91</v>
      </c>
      <c r="F5" s="4" t="s">
        <v>92</v>
      </c>
      <c r="G5" s="4" t="s">
        <v>395</v>
      </c>
      <c r="H5" s="4" t="s">
        <v>94</v>
      </c>
    </row>
    <row r="6" spans="1:22" x14ac:dyDescent="0.25">
      <c r="B6" s="149">
        <v>1</v>
      </c>
      <c r="C6" s="30" t="s">
        <v>95</v>
      </c>
      <c r="D6" s="149"/>
      <c r="E6" s="149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0"/>
      <c r="T6" s="1" t="s">
        <v>274</v>
      </c>
    </row>
    <row r="7" spans="1:22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79">
        <v>37</v>
      </c>
      <c r="L7" s="179">
        <v>17</v>
      </c>
      <c r="M7" s="301">
        <v>40</v>
      </c>
      <c r="N7" s="179">
        <v>4</v>
      </c>
      <c r="O7" s="179">
        <v>13</v>
      </c>
      <c r="P7" s="179">
        <v>3</v>
      </c>
      <c r="Q7" s="179">
        <v>2</v>
      </c>
      <c r="R7" s="118">
        <f>SUM(K7:Q7)</f>
        <v>116</v>
      </c>
      <c r="S7" s="121">
        <f>+D7*0.9</f>
        <v>94.5</v>
      </c>
      <c r="T7" s="123">
        <f>+D7-S7-(R7-S7)</f>
        <v>-11</v>
      </c>
      <c r="U7" s="61">
        <f>+D7*0.9</f>
        <v>94.5</v>
      </c>
      <c r="V7" s="576">
        <f>+R7-U7</f>
        <v>21.5</v>
      </c>
    </row>
    <row r="8" spans="1:22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79">
        <v>37</v>
      </c>
      <c r="L8" s="179">
        <v>17</v>
      </c>
      <c r="M8" s="301">
        <v>40</v>
      </c>
      <c r="N8" s="179">
        <v>4</v>
      </c>
      <c r="O8" s="179">
        <v>13</v>
      </c>
      <c r="P8" s="179">
        <v>3</v>
      </c>
      <c r="Q8" s="179">
        <v>2</v>
      </c>
      <c r="R8" s="118">
        <f t="shared" ref="R8:R11" si="1">SUM(K8:Q8)</f>
        <v>116</v>
      </c>
      <c r="S8" s="121">
        <f t="shared" ref="S8:S11" si="2">+D8*0.9</f>
        <v>94.5</v>
      </c>
      <c r="T8" s="123">
        <f t="shared" ref="T8:T11" si="3">+D8-S8-(R8-S8)</f>
        <v>-11</v>
      </c>
      <c r="U8" s="61">
        <f t="shared" ref="U8:U12" si="4">+D8*0.9</f>
        <v>94.5</v>
      </c>
      <c r="V8" s="576">
        <f t="shared" ref="V8:V12" si="5">+R8-U8</f>
        <v>21.5</v>
      </c>
    </row>
    <row r="9" spans="1:22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79">
        <v>37</v>
      </c>
      <c r="L9" s="179">
        <v>17</v>
      </c>
      <c r="M9" s="301">
        <v>40</v>
      </c>
      <c r="N9" s="179">
        <v>4</v>
      </c>
      <c r="O9" s="179">
        <v>13</v>
      </c>
      <c r="P9" s="179">
        <v>3</v>
      </c>
      <c r="Q9" s="179">
        <v>2</v>
      </c>
      <c r="R9" s="118">
        <f t="shared" si="1"/>
        <v>116</v>
      </c>
      <c r="S9" s="121">
        <f t="shared" si="2"/>
        <v>94.5</v>
      </c>
      <c r="T9" s="123">
        <f t="shared" si="3"/>
        <v>-11</v>
      </c>
      <c r="U9" s="61">
        <f t="shared" si="4"/>
        <v>94.5</v>
      </c>
      <c r="V9" s="576">
        <f t="shared" si="5"/>
        <v>21.5</v>
      </c>
    </row>
    <row r="10" spans="1:22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79">
        <v>37</v>
      </c>
      <c r="L10" s="179">
        <v>17</v>
      </c>
      <c r="M10" s="301">
        <v>40</v>
      </c>
      <c r="N10" s="179">
        <v>4</v>
      </c>
      <c r="O10" s="179">
        <v>13</v>
      </c>
      <c r="P10" s="179">
        <v>3</v>
      </c>
      <c r="Q10" s="179">
        <v>2</v>
      </c>
      <c r="R10" s="118">
        <f t="shared" si="1"/>
        <v>116</v>
      </c>
      <c r="S10" s="121">
        <f t="shared" si="2"/>
        <v>94.5</v>
      </c>
      <c r="T10" s="123">
        <f t="shared" si="3"/>
        <v>-11</v>
      </c>
      <c r="U10" s="61">
        <f t="shared" si="4"/>
        <v>94.5</v>
      </c>
      <c r="V10" s="576">
        <f t="shared" si="5"/>
        <v>21.5</v>
      </c>
    </row>
    <row r="11" spans="1:22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79">
        <v>37</v>
      </c>
      <c r="L11" s="179">
        <v>17</v>
      </c>
      <c r="M11" s="301">
        <v>40</v>
      </c>
      <c r="N11" s="179">
        <v>4</v>
      </c>
      <c r="O11" s="179">
        <v>13</v>
      </c>
      <c r="P11" s="179">
        <v>3</v>
      </c>
      <c r="Q11" s="179">
        <v>2</v>
      </c>
      <c r="R11" s="118">
        <f t="shared" si="1"/>
        <v>116</v>
      </c>
      <c r="S11" s="121">
        <f t="shared" si="2"/>
        <v>94.5</v>
      </c>
      <c r="T11" s="123">
        <f t="shared" si="3"/>
        <v>-11</v>
      </c>
      <c r="U11" s="61">
        <f t="shared" si="4"/>
        <v>94.5</v>
      </c>
      <c r="V11" s="576">
        <f t="shared" si="5"/>
        <v>21.5</v>
      </c>
    </row>
    <row r="12" spans="1:22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79">
        <v>37</v>
      </c>
      <c r="L12" s="179">
        <v>17</v>
      </c>
      <c r="M12" s="301">
        <v>40</v>
      </c>
      <c r="N12" s="179">
        <v>4</v>
      </c>
      <c r="O12" s="179">
        <v>13</v>
      </c>
      <c r="P12" s="179">
        <v>3</v>
      </c>
      <c r="Q12" s="179">
        <v>2</v>
      </c>
      <c r="R12" s="118">
        <f t="shared" ref="R12" si="6">SUM(K12:Q12)</f>
        <v>116</v>
      </c>
      <c r="S12" s="211">
        <f t="shared" ref="S12" si="7">+D12*0.9</f>
        <v>94.5</v>
      </c>
      <c r="T12" s="123">
        <f t="shared" ref="T12" si="8">+D12-S12-(R12-S12)</f>
        <v>-11</v>
      </c>
      <c r="U12" s="61">
        <f t="shared" si="4"/>
        <v>94.5</v>
      </c>
      <c r="V12" s="576">
        <f t="shared" si="5"/>
        <v>21.5</v>
      </c>
    </row>
    <row r="13" spans="1:22" x14ac:dyDescent="0.25">
      <c r="B13" s="149">
        <v>2</v>
      </c>
      <c r="C13" s="30" t="s">
        <v>105</v>
      </c>
      <c r="D13" s="149"/>
      <c r="E13" s="149"/>
      <c r="F13" s="11" t="s">
        <v>106</v>
      </c>
      <c r="G13" s="12">
        <f>SUM(G14:G21)</f>
        <v>7627263.3292399999</v>
      </c>
      <c r="H13" s="4"/>
      <c r="I13" s="212"/>
      <c r="J13" s="213"/>
      <c r="K13" s="213"/>
      <c r="L13" s="213"/>
      <c r="M13" s="213"/>
      <c r="N13" s="213"/>
      <c r="O13" s="213"/>
      <c r="P13" s="213"/>
      <c r="Q13" s="213"/>
      <c r="R13" s="213"/>
      <c r="S13" s="213"/>
      <c r="T13" s="214"/>
    </row>
    <row r="14" spans="1:22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9">+F14*R14</f>
        <v>2649249.7368749999</v>
      </c>
      <c r="H14" s="10" t="s">
        <v>98</v>
      </c>
      <c r="I14" s="71" t="s">
        <v>79</v>
      </c>
      <c r="J14" s="82">
        <v>7800</v>
      </c>
      <c r="K14" s="243">
        <f>+SUM('Summary S01'!I2:I41)</f>
        <v>66.918000000000006</v>
      </c>
      <c r="L14" s="243">
        <f>+SUM('Summary S02'!I2:I18)</f>
        <v>32.987999999999992</v>
      </c>
      <c r="M14" s="243">
        <f>+SUM('Summary S03'!I2:I45)</f>
        <v>44.519999999999996</v>
      </c>
      <c r="N14" s="244">
        <f>+SUM('Summary S04'!I2:I6)</f>
        <v>36.386999999999986</v>
      </c>
      <c r="O14" s="134">
        <f>+SUM('Summary S06'!I2:I13)</f>
        <v>1.6245000000000001</v>
      </c>
      <c r="P14" s="125">
        <f>+SUM('Summary S07'!I2:I4)</f>
        <v>0</v>
      </c>
      <c r="Q14" s="125">
        <f>+SUM('Summary S08'!I2:I3)</f>
        <v>0</v>
      </c>
      <c r="R14" s="119">
        <f>SUM(K14:Q14)</f>
        <v>182.4375</v>
      </c>
      <c r="S14" s="573">
        <f t="shared" ref="S14:S19" si="10">+D14*0.7</f>
        <v>140</v>
      </c>
      <c r="T14" s="124">
        <f>+D14-S14-(R14-S14)</f>
        <v>17.5625</v>
      </c>
      <c r="U14" s="61">
        <f t="shared" ref="U14" si="11">+D14*0.9</f>
        <v>180</v>
      </c>
      <c r="V14" s="576">
        <f t="shared" ref="V14" si="12">+R14-U14</f>
        <v>2.4375</v>
      </c>
    </row>
    <row r="15" spans="1:22" outlineLevel="1" x14ac:dyDescent="0.25">
      <c r="A15" s="1" t="s">
        <v>288</v>
      </c>
      <c r="B15" s="128">
        <v>2.2000000000000002</v>
      </c>
      <c r="C15" s="72" t="s">
        <v>109</v>
      </c>
      <c r="D15" s="73">
        <v>200</v>
      </c>
      <c r="E15" s="73" t="s">
        <v>108</v>
      </c>
      <c r="F15" s="129">
        <v>13555.63</v>
      </c>
      <c r="G15" s="130">
        <f t="shared" si="9"/>
        <v>0</v>
      </c>
      <c r="H15" s="131" t="s">
        <v>98</v>
      </c>
      <c r="I15" s="71" t="s">
        <v>82</v>
      </c>
      <c r="J15" s="82">
        <v>8200</v>
      </c>
      <c r="K15" s="133"/>
      <c r="L15" s="133"/>
      <c r="M15" s="133"/>
      <c r="N15" s="133"/>
      <c r="O15" s="133"/>
      <c r="P15" s="133"/>
      <c r="Q15" s="133"/>
      <c r="R15" s="133"/>
      <c r="S15" s="574">
        <f t="shared" si="10"/>
        <v>140</v>
      </c>
      <c r="T15" s="133"/>
      <c r="U15" s="61">
        <f t="shared" ref="U15:U21" si="13">+D15*0.9</f>
        <v>180</v>
      </c>
      <c r="V15" s="576">
        <f t="shared" ref="V15:V21" si="14">+R15-U15</f>
        <v>-180</v>
      </c>
    </row>
    <row r="16" spans="1:22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9"/>
        <v>2037743.3019350003</v>
      </c>
      <c r="H16" s="10" t="s">
        <v>98</v>
      </c>
      <c r="I16" s="71" t="s">
        <v>80</v>
      </c>
      <c r="J16" s="82">
        <v>8200</v>
      </c>
      <c r="K16" s="244">
        <f>+SUM('Summary S01'!J2:J41)</f>
        <v>66.918000000000006</v>
      </c>
      <c r="L16" s="244">
        <f>+SUM('Summary S02'!J2:J18)</f>
        <v>32.987999999999992</v>
      </c>
      <c r="M16" s="244">
        <f>+SUM('Summary S03'!J2:J45)</f>
        <v>45.671999999999997</v>
      </c>
      <c r="N16" s="244">
        <f>+SUM('Summary S04'!J2:J6)</f>
        <v>3.1220000000000003</v>
      </c>
      <c r="O16" s="244">
        <f>+SUM('Summary S06'!J2:J13)</f>
        <v>1.6245000000000001</v>
      </c>
      <c r="P16" s="125">
        <f>+SUM('Summary S07'!J2:J4)</f>
        <v>0</v>
      </c>
      <c r="Q16" s="125">
        <f>+SUM('Summary S08'!J2:J3)</f>
        <v>0</v>
      </c>
      <c r="R16" s="119">
        <f>SUM(K16:Q16)</f>
        <v>150.32450000000003</v>
      </c>
      <c r="S16" s="573">
        <f t="shared" si="10"/>
        <v>140</v>
      </c>
      <c r="T16" s="124">
        <f>+D16-S16-(R16-S16)</f>
        <v>49.675499999999971</v>
      </c>
      <c r="U16" s="61">
        <f t="shared" si="13"/>
        <v>180</v>
      </c>
      <c r="V16" s="576">
        <f t="shared" si="14"/>
        <v>-29.675499999999971</v>
      </c>
    </row>
    <row r="17" spans="1:22" outlineLevel="1" x14ac:dyDescent="0.25">
      <c r="A17" s="1" t="s">
        <v>290</v>
      </c>
      <c r="B17" s="128">
        <v>2.4</v>
      </c>
      <c r="C17" s="72" t="s">
        <v>111</v>
      </c>
      <c r="D17" s="73">
        <v>200</v>
      </c>
      <c r="E17" s="73" t="s">
        <v>108</v>
      </c>
      <c r="F17" s="129">
        <v>13696.28</v>
      </c>
      <c r="G17" s="130">
        <f t="shared" si="9"/>
        <v>0</v>
      </c>
      <c r="H17" s="131" t="s">
        <v>98</v>
      </c>
      <c r="I17" s="71" t="s">
        <v>83</v>
      </c>
      <c r="J17" s="82">
        <v>6780</v>
      </c>
      <c r="K17" s="132"/>
      <c r="L17" s="133"/>
      <c r="M17" s="133"/>
      <c r="N17" s="133"/>
      <c r="O17" s="133"/>
      <c r="P17" s="133"/>
      <c r="Q17" s="133"/>
      <c r="R17" s="133"/>
      <c r="S17" s="574">
        <f t="shared" si="10"/>
        <v>140</v>
      </c>
      <c r="T17" s="133"/>
      <c r="U17" s="61">
        <f t="shared" si="13"/>
        <v>180</v>
      </c>
      <c r="V17" s="576">
        <f t="shared" si="14"/>
        <v>-180</v>
      </c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9"/>
        <v>1844568</v>
      </c>
      <c r="H18" s="10" t="s">
        <v>98</v>
      </c>
      <c r="I18" s="71" t="s">
        <v>81</v>
      </c>
      <c r="J18" s="82">
        <v>4230</v>
      </c>
      <c r="K18" s="179">
        <f>+SUM('Summary S01'!K2:K41)</f>
        <v>156</v>
      </c>
      <c r="L18" s="179">
        <f>+SUM('Summary S02'!K2:K18)</f>
        <v>73</v>
      </c>
      <c r="M18" s="179">
        <f>+SUM('Summary S03'!K2:K45)</f>
        <v>129</v>
      </c>
      <c r="N18" s="179">
        <f>+SUM('Summary S04'!K2:K6)</f>
        <v>10</v>
      </c>
      <c r="O18" s="179">
        <f>+SUM('Summary S06'!K2:K13)</f>
        <v>14</v>
      </c>
      <c r="P18" s="179">
        <f>+SUM('Summary S07'!K2:K4)</f>
        <v>5</v>
      </c>
      <c r="Q18" s="179">
        <f>+SUM('Summary S08'!K2:K3)</f>
        <v>9</v>
      </c>
      <c r="R18" s="118">
        <f>SUM(K18:Q18)</f>
        <v>396</v>
      </c>
      <c r="S18" s="572">
        <f t="shared" si="10"/>
        <v>350</v>
      </c>
      <c r="T18" s="122">
        <f>+D18-S18-(R18-S18)</f>
        <v>104</v>
      </c>
      <c r="U18" s="61">
        <f t="shared" si="13"/>
        <v>450</v>
      </c>
      <c r="V18" s="576">
        <f t="shared" si="14"/>
        <v>-54</v>
      </c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9"/>
        <v>421384.69043000002</v>
      </c>
      <c r="H19" s="10" t="s">
        <v>98</v>
      </c>
      <c r="I19" s="71" t="s">
        <v>78</v>
      </c>
      <c r="J19" s="82">
        <v>1600</v>
      </c>
      <c r="K19" s="244">
        <f>+SUM('Summary S01'!H2:H41)</f>
        <v>66.918000000000006</v>
      </c>
      <c r="L19" s="244">
        <f>+SUM('Summary S02'!H2:H18)</f>
        <v>32.987999999999992</v>
      </c>
      <c r="M19" s="244">
        <f>+SUM('Summary S03'!H2:H45)</f>
        <v>45.013999999999996</v>
      </c>
      <c r="N19" s="244">
        <f>+SUM('Summary S04'!H2:H6)</f>
        <v>40.121999999999993</v>
      </c>
      <c r="O19" s="244">
        <f>+SUM('Summary S06'!H2:H13)</f>
        <v>1.6245000000000001</v>
      </c>
      <c r="P19" s="125">
        <f>+SUM('Summary S07'!H2:H4)</f>
        <v>0</v>
      </c>
      <c r="Q19" s="125">
        <f>+SUM('Summary S08'!H2:H3)</f>
        <v>0</v>
      </c>
      <c r="R19" s="119">
        <f>SUM(K19:Q19)</f>
        <v>186.66650000000001</v>
      </c>
      <c r="S19" s="573">
        <f t="shared" si="10"/>
        <v>140</v>
      </c>
      <c r="T19" s="124">
        <f>+D19-S19-(R19-S19)</f>
        <v>13.333499999999987</v>
      </c>
      <c r="U19" s="61">
        <f t="shared" si="13"/>
        <v>180</v>
      </c>
      <c r="V19" s="576">
        <f t="shared" si="14"/>
        <v>6.6665000000000134</v>
      </c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9"/>
        <v>385873.08</v>
      </c>
      <c r="H20" s="10" t="s">
        <v>98</v>
      </c>
      <c r="I20" s="71" t="s">
        <v>294</v>
      </c>
      <c r="J20" s="82">
        <v>2200</v>
      </c>
      <c r="K20" s="179">
        <v>37</v>
      </c>
      <c r="L20" s="179">
        <v>17</v>
      </c>
      <c r="M20" s="179">
        <v>34</v>
      </c>
      <c r="N20" s="179">
        <v>4</v>
      </c>
      <c r="O20" s="179">
        <v>12</v>
      </c>
      <c r="P20" s="179">
        <v>3</v>
      </c>
      <c r="Q20" s="179">
        <v>2</v>
      </c>
      <c r="R20" s="118">
        <f>SUM(K20:Q20)</f>
        <v>109</v>
      </c>
      <c r="S20" s="575">
        <f t="shared" ref="S20:S21" si="15">+D20*0.7</f>
        <v>73.5</v>
      </c>
      <c r="T20" s="122">
        <f>+D20-S20-(R20-S20)</f>
        <v>-4</v>
      </c>
      <c r="U20" s="61">
        <f t="shared" si="13"/>
        <v>94.5</v>
      </c>
      <c r="V20" s="576">
        <f t="shared" si="14"/>
        <v>14.5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9"/>
        <v>288444.52</v>
      </c>
      <c r="H21" s="10" t="s">
        <v>98</v>
      </c>
      <c r="I21" s="71" t="s">
        <v>296</v>
      </c>
      <c r="K21" s="179">
        <v>37</v>
      </c>
      <c r="L21" s="179">
        <v>17</v>
      </c>
      <c r="M21" s="179">
        <v>34</v>
      </c>
      <c r="N21" s="179">
        <v>4</v>
      </c>
      <c r="O21" s="179">
        <v>12</v>
      </c>
      <c r="P21" s="179">
        <v>3</v>
      </c>
      <c r="Q21" s="179">
        <v>2</v>
      </c>
      <c r="R21" s="118">
        <f t="shared" ref="R21:R23" si="16">SUM(K21:Q21)</f>
        <v>109</v>
      </c>
      <c r="S21" s="575">
        <f t="shared" si="15"/>
        <v>73.5</v>
      </c>
      <c r="T21" s="122">
        <f t="shared" ref="T21" si="17">+D21-S21-(R21-S21)</f>
        <v>-4</v>
      </c>
      <c r="U21" s="61">
        <f t="shared" si="13"/>
        <v>94.5</v>
      </c>
      <c r="V21" s="576">
        <f t="shared" si="14"/>
        <v>14.5</v>
      </c>
    </row>
    <row r="22" spans="1:22" x14ac:dyDescent="0.25">
      <c r="B22" s="149">
        <v>3</v>
      </c>
      <c r="C22" s="30" t="s">
        <v>116</v>
      </c>
      <c r="D22" s="149"/>
      <c r="E22" s="149"/>
      <c r="F22" s="11" t="s">
        <v>106</v>
      </c>
      <c r="G22" s="12">
        <f>SUM(G23:G35)</f>
        <v>214800.85</v>
      </c>
      <c r="H22" s="4"/>
      <c r="I22" s="212"/>
      <c r="J22" s="213"/>
      <c r="K22" s="213"/>
      <c r="L22" s="213"/>
      <c r="M22" s="213"/>
      <c r="N22" s="213"/>
      <c r="O22" s="213"/>
      <c r="P22" s="213"/>
      <c r="Q22" s="213"/>
      <c r="R22" s="213"/>
      <c r="S22" s="213"/>
      <c r="T22" s="214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79">
        <v>37</v>
      </c>
      <c r="L23" s="179">
        <v>17</v>
      </c>
      <c r="M23" s="179">
        <v>34</v>
      </c>
      <c r="N23" s="179">
        <v>4</v>
      </c>
      <c r="O23" s="179">
        <v>12</v>
      </c>
      <c r="P23" s="179">
        <v>3</v>
      </c>
      <c r="Q23" s="179">
        <v>2</v>
      </c>
      <c r="R23" s="118">
        <f t="shared" si="16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5">
        <f>+SUMIFS(Tabla1[Avance_Med],Tabla1[nombre_actividad],$I24,Tabla1[Sistema],"LIRA_GALERAS")</f>
        <v>11</v>
      </c>
      <c r="L24" s="125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1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48"/>
    </row>
    <row r="25" spans="1:22" x14ac:dyDescent="0.25">
      <c r="A25" s="410"/>
      <c r="B25" s="408">
        <v>3.3</v>
      </c>
      <c r="C25" s="409" t="s">
        <v>121</v>
      </c>
      <c r="D25" s="73"/>
      <c r="E25" s="128"/>
      <c r="F25" s="129"/>
      <c r="G25" s="130"/>
      <c r="H25" s="131"/>
      <c r="I25" s="71"/>
      <c r="K25" s="125"/>
      <c r="L25" s="125"/>
      <c r="M25" s="76"/>
      <c r="N25" s="1"/>
      <c r="O25" s="1"/>
      <c r="P25" s="1"/>
      <c r="Q25" s="1"/>
    </row>
    <row r="26" spans="1:22" x14ac:dyDescent="0.25">
      <c r="A26" s="1" t="s">
        <v>300</v>
      </c>
      <c r="B26" s="5" t="s">
        <v>122</v>
      </c>
      <c r="C26" s="597" t="s">
        <v>673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5">
        <f>+SUMIFS(Tabla1[Avance_Med],Tabla1[nombre_actividad],$I26,Tabla1[Sistema],"LIRA_GALERAS")</f>
        <v>11</v>
      </c>
      <c r="L26" s="244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1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597" t="s">
        <v>674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5">
        <f>+SUMIFS(Tabla1[Avance_Med],Tabla1[nombre_actividad],$I27,Tabla1[Sistema],"LIRA_GALERAS")</f>
        <v>11</v>
      </c>
      <c r="L27" s="244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1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597" t="s">
        <v>675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5">
        <f>+SUMIFS(Tabla1[Avance_Med],Tabla1[nombre_actividad],$I28,Tabla1[Sistema],"LIRA_GALERAS")</f>
        <v>11</v>
      </c>
      <c r="L28" s="244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1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5">
        <f>+SUMIFS(Tabla1[Avance_Med],Tabla1[nombre_actividad],$I29,Tabla1[Sistema],"LIRA_GALERAS")</f>
        <v>0</v>
      </c>
      <c r="L29" s="244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597" t="s">
        <v>676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5">
        <f>+SUMIFS(Tabla1[Avance_Med],Tabla1[nombre_actividad],$I30,Tabla1[Sistema],"LIRA_GALERAS")</f>
        <v>11</v>
      </c>
      <c r="L30" s="244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1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5">
        <f>+SUMIFS(Tabla1[Avance_Med],Tabla1[nombre_actividad],$I31,Tabla1[Sistema],"LIRA_GALERAS")</f>
        <v>0</v>
      </c>
      <c r="L31" s="244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1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5">
        <f>+SUMIFS(Tabla1[Avance_Med],Tabla1[nombre_actividad],$I32,Tabla1[Sistema],"LIRA_GALERAS")</f>
        <v>1</v>
      </c>
      <c r="L32" s="244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1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5">
        <f>+SUMIFS(Tabla1[Avance_Med],Tabla1[nombre_actividad],$I33,Tabla1[Sistema],"LIRA_GALERAS")</f>
        <v>11</v>
      </c>
      <c r="L33" s="244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5">
        <f>+SUMIFS(Tabla1[Avance_Med],Tabla1[nombre_actividad],$I34,Tabla1[Sistema],"LIRA_GALERAS")</f>
        <v>11</v>
      </c>
      <c r="L34" s="244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5"/>
    </row>
    <row r="36" spans="1:26" x14ac:dyDescent="0.25">
      <c r="B36" s="149">
        <v>4</v>
      </c>
      <c r="C36" s="30" t="s">
        <v>142</v>
      </c>
      <c r="D36" s="149"/>
      <c r="E36" s="149"/>
      <c r="F36" s="11" t="s">
        <v>106</v>
      </c>
      <c r="G36" s="12">
        <v>0</v>
      </c>
      <c r="H36" s="4"/>
      <c r="I36" s="212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4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W44" s="427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4">
        <f>+F45*U45</f>
        <v>173864.40000000002</v>
      </c>
      <c r="W45" s="426">
        <v>638.5</v>
      </c>
      <c r="X45" s="424">
        <f>+W45*$W$44</f>
        <v>11109.9</v>
      </c>
      <c r="Y45" s="225"/>
      <c r="Z45" s="61"/>
    </row>
    <row r="46" spans="1:26" ht="44.1" customHeight="1" x14ac:dyDescent="0.25">
      <c r="A46" s="1" t="s">
        <v>319</v>
      </c>
      <c r="B46" s="430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4">
        <f>+F46*U46</f>
        <v>167470.32</v>
      </c>
      <c r="W46" s="426">
        <v>1210.95</v>
      </c>
      <c r="X46" s="428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W47" s="61"/>
      <c r="X47" s="429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W48" s="61"/>
      <c r="X48" s="225">
        <f>SUM(X45:X47)</f>
        <v>32180.43</v>
      </c>
      <c r="Y48" s="225">
        <f>+X48*0.16</f>
        <v>5148.8688000000002</v>
      </c>
      <c r="Z48" s="425">
        <f>SUM(X48:Y48)</f>
        <v>37329.298800000004</v>
      </c>
    </row>
    <row r="49" spans="1:11" x14ac:dyDescent="0.25">
      <c r="B49" s="149">
        <v>5</v>
      </c>
      <c r="C49" s="30" t="s">
        <v>156</v>
      </c>
      <c r="D49" s="149"/>
      <c r="E49" s="149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2">
        <f>SUM(G6+G13+G22+G36+G49+G50+G51)</f>
        <v>9089008.4992399998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562</v>
      </c>
      <c r="B55" s="5" t="s">
        <v>585</v>
      </c>
      <c r="C55" s="29" t="s">
        <v>547</v>
      </c>
      <c r="D55" s="6">
        <v>357</v>
      </c>
      <c r="E55" s="6" t="s">
        <v>561</v>
      </c>
      <c r="F55" s="8">
        <v>1913.01</v>
      </c>
      <c r="G55" s="9">
        <f>+D55*F55</f>
        <v>682944.57</v>
      </c>
      <c r="H55" s="10" t="s">
        <v>98</v>
      </c>
      <c r="I55" s="26" t="s">
        <v>554</v>
      </c>
      <c r="J55" s="469">
        <f>F55/$F$17</f>
        <v>0.13967369241867134</v>
      </c>
      <c r="K55" s="26">
        <f>+J55*F17</f>
        <v>1913.01</v>
      </c>
    </row>
    <row r="56" spans="1:11" x14ac:dyDescent="0.25">
      <c r="A56" s="1" t="s">
        <v>562</v>
      </c>
      <c r="B56" s="5" t="s">
        <v>586</v>
      </c>
      <c r="C56" s="29" t="s">
        <v>549</v>
      </c>
      <c r="D56" s="6">
        <v>252</v>
      </c>
      <c r="E56" s="6" t="s">
        <v>561</v>
      </c>
      <c r="F56" s="8">
        <v>3029.6</v>
      </c>
      <c r="G56" s="9">
        <f t="shared" ref="G56:G58" si="18">+D56*F56</f>
        <v>763459.2</v>
      </c>
      <c r="H56" s="10" t="s">
        <v>98</v>
      </c>
      <c r="I56" t="s">
        <v>555</v>
      </c>
      <c r="J56" s="469">
        <f t="shared" ref="J56:J58" si="19">F56/$F$17</f>
        <v>0.22119874885735394</v>
      </c>
    </row>
    <row r="57" spans="1:11" x14ac:dyDescent="0.25">
      <c r="A57" s="1" t="s">
        <v>562</v>
      </c>
      <c r="B57" s="5" t="s">
        <v>587</v>
      </c>
      <c r="C57" s="29" t="s">
        <v>550</v>
      </c>
      <c r="D57" s="6">
        <v>372</v>
      </c>
      <c r="E57" s="6" t="s">
        <v>561</v>
      </c>
      <c r="F57" s="8">
        <v>1821.08</v>
      </c>
      <c r="G57" s="9">
        <f t="shared" si="18"/>
        <v>677441.76</v>
      </c>
      <c r="H57" s="10" t="s">
        <v>98</v>
      </c>
      <c r="I57" t="s">
        <v>556</v>
      </c>
      <c r="J57" s="469">
        <f t="shared" si="19"/>
        <v>0.13296165090082854</v>
      </c>
    </row>
    <row r="58" spans="1:11" x14ac:dyDescent="0.25">
      <c r="B58" s="5"/>
      <c r="C58" s="29" t="s">
        <v>590</v>
      </c>
      <c r="D58" s="6">
        <v>7</v>
      </c>
      <c r="E58" s="6" t="s">
        <v>126</v>
      </c>
      <c r="F58" s="8">
        <v>19213.189999999999</v>
      </c>
      <c r="G58" s="9">
        <f t="shared" si="18"/>
        <v>134492.32999999999</v>
      </c>
      <c r="H58" s="10" t="s">
        <v>98</v>
      </c>
      <c r="I58" t="s">
        <v>588</v>
      </c>
      <c r="J58" s="469">
        <f t="shared" si="19"/>
        <v>1.4028035349744601</v>
      </c>
    </row>
    <row r="65" spans="2:12" ht="15.75" thickBot="1" x14ac:dyDescent="0.3">
      <c r="C65" s="447">
        <v>46258</v>
      </c>
      <c r="E65" s="461">
        <f>+$E$67*$J$67</f>
        <v>55735</v>
      </c>
      <c r="F65" s="461">
        <f>+$F$67*$J$67</f>
        <v>71000</v>
      </c>
      <c r="G65" s="461">
        <f>+$G$68*$J$68+$G$69*$J$69</f>
        <v>215000</v>
      </c>
      <c r="H65" s="461">
        <f>+$H$68*$J$68+$H$69*$J$69</f>
        <v>272740</v>
      </c>
    </row>
    <row r="66" spans="2:12" ht="16.5" thickBot="1" x14ac:dyDescent="0.3">
      <c r="C66" s="449" t="s">
        <v>541</v>
      </c>
      <c r="D66" s="451" t="s">
        <v>542</v>
      </c>
      <c r="E66" s="451" t="s">
        <v>543</v>
      </c>
      <c r="F66" s="451" t="s">
        <v>544</v>
      </c>
      <c r="G66" s="451" t="s">
        <v>545</v>
      </c>
      <c r="H66" s="451" t="s">
        <v>546</v>
      </c>
      <c r="I66" s="451" t="s">
        <v>93</v>
      </c>
      <c r="J66" s="451" t="s">
        <v>659</v>
      </c>
      <c r="K66" s="451" t="s">
        <v>93</v>
      </c>
    </row>
    <row r="67" spans="2:12" ht="16.5" thickBot="1" x14ac:dyDescent="0.3">
      <c r="B67" s="76" t="s">
        <v>551</v>
      </c>
      <c r="C67" s="450" t="s">
        <v>547</v>
      </c>
      <c r="D67" s="452" t="s">
        <v>548</v>
      </c>
      <c r="E67" s="456">
        <v>157</v>
      </c>
      <c r="F67" s="456">
        <v>200</v>
      </c>
      <c r="G67" s="452"/>
      <c r="H67" s="452"/>
      <c r="I67" s="453">
        <v>357</v>
      </c>
      <c r="J67" s="455">
        <v>355</v>
      </c>
      <c r="K67" s="454">
        <f>+J67*I67</f>
        <v>126735</v>
      </c>
      <c r="L67" t="s">
        <v>554</v>
      </c>
    </row>
    <row r="68" spans="2:12" ht="16.5" thickBot="1" x14ac:dyDescent="0.3">
      <c r="B68" s="76" t="s">
        <v>552</v>
      </c>
      <c r="C68" s="450" t="s">
        <v>549</v>
      </c>
      <c r="D68" s="452" t="s">
        <v>548</v>
      </c>
      <c r="E68" s="452"/>
      <c r="F68" s="452"/>
      <c r="G68" s="452">
        <v>104</v>
      </c>
      <c r="H68" s="452">
        <v>148</v>
      </c>
      <c r="I68" s="453">
        <v>252</v>
      </c>
      <c r="J68" s="455">
        <v>1500</v>
      </c>
      <c r="K68" s="454">
        <f t="shared" ref="K68:K69" si="20">+J68*I68</f>
        <v>378000</v>
      </c>
      <c r="L68" t="s">
        <v>555</v>
      </c>
    </row>
    <row r="69" spans="2:12" ht="16.5" thickBot="1" x14ac:dyDescent="0.3">
      <c r="B69" s="76" t="s">
        <v>553</v>
      </c>
      <c r="C69" s="450" t="s">
        <v>550</v>
      </c>
      <c r="D69" s="452" t="s">
        <v>548</v>
      </c>
      <c r="E69" s="452"/>
      <c r="F69" s="452"/>
      <c r="G69" s="456">
        <v>200</v>
      </c>
      <c r="H69" s="452">
        <v>172</v>
      </c>
      <c r="I69" s="453">
        <v>372</v>
      </c>
      <c r="J69" s="455">
        <v>295</v>
      </c>
      <c r="K69" s="454">
        <f t="shared" si="20"/>
        <v>109740</v>
      </c>
      <c r="L69" t="s">
        <v>556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1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867D-B53E-4772-9372-3D5BD77D3F6F}">
  <dimension ref="A1:I39"/>
  <sheetViews>
    <sheetView showGridLines="0" topLeftCell="A12" zoomScale="130" zoomScaleNormal="130" workbookViewId="0">
      <selection activeCell="B18" sqref="B18:B22"/>
    </sheetView>
  </sheetViews>
  <sheetFormatPr baseColWidth="10" defaultColWidth="11.42578125" defaultRowHeight="15" outlineLevelRow="1" outlineLevelCol="1" x14ac:dyDescent="0.25"/>
  <cols>
    <col min="1" max="1" width="9.28515625" customWidth="1"/>
    <col min="2" max="2" width="85.85546875" customWidth="1"/>
    <col min="3" max="3" width="9" bestFit="1" customWidth="1"/>
    <col min="4" max="4" width="14.5703125" customWidth="1"/>
    <col min="5" max="5" width="11" customWidth="1" outlineLevel="1"/>
    <col min="6" max="6" width="17.85546875" customWidth="1" outlineLevel="1" collapsed="1"/>
    <col min="7" max="7" width="9.28515625" customWidth="1"/>
    <col min="8" max="9" width="22.42578125" bestFit="1" customWidth="1" collapsed="1"/>
  </cols>
  <sheetData>
    <row r="1" spans="1:9" s="76" customFormat="1" ht="27" x14ac:dyDescent="0.25">
      <c r="A1" s="149" t="s">
        <v>88</v>
      </c>
      <c r="B1" s="149" t="s">
        <v>89</v>
      </c>
      <c r="C1" s="149" t="s">
        <v>90</v>
      </c>
      <c r="D1" s="149" t="s">
        <v>91</v>
      </c>
      <c r="E1" s="4" t="s">
        <v>92</v>
      </c>
      <c r="F1" s="4" t="s">
        <v>395</v>
      </c>
      <c r="G1" s="4" t="s">
        <v>94</v>
      </c>
      <c r="H1" s="4" t="s">
        <v>651</v>
      </c>
      <c r="I1" s="4" t="s">
        <v>652</v>
      </c>
    </row>
    <row r="2" spans="1:9" x14ac:dyDescent="0.25">
      <c r="A2" s="5">
        <v>1.1000000000000001</v>
      </c>
      <c r="B2" s="566" t="s">
        <v>96</v>
      </c>
      <c r="C2" s="6">
        <v>105</v>
      </c>
      <c r="D2" s="7" t="s">
        <v>97</v>
      </c>
      <c r="E2" s="8">
        <v>2532.81</v>
      </c>
      <c r="F2" s="9">
        <f>+C2*E2</f>
        <v>265945.05</v>
      </c>
      <c r="G2" s="10" t="s">
        <v>98</v>
      </c>
      <c r="H2" s="569" t="s">
        <v>276</v>
      </c>
      <c r="I2" s="569" t="s">
        <v>95</v>
      </c>
    </row>
    <row r="3" spans="1:9" x14ac:dyDescent="0.25">
      <c r="A3" s="5">
        <v>1.2</v>
      </c>
      <c r="B3" s="566" t="s">
        <v>99</v>
      </c>
      <c r="C3" s="6">
        <v>105</v>
      </c>
      <c r="D3" s="7" t="s">
        <v>97</v>
      </c>
      <c r="E3" s="8">
        <v>3250.01</v>
      </c>
      <c r="F3" s="9">
        <f t="shared" ref="F3:F17" si="0">+C3*E3</f>
        <v>341251.05000000005</v>
      </c>
      <c r="G3" s="10" t="s">
        <v>98</v>
      </c>
      <c r="H3" s="569" t="s">
        <v>278</v>
      </c>
      <c r="I3" s="569" t="s">
        <v>95</v>
      </c>
    </row>
    <row r="4" spans="1:9" x14ac:dyDescent="0.25">
      <c r="A4" s="5">
        <v>1.3</v>
      </c>
      <c r="B4" s="566" t="s">
        <v>100</v>
      </c>
      <c r="C4" s="6">
        <v>105</v>
      </c>
      <c r="D4" s="7" t="s">
        <v>97</v>
      </c>
      <c r="E4" s="8">
        <v>985.32</v>
      </c>
      <c r="F4" s="9">
        <f t="shared" si="0"/>
        <v>103458.6</v>
      </c>
      <c r="G4" s="10" t="s">
        <v>98</v>
      </c>
      <c r="H4" s="569" t="s">
        <v>280</v>
      </c>
      <c r="I4" s="569" t="s">
        <v>95</v>
      </c>
    </row>
    <row r="5" spans="1:9" x14ac:dyDescent="0.25">
      <c r="A5" s="5">
        <v>1.4</v>
      </c>
      <c r="B5" s="567" t="s">
        <v>102</v>
      </c>
      <c r="C5" s="6">
        <v>105</v>
      </c>
      <c r="D5" s="7" t="s">
        <v>97</v>
      </c>
      <c r="E5" s="8">
        <v>1062.92</v>
      </c>
      <c r="F5" s="9">
        <f t="shared" si="0"/>
        <v>111606.6</v>
      </c>
      <c r="G5" s="10" t="s">
        <v>98</v>
      </c>
      <c r="H5" s="569" t="s">
        <v>282</v>
      </c>
      <c r="I5" s="569" t="s">
        <v>95</v>
      </c>
    </row>
    <row r="6" spans="1:9" x14ac:dyDescent="0.25">
      <c r="A6" s="5">
        <v>1.5</v>
      </c>
      <c r="B6" s="566" t="s">
        <v>103</v>
      </c>
      <c r="C6" s="6">
        <v>105</v>
      </c>
      <c r="D6" s="7" t="s">
        <v>97</v>
      </c>
      <c r="E6" s="8">
        <v>1337.25</v>
      </c>
      <c r="F6" s="9">
        <f t="shared" si="0"/>
        <v>140411.25</v>
      </c>
      <c r="G6" s="10" t="s">
        <v>98</v>
      </c>
      <c r="H6" s="569" t="s">
        <v>284</v>
      </c>
      <c r="I6" s="569" t="s">
        <v>95</v>
      </c>
    </row>
    <row r="7" spans="1:9" x14ac:dyDescent="0.25">
      <c r="A7" s="5">
        <v>1.6</v>
      </c>
      <c r="B7" s="566" t="s">
        <v>104</v>
      </c>
      <c r="C7" s="6">
        <v>105</v>
      </c>
      <c r="D7" s="7" t="s">
        <v>97</v>
      </c>
      <c r="E7" s="8">
        <v>1581.21</v>
      </c>
      <c r="F7" s="9">
        <f t="shared" si="0"/>
        <v>166027.05000000002</v>
      </c>
      <c r="G7" s="10" t="s">
        <v>98</v>
      </c>
      <c r="H7" s="569" t="s">
        <v>286</v>
      </c>
      <c r="I7" s="569" t="s">
        <v>95</v>
      </c>
    </row>
    <row r="8" spans="1:9" x14ac:dyDescent="0.25">
      <c r="A8" s="5">
        <v>2.1</v>
      </c>
      <c r="B8" s="566" t="s">
        <v>107</v>
      </c>
      <c r="C8" s="6">
        <v>200</v>
      </c>
      <c r="D8" s="7" t="s">
        <v>108</v>
      </c>
      <c r="E8" s="8">
        <v>14521.41</v>
      </c>
      <c r="F8" s="9">
        <f t="shared" si="0"/>
        <v>2904282</v>
      </c>
      <c r="G8" s="10" t="s">
        <v>98</v>
      </c>
      <c r="H8" s="569" t="s">
        <v>79</v>
      </c>
      <c r="I8" s="569" t="s">
        <v>105</v>
      </c>
    </row>
    <row r="9" spans="1:9" outlineLevel="1" x14ac:dyDescent="0.25">
      <c r="A9" s="128">
        <v>2.2000000000000002</v>
      </c>
      <c r="B9" s="568" t="s">
        <v>109</v>
      </c>
      <c r="C9" s="73">
        <v>200</v>
      </c>
      <c r="D9" s="73" t="s">
        <v>108</v>
      </c>
      <c r="E9" s="129">
        <v>13555.63</v>
      </c>
      <c r="F9" s="130">
        <f t="shared" si="0"/>
        <v>2711126</v>
      </c>
      <c r="G9" s="131" t="s">
        <v>98</v>
      </c>
      <c r="H9" s="570" t="s">
        <v>82</v>
      </c>
      <c r="I9" s="570" t="s">
        <v>105</v>
      </c>
    </row>
    <row r="10" spans="1:9" x14ac:dyDescent="0.25">
      <c r="A10" s="5">
        <v>2.2999999999999998</v>
      </c>
      <c r="B10" s="566" t="s">
        <v>110</v>
      </c>
      <c r="C10" s="6">
        <v>200</v>
      </c>
      <c r="D10" s="7" t="s">
        <v>108</v>
      </c>
      <c r="E10" s="8">
        <v>13555.63</v>
      </c>
      <c r="F10" s="9">
        <f t="shared" si="0"/>
        <v>2711126</v>
      </c>
      <c r="G10" s="10" t="s">
        <v>98</v>
      </c>
      <c r="H10" s="569" t="s">
        <v>80</v>
      </c>
      <c r="I10" s="569" t="s">
        <v>105</v>
      </c>
    </row>
    <row r="11" spans="1:9" outlineLevel="1" x14ac:dyDescent="0.25">
      <c r="A11" s="128">
        <v>2.4</v>
      </c>
      <c r="B11" s="568" t="s">
        <v>111</v>
      </c>
      <c r="C11" s="73">
        <v>200</v>
      </c>
      <c r="D11" s="73" t="s">
        <v>108</v>
      </c>
      <c r="E11" s="129">
        <v>13696.28</v>
      </c>
      <c r="F11" s="130">
        <f t="shared" si="0"/>
        <v>2739256</v>
      </c>
      <c r="G11" s="131" t="s">
        <v>98</v>
      </c>
      <c r="H11" s="570" t="s">
        <v>83</v>
      </c>
      <c r="I11" s="570" t="s">
        <v>105</v>
      </c>
    </row>
    <row r="12" spans="1:9" x14ac:dyDescent="0.25">
      <c r="A12" s="5">
        <v>2.5</v>
      </c>
      <c r="B12" s="566" t="s">
        <v>112</v>
      </c>
      <c r="C12" s="6">
        <v>500</v>
      </c>
      <c r="D12" s="7" t="s">
        <v>113</v>
      </c>
      <c r="E12" s="8">
        <v>4658</v>
      </c>
      <c r="F12" s="9">
        <f t="shared" si="0"/>
        <v>2329000</v>
      </c>
      <c r="G12" s="10" t="s">
        <v>98</v>
      </c>
      <c r="H12" s="569" t="s">
        <v>81</v>
      </c>
      <c r="I12" s="569" t="s">
        <v>105</v>
      </c>
    </row>
    <row r="13" spans="1:9" x14ac:dyDescent="0.25">
      <c r="A13" s="5">
        <v>2.6</v>
      </c>
      <c r="B13" s="566" t="s">
        <v>114</v>
      </c>
      <c r="C13" s="6">
        <v>200</v>
      </c>
      <c r="D13" s="7" t="s">
        <v>108</v>
      </c>
      <c r="E13" s="8">
        <v>2257.42</v>
      </c>
      <c r="F13" s="9">
        <f t="shared" si="0"/>
        <v>451484</v>
      </c>
      <c r="G13" s="10" t="s">
        <v>98</v>
      </c>
      <c r="H13" s="569" t="s">
        <v>78</v>
      </c>
      <c r="I13" s="569" t="s">
        <v>105</v>
      </c>
    </row>
    <row r="14" spans="1:9" x14ac:dyDescent="0.25">
      <c r="A14" s="5">
        <v>2.7</v>
      </c>
      <c r="B14" s="566" t="s">
        <v>115</v>
      </c>
      <c r="C14" s="6">
        <v>105</v>
      </c>
      <c r="D14" s="7" t="s">
        <v>97</v>
      </c>
      <c r="E14" s="8">
        <v>3540.12</v>
      </c>
      <c r="F14" s="9">
        <f t="shared" si="0"/>
        <v>371712.6</v>
      </c>
      <c r="G14" s="10" t="s">
        <v>98</v>
      </c>
      <c r="H14" s="569" t="s">
        <v>294</v>
      </c>
      <c r="I14" s="569" t="s">
        <v>105</v>
      </c>
    </row>
    <row r="15" spans="1:9" x14ac:dyDescent="0.25">
      <c r="A15" s="5">
        <v>2.8</v>
      </c>
      <c r="B15" s="566" t="s">
        <v>104</v>
      </c>
      <c r="C15" s="6">
        <v>105</v>
      </c>
      <c r="D15" s="7" t="s">
        <v>97</v>
      </c>
      <c r="E15" s="8">
        <v>2646.28</v>
      </c>
      <c r="F15" s="9">
        <f t="shared" si="0"/>
        <v>277859.40000000002</v>
      </c>
      <c r="G15" s="10" t="s">
        <v>98</v>
      </c>
      <c r="H15" s="569" t="s">
        <v>296</v>
      </c>
      <c r="I15" s="569" t="s">
        <v>105</v>
      </c>
    </row>
    <row r="16" spans="1:9" x14ac:dyDescent="0.25">
      <c r="A16" s="5">
        <v>3.1</v>
      </c>
      <c r="B16" s="566" t="s">
        <v>117</v>
      </c>
      <c r="C16" s="7">
        <v>105</v>
      </c>
      <c r="D16" s="7" t="s">
        <v>118</v>
      </c>
      <c r="E16" s="8">
        <v>1970.65</v>
      </c>
      <c r="F16" s="9">
        <f t="shared" si="0"/>
        <v>206918.25</v>
      </c>
      <c r="G16" s="10" t="s">
        <v>98</v>
      </c>
      <c r="H16" s="569" t="s">
        <v>298</v>
      </c>
      <c r="I16" s="569" t="s">
        <v>116</v>
      </c>
    </row>
    <row r="17" spans="1:9" x14ac:dyDescent="0.25">
      <c r="A17" s="590">
        <v>3.2</v>
      </c>
      <c r="B17" s="591" t="s">
        <v>119</v>
      </c>
      <c r="C17" s="592">
        <v>55</v>
      </c>
      <c r="D17" s="592" t="s">
        <v>120</v>
      </c>
      <c r="E17" s="593">
        <v>7585.99</v>
      </c>
      <c r="F17" s="594">
        <f t="shared" si="0"/>
        <v>417229.45</v>
      </c>
      <c r="G17" s="595" t="s">
        <v>98</v>
      </c>
      <c r="H17" s="596" t="s">
        <v>415</v>
      </c>
      <c r="I17" s="596" t="s">
        <v>116</v>
      </c>
    </row>
    <row r="18" spans="1:9" s="207" customFormat="1" x14ac:dyDescent="0.25">
      <c r="A18" s="583" t="s">
        <v>122</v>
      </c>
      <c r="B18" s="584" t="s">
        <v>673</v>
      </c>
      <c r="C18" s="585">
        <v>55</v>
      </c>
      <c r="D18" s="585" t="s">
        <v>120</v>
      </c>
      <c r="E18" s="586">
        <v>1765.59</v>
      </c>
      <c r="F18" s="587">
        <f t="shared" ref="F18:F37" si="1">+C18*E18</f>
        <v>97107.45</v>
      </c>
      <c r="G18" s="588" t="s">
        <v>98</v>
      </c>
      <c r="H18" s="589" t="s">
        <v>416</v>
      </c>
      <c r="I18" s="589" t="s">
        <v>116</v>
      </c>
    </row>
    <row r="19" spans="1:9" s="207" customFormat="1" x14ac:dyDescent="0.25">
      <c r="A19" s="583" t="s">
        <v>124</v>
      </c>
      <c r="B19" s="584" t="s">
        <v>674</v>
      </c>
      <c r="C19" s="585">
        <v>100</v>
      </c>
      <c r="D19" s="583" t="s">
        <v>126</v>
      </c>
      <c r="E19" s="586">
        <v>1934.59</v>
      </c>
      <c r="F19" s="587">
        <f t="shared" si="1"/>
        <v>193459</v>
      </c>
      <c r="G19" s="588" t="s">
        <v>98</v>
      </c>
      <c r="H19" s="589" t="s">
        <v>423</v>
      </c>
      <c r="I19" s="589" t="s">
        <v>116</v>
      </c>
    </row>
    <row r="20" spans="1:9" s="207" customFormat="1" x14ac:dyDescent="0.25">
      <c r="A20" s="583" t="s">
        <v>127</v>
      </c>
      <c r="B20" s="584" t="s">
        <v>675</v>
      </c>
      <c r="C20" s="585">
        <v>100</v>
      </c>
      <c r="D20" s="583" t="s">
        <v>126</v>
      </c>
      <c r="E20" s="586">
        <v>1960.59</v>
      </c>
      <c r="F20" s="587">
        <f t="shared" si="1"/>
        <v>196059</v>
      </c>
      <c r="G20" s="588" t="s">
        <v>98</v>
      </c>
      <c r="H20" s="589" t="s">
        <v>417</v>
      </c>
      <c r="I20" s="589" t="s">
        <v>116</v>
      </c>
    </row>
    <row r="21" spans="1:9" x14ac:dyDescent="0.25">
      <c r="A21" s="5" t="s">
        <v>129</v>
      </c>
      <c r="B21" s="566" t="s">
        <v>130</v>
      </c>
      <c r="C21" s="7">
        <v>170</v>
      </c>
      <c r="D21" s="5" t="s">
        <v>126</v>
      </c>
      <c r="E21" s="8">
        <v>2220.59</v>
      </c>
      <c r="F21" s="9">
        <f t="shared" si="1"/>
        <v>377500.30000000005</v>
      </c>
      <c r="G21" s="10" t="s">
        <v>98</v>
      </c>
      <c r="H21" s="569" t="s">
        <v>424</v>
      </c>
      <c r="I21" s="569" t="s">
        <v>116</v>
      </c>
    </row>
    <row r="22" spans="1:9" s="207" customFormat="1" x14ac:dyDescent="0.25">
      <c r="A22" s="583" t="s">
        <v>131</v>
      </c>
      <c r="B22" s="584" t="s">
        <v>676</v>
      </c>
      <c r="C22" s="585">
        <v>170</v>
      </c>
      <c r="D22" s="583" t="s">
        <v>126</v>
      </c>
      <c r="E22" s="586">
        <v>2220.59</v>
      </c>
      <c r="F22" s="587">
        <f t="shared" si="1"/>
        <v>377500.30000000005</v>
      </c>
      <c r="G22" s="588" t="s">
        <v>98</v>
      </c>
      <c r="H22" s="589" t="s">
        <v>422</v>
      </c>
      <c r="I22" s="589" t="s">
        <v>116</v>
      </c>
    </row>
    <row r="23" spans="1:9" x14ac:dyDescent="0.25">
      <c r="A23" s="5" t="s">
        <v>133</v>
      </c>
      <c r="B23" s="566" t="s">
        <v>134</v>
      </c>
      <c r="C23" s="7">
        <v>100</v>
      </c>
      <c r="D23" s="5" t="s">
        <v>126</v>
      </c>
      <c r="E23" s="8">
        <v>2090.59</v>
      </c>
      <c r="F23" s="9">
        <f t="shared" si="1"/>
        <v>209059</v>
      </c>
      <c r="G23" s="10" t="s">
        <v>98</v>
      </c>
      <c r="H23" s="569" t="s">
        <v>418</v>
      </c>
      <c r="I23" s="569" t="s">
        <v>116</v>
      </c>
    </row>
    <row r="24" spans="1:9" x14ac:dyDescent="0.25">
      <c r="A24" s="5" t="s">
        <v>135</v>
      </c>
      <c r="B24" s="566" t="s">
        <v>136</v>
      </c>
      <c r="C24" s="7">
        <v>100</v>
      </c>
      <c r="D24" s="5" t="s">
        <v>126</v>
      </c>
      <c r="E24" s="8">
        <v>2090.59</v>
      </c>
      <c r="F24" s="9">
        <f t="shared" si="1"/>
        <v>209059</v>
      </c>
      <c r="G24" s="10" t="s">
        <v>98</v>
      </c>
      <c r="H24" s="569" t="s">
        <v>425</v>
      </c>
      <c r="I24" s="569" t="s">
        <v>116</v>
      </c>
    </row>
    <row r="25" spans="1:9" x14ac:dyDescent="0.25">
      <c r="A25" s="5" t="s">
        <v>137</v>
      </c>
      <c r="B25" s="566" t="s">
        <v>138</v>
      </c>
      <c r="C25" s="7">
        <v>55</v>
      </c>
      <c r="D25" s="5" t="s">
        <v>126</v>
      </c>
      <c r="E25" s="8">
        <v>656</v>
      </c>
      <c r="F25" s="9">
        <f t="shared" si="1"/>
        <v>36080</v>
      </c>
      <c r="G25" s="10" t="s">
        <v>98</v>
      </c>
      <c r="H25" s="569" t="s">
        <v>420</v>
      </c>
      <c r="I25" s="569" t="s">
        <v>116</v>
      </c>
    </row>
    <row r="26" spans="1:9" x14ac:dyDescent="0.25">
      <c r="A26" s="5" t="s">
        <v>139</v>
      </c>
      <c r="B26" s="566" t="s">
        <v>140</v>
      </c>
      <c r="C26" s="7">
        <v>55</v>
      </c>
      <c r="D26" s="5" t="s">
        <v>126</v>
      </c>
      <c r="E26" s="8">
        <v>4676</v>
      </c>
      <c r="F26" s="9">
        <f t="shared" si="1"/>
        <v>257180</v>
      </c>
      <c r="G26" s="10" t="s">
        <v>98</v>
      </c>
      <c r="H26" s="569" t="s">
        <v>419</v>
      </c>
      <c r="I26" s="569" t="s">
        <v>116</v>
      </c>
    </row>
    <row r="27" spans="1:9" x14ac:dyDescent="0.25">
      <c r="A27" s="5">
        <v>3.4</v>
      </c>
      <c r="B27" s="566" t="s">
        <v>141</v>
      </c>
      <c r="C27" s="7">
        <v>105</v>
      </c>
      <c r="D27" s="5" t="s">
        <v>97</v>
      </c>
      <c r="E27" s="8">
        <v>4124.2700000000004</v>
      </c>
      <c r="F27" s="9">
        <f t="shared" si="1"/>
        <v>433048.35000000003</v>
      </c>
      <c r="G27" s="10" t="s">
        <v>98</v>
      </c>
      <c r="H27" s="569" t="s">
        <v>421</v>
      </c>
      <c r="I27" s="569" t="s">
        <v>116</v>
      </c>
    </row>
    <row r="28" spans="1:9" x14ac:dyDescent="0.25">
      <c r="A28" s="5">
        <v>4.0999999999999996</v>
      </c>
      <c r="B28" s="566" t="s">
        <v>143</v>
      </c>
      <c r="C28" s="7">
        <v>105</v>
      </c>
      <c r="D28" s="5" t="s">
        <v>97</v>
      </c>
      <c r="E28" s="8">
        <v>5020.99</v>
      </c>
      <c r="F28" s="9">
        <f t="shared" si="1"/>
        <v>527203.94999999995</v>
      </c>
      <c r="G28" s="10" t="s">
        <v>98</v>
      </c>
      <c r="H28" s="569" t="s">
        <v>426</v>
      </c>
      <c r="I28" s="569" t="s">
        <v>142</v>
      </c>
    </row>
    <row r="29" spans="1:9" x14ac:dyDescent="0.25">
      <c r="A29" s="5">
        <v>4.2</v>
      </c>
      <c r="B29" s="566" t="s">
        <v>144</v>
      </c>
      <c r="C29" s="7">
        <v>105</v>
      </c>
      <c r="D29" s="5" t="s">
        <v>97</v>
      </c>
      <c r="E29" s="8">
        <v>3652.99</v>
      </c>
      <c r="F29" s="9">
        <f t="shared" si="1"/>
        <v>383563.94999999995</v>
      </c>
      <c r="G29" s="10" t="s">
        <v>98</v>
      </c>
      <c r="H29" s="569" t="s">
        <v>427</v>
      </c>
      <c r="I29" s="569" t="s">
        <v>142</v>
      </c>
    </row>
    <row r="30" spans="1:9" x14ac:dyDescent="0.25">
      <c r="A30" s="5">
        <v>4.3</v>
      </c>
      <c r="B30" s="566" t="s">
        <v>145</v>
      </c>
      <c r="C30" s="7">
        <v>105</v>
      </c>
      <c r="D30" s="5" t="s">
        <v>97</v>
      </c>
      <c r="E30" s="8">
        <v>3201.98</v>
      </c>
      <c r="F30" s="9">
        <f t="shared" si="1"/>
        <v>336207.9</v>
      </c>
      <c r="G30" s="10" t="s">
        <v>98</v>
      </c>
      <c r="H30" s="569" t="s">
        <v>428</v>
      </c>
      <c r="I30" s="569" t="s">
        <v>142</v>
      </c>
    </row>
    <row r="31" spans="1:9" x14ac:dyDescent="0.25">
      <c r="A31" s="5">
        <v>4.4000000000000004</v>
      </c>
      <c r="B31" s="566" t="s">
        <v>146</v>
      </c>
      <c r="C31" s="7">
        <v>105</v>
      </c>
      <c r="D31" s="5" t="s">
        <v>97</v>
      </c>
      <c r="E31" s="8">
        <v>6840</v>
      </c>
      <c r="F31" s="9">
        <f t="shared" si="1"/>
        <v>718200</v>
      </c>
      <c r="G31" s="10" t="s">
        <v>98</v>
      </c>
      <c r="H31" s="569" t="s">
        <v>429</v>
      </c>
      <c r="I31" s="569" t="s">
        <v>142</v>
      </c>
    </row>
    <row r="32" spans="1:9" x14ac:dyDescent="0.25">
      <c r="A32" s="5">
        <v>4.5</v>
      </c>
      <c r="B32" s="566" t="s">
        <v>147</v>
      </c>
      <c r="C32" s="7">
        <v>105</v>
      </c>
      <c r="D32" s="5" t="s">
        <v>97</v>
      </c>
      <c r="E32" s="8">
        <v>2052</v>
      </c>
      <c r="F32" s="9">
        <f t="shared" si="1"/>
        <v>215460</v>
      </c>
      <c r="G32" s="10" t="s">
        <v>98</v>
      </c>
      <c r="H32" s="569" t="s">
        <v>430</v>
      </c>
      <c r="I32" s="569" t="s">
        <v>142</v>
      </c>
    </row>
    <row r="33" spans="1:9" x14ac:dyDescent="0.25">
      <c r="A33" s="5">
        <v>4.5999999999999996</v>
      </c>
      <c r="B33" s="566" t="s">
        <v>148</v>
      </c>
      <c r="C33" s="7">
        <v>105</v>
      </c>
      <c r="D33" s="5" t="s">
        <v>97</v>
      </c>
      <c r="E33" s="8">
        <v>3420</v>
      </c>
      <c r="F33" s="9">
        <f t="shared" si="1"/>
        <v>359100</v>
      </c>
      <c r="G33" s="10" t="s">
        <v>98</v>
      </c>
      <c r="H33" s="569" t="s">
        <v>431</v>
      </c>
      <c r="I33" s="569" t="s">
        <v>142</v>
      </c>
    </row>
    <row r="34" spans="1:9" x14ac:dyDescent="0.25">
      <c r="A34" s="5">
        <v>4.7</v>
      </c>
      <c r="B34" s="566" t="s">
        <v>149</v>
      </c>
      <c r="C34" s="7">
        <v>105</v>
      </c>
      <c r="D34" s="5" t="s">
        <v>97</v>
      </c>
      <c r="E34" s="8">
        <v>4212.3599999999997</v>
      </c>
      <c r="F34" s="9">
        <f t="shared" si="1"/>
        <v>442297.8</v>
      </c>
      <c r="G34" s="10" t="s">
        <v>98</v>
      </c>
      <c r="H34" s="569" t="s">
        <v>432</v>
      </c>
      <c r="I34" s="569" t="s">
        <v>142</v>
      </c>
    </row>
    <row r="35" spans="1:9" x14ac:dyDescent="0.25">
      <c r="A35" s="5">
        <v>4.8</v>
      </c>
      <c r="B35" s="566" t="s">
        <v>150</v>
      </c>
      <c r="C35" s="7">
        <v>105</v>
      </c>
      <c r="D35" s="5" t="s">
        <v>97</v>
      </c>
      <c r="E35" s="8">
        <v>1368</v>
      </c>
      <c r="F35" s="9">
        <f t="shared" si="1"/>
        <v>143640</v>
      </c>
      <c r="G35" s="10" t="s">
        <v>98</v>
      </c>
      <c r="H35" s="569" t="s">
        <v>433</v>
      </c>
      <c r="I35" s="569" t="s">
        <v>142</v>
      </c>
    </row>
    <row r="36" spans="1:9" x14ac:dyDescent="0.25">
      <c r="A36" s="5">
        <v>4.9000000000000004</v>
      </c>
      <c r="B36" s="566" t="s">
        <v>151</v>
      </c>
      <c r="C36" s="7">
        <v>100</v>
      </c>
      <c r="D36" s="565" t="s">
        <v>152</v>
      </c>
      <c r="E36" s="8">
        <v>7244.35</v>
      </c>
      <c r="F36" s="9">
        <f t="shared" si="1"/>
        <v>724435</v>
      </c>
      <c r="G36" s="10" t="s">
        <v>98</v>
      </c>
      <c r="H36" s="569" t="s">
        <v>434</v>
      </c>
      <c r="I36" s="569" t="s">
        <v>142</v>
      </c>
    </row>
    <row r="37" spans="1:9" x14ac:dyDescent="0.25">
      <c r="A37" s="430" t="s">
        <v>523</v>
      </c>
      <c r="B37" s="566" t="s">
        <v>153</v>
      </c>
      <c r="C37" s="7">
        <v>500</v>
      </c>
      <c r="D37" s="565" t="s">
        <v>152</v>
      </c>
      <c r="E37" s="8">
        <v>6977.93</v>
      </c>
      <c r="F37" s="9">
        <f t="shared" si="1"/>
        <v>3488965</v>
      </c>
      <c r="G37" s="10" t="s">
        <v>98</v>
      </c>
      <c r="H37" s="569" t="s">
        <v>435</v>
      </c>
      <c r="I37" s="569" t="s">
        <v>142</v>
      </c>
    </row>
    <row r="38" spans="1:9" x14ac:dyDescent="0.25">
      <c r="A38" s="17">
        <v>4.1100000000000003</v>
      </c>
      <c r="B38" s="566" t="s">
        <v>154</v>
      </c>
      <c r="C38" s="7">
        <v>800</v>
      </c>
      <c r="D38" s="565" t="s">
        <v>152</v>
      </c>
      <c r="E38" s="8">
        <v>8275.99</v>
      </c>
      <c r="F38" s="9">
        <f>+C38*E38</f>
        <v>6620792</v>
      </c>
      <c r="G38" s="10" t="s">
        <v>98</v>
      </c>
      <c r="H38" s="569" t="s">
        <v>436</v>
      </c>
      <c r="I38" s="569" t="s">
        <v>142</v>
      </c>
    </row>
    <row r="39" spans="1:9" x14ac:dyDescent="0.25">
      <c r="A39" s="17">
        <v>4.12</v>
      </c>
      <c r="B39" s="566" t="s">
        <v>155</v>
      </c>
      <c r="C39" s="7">
        <v>105</v>
      </c>
      <c r="D39" s="7" t="s">
        <v>97</v>
      </c>
      <c r="E39" s="8">
        <v>4409.2299999999996</v>
      </c>
      <c r="F39" s="9">
        <f>+C39*E39</f>
        <v>462969.14999999997</v>
      </c>
      <c r="G39" s="10" t="s">
        <v>98</v>
      </c>
      <c r="H39" s="569" t="s">
        <v>437</v>
      </c>
      <c r="I39" s="569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13</v>
      </c>
      <c r="B2" s="144" t="s">
        <v>14</v>
      </c>
      <c r="C2" s="110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39"/>
    </row>
    <row r="3" spans="1:12" ht="26.25" x14ac:dyDescent="0.25">
      <c r="A3" s="34" t="s">
        <v>13</v>
      </c>
      <c r="B3" s="144" t="s">
        <v>40</v>
      </c>
      <c r="C3" s="110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39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4" t="s">
        <v>41</v>
      </c>
      <c r="C4" s="110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36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39"/>
    </row>
    <row r="5" spans="1:12" ht="26.25" x14ac:dyDescent="0.25">
      <c r="A5" s="34" t="s">
        <v>13</v>
      </c>
      <c r="B5" s="144" t="s">
        <v>42</v>
      </c>
      <c r="C5" s="110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39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4" t="s">
        <v>43</v>
      </c>
      <c r="C6" s="110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39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4" t="s">
        <v>45</v>
      </c>
      <c r="C7" s="110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39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4" t="s">
        <v>17</v>
      </c>
      <c r="C8" s="110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39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4" t="s">
        <v>18</v>
      </c>
      <c r="C9" s="110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39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4" t="s">
        <v>19</v>
      </c>
      <c r="C10" s="110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36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39"/>
    </row>
    <row r="11" spans="1:12" ht="26.25" x14ac:dyDescent="0.25">
      <c r="A11" s="34" t="s">
        <v>13</v>
      </c>
      <c r="B11" s="144" t="s">
        <v>52</v>
      </c>
      <c r="C11" s="110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39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4" t="s">
        <v>53</v>
      </c>
      <c r="C12" s="110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36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39"/>
    </row>
    <row r="13" spans="1:12" ht="26.25" x14ac:dyDescent="0.25">
      <c r="A13" s="34" t="s">
        <v>13</v>
      </c>
      <c r="B13" s="144" t="s">
        <v>44</v>
      </c>
      <c r="C13" s="110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39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4" t="s">
        <v>67</v>
      </c>
      <c r="C14" s="110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39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4" t="s">
        <v>51</v>
      </c>
      <c r="C15" s="110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39">
        <f>IFERROR(SUMIFS(Tabla1[Avance_Med],Tabla1[Ducto],$B15,Tabla1[nombre_actividad],G$1),0)</f>
        <v>2</v>
      </c>
    </row>
    <row r="16" spans="1:12" ht="26.25" hidden="1" outlineLevel="1" x14ac:dyDescent="0.25">
      <c r="A16" s="141" t="s">
        <v>13</v>
      </c>
      <c r="B16" s="145" t="s">
        <v>170</v>
      </c>
      <c r="C16" s="142" t="e">
        <f>+_xlfn.XLOOKUP(B16,Tabla1[Ducto],Tabla1[Length])</f>
        <v>#N/A</v>
      </c>
      <c r="D16" s="143" t="s">
        <v>171</v>
      </c>
      <c r="E16" s="143" t="s">
        <v>171</v>
      </c>
      <c r="F16" s="143" t="s">
        <v>171</v>
      </c>
      <c r="G16" s="143" t="s">
        <v>171</v>
      </c>
      <c r="H16" s="79"/>
      <c r="I16" s="79"/>
      <c r="J16" s="139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4" t="s">
        <v>57</v>
      </c>
      <c r="C17" s="110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39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4" t="s">
        <v>58</v>
      </c>
      <c r="C18" s="110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36"/>
      <c r="H18" s="79"/>
      <c r="I18" s="79"/>
      <c r="J18" s="139"/>
    </row>
    <row r="19" spans="1:10" ht="26.25" x14ac:dyDescent="0.25">
      <c r="A19" s="34" t="s">
        <v>13</v>
      </c>
      <c r="B19" s="144" t="s">
        <v>20</v>
      </c>
      <c r="C19" s="110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39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4" t="s">
        <v>47</v>
      </c>
      <c r="C20" s="110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39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4" t="s">
        <v>48</v>
      </c>
      <c r="C21" s="110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36"/>
      <c r="H21" s="79"/>
      <c r="I21" s="79"/>
      <c r="J21" s="139"/>
    </row>
    <row r="22" spans="1:10" ht="26.25" x14ac:dyDescent="0.25">
      <c r="A22" s="34" t="s">
        <v>13</v>
      </c>
      <c r="B22" s="144" t="s">
        <v>49</v>
      </c>
      <c r="C22" s="110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39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4" t="s">
        <v>172</v>
      </c>
      <c r="C23" s="110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36"/>
      <c r="H23" s="79"/>
      <c r="I23" s="79"/>
      <c r="J23" s="139"/>
    </row>
    <row r="24" spans="1:10" ht="26.25" x14ac:dyDescent="0.25">
      <c r="A24" s="34" t="s">
        <v>13</v>
      </c>
      <c r="B24" s="144" t="s">
        <v>65</v>
      </c>
      <c r="C24" s="110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39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4" t="s">
        <v>61</v>
      </c>
      <c r="C25" s="110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39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4" t="s">
        <v>62</v>
      </c>
      <c r="C26" s="110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39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4" t="s">
        <v>63</v>
      </c>
      <c r="C27" s="110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36"/>
      <c r="H27" s="79"/>
      <c r="I27" s="79"/>
      <c r="J27" s="139"/>
    </row>
    <row r="28" spans="1:10" ht="26.25" x14ac:dyDescent="0.25">
      <c r="A28" s="34" t="s">
        <v>13</v>
      </c>
      <c r="B28" s="144" t="s">
        <v>70</v>
      </c>
      <c r="C28" s="110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39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4" t="s">
        <v>50</v>
      </c>
      <c r="C29" s="110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39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4" t="s">
        <v>344</v>
      </c>
      <c r="C30" s="110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36"/>
      <c r="H30" s="215"/>
      <c r="I30" s="215"/>
      <c r="J30" s="139"/>
    </row>
    <row r="31" spans="1:10" ht="26.25" collapsed="1" x14ac:dyDescent="0.25">
      <c r="A31" s="34" t="s">
        <v>13</v>
      </c>
      <c r="B31" s="144" t="s">
        <v>66</v>
      </c>
      <c r="C31" s="110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39">
        <f>IFERROR(SUMIFS(Tabla1[Avance_Med],Tabla1[Ducto],$B31,Tabla1[nombre_actividad],G$1),0)</f>
        <v>6</v>
      </c>
    </row>
    <row r="32" spans="1:10" ht="26.25" hidden="1" outlineLevel="1" x14ac:dyDescent="0.25">
      <c r="A32" s="141" t="s">
        <v>13</v>
      </c>
      <c r="B32" s="145" t="s">
        <v>173</v>
      </c>
      <c r="C32" s="142" t="e">
        <f>+_xlfn.XLOOKUP(B32,Tabla1[Ducto],Tabla1[Length])</f>
        <v>#N/A</v>
      </c>
      <c r="D32" s="143" t="s">
        <v>171</v>
      </c>
      <c r="E32" s="143" t="s">
        <v>171</v>
      </c>
      <c r="F32" s="143" t="s">
        <v>171</v>
      </c>
      <c r="G32" s="143" t="s">
        <v>171</v>
      </c>
      <c r="J32" s="139">
        <f>IFERROR(SUMIFS(Tabla1[Avance_Med],Tabla1[Ducto],$B32,Tabla1[nombre_actividad],G$1),0)</f>
        <v>0</v>
      </c>
    </row>
    <row r="33" spans="1:10" ht="26.25" x14ac:dyDescent="0.25">
      <c r="A33" s="180" t="s">
        <v>13</v>
      </c>
      <c r="B33" s="181" t="s">
        <v>68</v>
      </c>
      <c r="C33" s="182" t="e">
        <f>+_xlfn.XLOOKUP(B33,Tabla1[Ducto],Tabla1[Length])</f>
        <v>#N/A</v>
      </c>
      <c r="D33" s="183">
        <f>IFERROR(SUMIFS(Tabla1[Avance_km],Tabla1[Ducto],'R (s01)'!$B33,Tabla1[nombre_actividad],D$1,Tabla1[Sistema],"LIRA_GALERAS")/$C33,0)</f>
        <v>0</v>
      </c>
      <c r="E33" s="183">
        <f>IFERROR(SUMIFS(Tabla1[Avance_km],Tabla1[Ducto],'R (s01)'!$B33,Tabla1[nombre_actividad],E$1,Tabla1[Sistema],"LIRA_GALERAS")/$C33,0)</f>
        <v>0</v>
      </c>
      <c r="F33" s="183">
        <f>IFERROR(SUMIFS(Tabla1[Avance_km],Tabla1[Ducto],'R (s01)'!$B33,Tabla1[nombre_actividad],F$1,Tabla1[Sistema],"LIRA_GALERAS")/$C33,0)</f>
        <v>0</v>
      </c>
      <c r="G33" s="136"/>
      <c r="J33" s="139"/>
    </row>
    <row r="34" spans="1:10" ht="26.25" x14ac:dyDescent="0.25">
      <c r="A34" s="180" t="s">
        <v>13</v>
      </c>
      <c r="B34" s="181" t="s">
        <v>69</v>
      </c>
      <c r="C34" s="182" t="e">
        <f>+_xlfn.XLOOKUP(B34,Tabla1[Ducto],Tabla1[Length])</f>
        <v>#N/A</v>
      </c>
      <c r="D34" s="183">
        <f>IFERROR(SUMIFS(Tabla1[Avance_km],Tabla1[Ducto],'R (s01)'!$B34,Tabla1[nombre_actividad],D$1,Tabla1[Sistema],"LIRA_GALERAS")/$C34,0)</f>
        <v>0</v>
      </c>
      <c r="E34" s="183">
        <f>IFERROR(SUMIFS(Tabla1[Avance_km],Tabla1[Ducto],'R (s01)'!$B34,Tabla1[nombre_actividad],E$1,Tabla1[Sistema],"LIRA_GALERAS")/$C34,0)</f>
        <v>0</v>
      </c>
      <c r="F34" s="183">
        <f>IFERROR(SUMIFS(Tabla1[Avance_km],Tabla1[Ducto],'R (s01)'!$B34,Tabla1[nombre_actividad],F$1,Tabla1[Sistema],"LIRA_GALERAS")/$C34,0)</f>
        <v>0</v>
      </c>
      <c r="G34" s="136"/>
      <c r="J34" s="139"/>
    </row>
    <row r="35" spans="1:10" ht="26.25" x14ac:dyDescent="0.25">
      <c r="A35" s="34" t="s">
        <v>13</v>
      </c>
      <c r="B35" s="144" t="s">
        <v>59</v>
      </c>
      <c r="C35" s="110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36"/>
      <c r="J35" s="139"/>
    </row>
    <row r="36" spans="1:10" ht="26.25" x14ac:dyDescent="0.25">
      <c r="A36" s="34" t="s">
        <v>13</v>
      </c>
      <c r="B36" s="144" t="s">
        <v>60</v>
      </c>
      <c r="C36" s="110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36"/>
      <c r="J36" s="139"/>
    </row>
    <row r="37" spans="1:10" ht="26.25" x14ac:dyDescent="0.25">
      <c r="A37" s="34" t="s">
        <v>13</v>
      </c>
      <c r="B37" s="144" t="s">
        <v>21</v>
      </c>
      <c r="C37" s="110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39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4" t="s">
        <v>37</v>
      </c>
      <c r="C38" s="110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39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4" t="s">
        <v>71</v>
      </c>
      <c r="C39" s="110">
        <f>+_xlfn.XLOOKUP(B39,Tabla1[Ducto],Tabla1[Length])</f>
        <v>7.0000000000000001E-3</v>
      </c>
      <c r="D39" s="161">
        <f>IFERROR(SUMIFS(Tabla1[Avance_km],Tabla1[Ducto],'R (s01)'!$B39,Tabla1[nombre_actividad],D$1,Tabla1[Sistema],"LIRA_GALERAS")/$C39,0)</f>
        <v>1</v>
      </c>
      <c r="E39" s="161">
        <f>IFERROR(SUMIFS(Tabla1[Avance_km],Tabla1[Ducto],'R (s01)'!$B39,Tabla1[nombre_actividad],E$1,Tabla1[Sistema],"LIRA_GALERAS")/$C39,0)</f>
        <v>1</v>
      </c>
      <c r="F39" s="161">
        <f>IFERROR(SUMIFS(Tabla1[Avance_km],Tabla1[Ducto],'R (s01)'!$B39,Tabla1[nombre_actividad],F$1,Tabla1[Sistema],"LIRA_GALERAS")/$C39,0)</f>
        <v>1</v>
      </c>
      <c r="G39" s="136"/>
      <c r="J39" s="139"/>
    </row>
    <row r="40" spans="1:10" ht="26.25" x14ac:dyDescent="0.25">
      <c r="A40" s="34" t="s">
        <v>13</v>
      </c>
      <c r="B40" s="144" t="s">
        <v>38</v>
      </c>
      <c r="C40" s="110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39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4" t="s">
        <v>46</v>
      </c>
      <c r="C41" s="110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39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22</v>
      </c>
      <c r="B2" s="146" t="s">
        <v>27</v>
      </c>
      <c r="C2" s="110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39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46" t="s">
        <v>73</v>
      </c>
      <c r="C3" s="110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36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39"/>
    </row>
    <row r="4" spans="1:12" ht="26.25" x14ac:dyDescent="0.25">
      <c r="A4" s="34" t="s">
        <v>22</v>
      </c>
      <c r="B4" s="146" t="s">
        <v>64</v>
      </c>
      <c r="C4" s="110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36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39"/>
    </row>
    <row r="5" spans="1:12" ht="26.25" x14ac:dyDescent="0.25">
      <c r="A5" s="34" t="s">
        <v>22</v>
      </c>
      <c r="B5" s="146" t="s">
        <v>55</v>
      </c>
      <c r="C5" s="110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36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39"/>
    </row>
    <row r="6" spans="1:12" ht="26.25" x14ac:dyDescent="0.25">
      <c r="A6" s="34" t="s">
        <v>22</v>
      </c>
      <c r="B6" s="146" t="s">
        <v>54</v>
      </c>
      <c r="C6" s="110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36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39"/>
    </row>
    <row r="7" spans="1:12" ht="26.25" x14ac:dyDescent="0.25">
      <c r="A7" s="34" t="s">
        <v>22</v>
      </c>
      <c r="B7" s="146" t="s">
        <v>35</v>
      </c>
      <c r="C7" s="110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39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46" t="s">
        <v>74</v>
      </c>
      <c r="C8" s="110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39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46" t="s">
        <v>34</v>
      </c>
      <c r="C9" s="110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39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46" t="s">
        <v>56</v>
      </c>
      <c r="C10" s="110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36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39"/>
    </row>
    <row r="11" spans="1:12" ht="26.25" x14ac:dyDescent="0.25">
      <c r="A11" s="34" t="s">
        <v>22</v>
      </c>
      <c r="B11" s="146" t="s">
        <v>32</v>
      </c>
      <c r="C11" s="110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39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46" t="s">
        <v>33</v>
      </c>
      <c r="C12" s="110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36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39"/>
    </row>
    <row r="13" spans="1:12" ht="26.25" x14ac:dyDescent="0.25">
      <c r="A13" s="34" t="s">
        <v>22</v>
      </c>
      <c r="B13" s="146" t="s">
        <v>26</v>
      </c>
      <c r="C13" s="110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36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39"/>
    </row>
    <row r="14" spans="1:12" ht="26.25" x14ac:dyDescent="0.25">
      <c r="A14" s="34" t="s">
        <v>22</v>
      </c>
      <c r="B14" s="146" t="s">
        <v>357</v>
      </c>
      <c r="C14" s="110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39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46" t="s">
        <v>23</v>
      </c>
      <c r="C15" s="110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39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46" t="s">
        <v>39</v>
      </c>
      <c r="C16" s="110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39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46" t="s">
        <v>24</v>
      </c>
      <c r="C17" s="110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39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46" t="s">
        <v>25</v>
      </c>
      <c r="C18" s="110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36"/>
      <c r="H18" s="79"/>
      <c r="I18" s="79"/>
      <c r="J18" s="139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15" workbookViewId="0">
      <selection activeCell="J20" sqref="A20:J20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0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4" ht="27" thickBot="1" x14ac:dyDescent="0.35">
      <c r="A2" s="34" t="s">
        <v>329</v>
      </c>
      <c r="B2" s="174" t="s">
        <v>212</v>
      </c>
      <c r="C2" s="110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39">
        <f>IFERROR(SUMIFS(Tabla1[Avance_Med],Tabla1[Ducto],$B2,Tabla1[nombre_actividad],G$1),0)</f>
        <v>49</v>
      </c>
      <c r="K2" s="394" t="s">
        <v>510</v>
      </c>
      <c r="M2" s="90" t="s">
        <v>212</v>
      </c>
      <c r="N2" s="26"/>
    </row>
    <row r="3" spans="1:14" ht="27" thickBot="1" x14ac:dyDescent="0.35">
      <c r="A3" s="34" t="s">
        <v>329</v>
      </c>
      <c r="B3" s="174" t="s">
        <v>213</v>
      </c>
      <c r="C3" s="110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39">
        <f>IFERROR(SUMIFS(Tabla1[Avance_Med],Tabla1[Ducto],$B3,Tabla1[nombre_actividad],G$1),0)</f>
        <v>1</v>
      </c>
      <c r="M3" s="90" t="s">
        <v>213</v>
      </c>
      <c r="N3" s="26"/>
    </row>
    <row r="4" spans="1:14" ht="27" thickBot="1" x14ac:dyDescent="0.35">
      <c r="A4" s="34" t="s">
        <v>329</v>
      </c>
      <c r="B4" s="174" t="s">
        <v>214</v>
      </c>
      <c r="C4" s="110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39">
        <f>IFERROR(SUMIFS(Tabla1[Avance_Med],Tabla1[Ducto],$B4,Tabla1[nombre_actividad],G$1),0)</f>
        <v>1</v>
      </c>
      <c r="M4" s="90" t="s">
        <v>214</v>
      </c>
      <c r="N4" s="26"/>
    </row>
    <row r="5" spans="1:14" ht="27" thickBot="1" x14ac:dyDescent="0.35">
      <c r="A5" s="34" t="s">
        <v>329</v>
      </c>
      <c r="B5" s="174" t="s">
        <v>215</v>
      </c>
      <c r="C5" s="110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39">
        <f>IFERROR(SUMIFS(Tabla1[Avance_Med],Tabla1[Ducto],$B5,Tabla1[nombre_actividad],G$1),0)</f>
        <v>5</v>
      </c>
      <c r="M5" s="90" t="s">
        <v>215</v>
      </c>
      <c r="N5" s="26"/>
    </row>
    <row r="6" spans="1:14" ht="27" thickBot="1" x14ac:dyDescent="0.35">
      <c r="A6" s="34" t="s">
        <v>329</v>
      </c>
      <c r="B6" s="174" t="s">
        <v>216</v>
      </c>
      <c r="C6" s="110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39">
        <f>IFERROR(SUMIFS(Tabla1[Avance_Med],Tabla1[Ducto],$B6,Tabla1[nombre_actividad],G$1),0)</f>
        <v>1</v>
      </c>
      <c r="M6" s="90" t="s">
        <v>216</v>
      </c>
      <c r="N6" s="26"/>
    </row>
    <row r="7" spans="1:14" ht="26.25" x14ac:dyDescent="0.25">
      <c r="A7" s="34" t="s">
        <v>329</v>
      </c>
      <c r="B7" s="174" t="s">
        <v>339</v>
      </c>
      <c r="C7" s="110">
        <v>0</v>
      </c>
      <c r="D7" s="405">
        <f>IFERROR(SUMIFS(Tabla1[Avance_km],Tabla1[Ducto],'R (s03)'!$B7,Tabla1[nombre_actividad],D$1,Tabla1[Sistema],"HUIMILPAN")/$C7,0)</f>
        <v>0</v>
      </c>
      <c r="E7" s="405">
        <f>IFERROR(SUMIFS(Tabla1[Avance_km],Tabla1[Ducto],'R (s03)'!$B7,Tabla1[nombre_actividad],E$1,Tabla1[Sistema],"HUIMILPAN")/$C7,0)</f>
        <v>0</v>
      </c>
      <c r="F7" s="405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39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4" t="s">
        <v>217</v>
      </c>
      <c r="C8" s="110">
        <v>5.8719999999999999</v>
      </c>
      <c r="D8" s="161">
        <f>IFERROR(SUMIFS(Tabla1[Avance_km],Tabla1[Ducto],'R (s03)'!$B8,Tabla1[nombre_actividad],D$1,Tabla1[Sistema],"HUIMILPAN")/$C8,0)</f>
        <v>1</v>
      </c>
      <c r="E8" s="161">
        <f>IFERROR(SUMIFS(Tabla1[Avance_km],Tabla1[Ducto],'R (s03)'!$B8,Tabla1[nombre_actividad],E$1,Tabla1[Sistema],"HUIMILPAN")/$C8,0)</f>
        <v>0.82970027247956402</v>
      </c>
      <c r="F8" s="161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39">
        <f>IFERROR(SUMIFS(Tabla1[Avance_Med],Tabla1[Ducto],$B8,Tabla1[nombre_actividad],G$1),0)</f>
        <v>14</v>
      </c>
      <c r="M8" s="90" t="s">
        <v>217</v>
      </c>
      <c r="N8" s="26"/>
    </row>
    <row r="9" spans="1:14" ht="26.25" x14ac:dyDescent="0.25">
      <c r="A9" s="180" t="s">
        <v>329</v>
      </c>
      <c r="B9" s="393" t="s">
        <v>340</v>
      </c>
      <c r="C9" s="182">
        <f>_xlfn.IFNA(_xlfn.XLOOKUP(B9,Tabla1[Ducto],Tabla1[Length]), _xlfn.XLOOKUP(B9,'Summary S03'!A:A,'Summary S03'!G:G)/1000)</f>
        <v>0</v>
      </c>
      <c r="D9" s="183">
        <f>IFERROR(SUMIFS(Tabla1[Avance_km],Tabla1[Ducto],'R (s03)'!$B9,Tabla1[nombre_actividad],D$1,Tabla1[Sistema],"HUIMILPAN")/$C9,0)</f>
        <v>0</v>
      </c>
      <c r="E9" s="183">
        <f>IFERROR(SUMIFS(Tabla1[Avance_km],Tabla1[Ducto],'R (s03)'!$B9,Tabla1[nombre_actividad],E$1,Tabla1[Sistema],"HUIMILPAN")/$C9,0)</f>
        <v>0</v>
      </c>
      <c r="F9" s="183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39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4" t="s">
        <v>218</v>
      </c>
      <c r="C10" s="110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39">
        <f>IFERROR(SUMIFS(Tabla1[Avance_Med],Tabla1[Ducto],$B10,Tabla1[nombre_actividad],G$1),0)</f>
        <v>4</v>
      </c>
      <c r="M10" s="90" t="s">
        <v>218</v>
      </c>
      <c r="N10" s="26"/>
    </row>
    <row r="11" spans="1:14" ht="27" thickBot="1" x14ac:dyDescent="0.35">
      <c r="A11" s="34" t="s">
        <v>329</v>
      </c>
      <c r="B11" s="174" t="s">
        <v>341</v>
      </c>
      <c r="C11" s="110">
        <f>_xlfn.IFNA(_xlfn.XLOOKUP(B11,Tabla1[Ducto],Tabla1[Length]), _xlfn.XLOOKUP(B11,'Summary S03'!A:A,'Summary S03'!G:G)/1000)</f>
        <v>7.0000000000000001E-3</v>
      </c>
      <c r="D11" s="405">
        <f>IFERROR(SUMIFS(Tabla1[Avance_km],Tabla1[Ducto],'R (s03)'!$B11,Tabla1[nombre_actividad],D$1,Tabla1[Sistema],"HUIMILPAN")/$C11,0)</f>
        <v>0</v>
      </c>
      <c r="E11" s="405">
        <f>IFERROR(SUMIFS(Tabla1[Avance_km],Tabla1[Ducto],'R (s03)'!$B11,Tabla1[nombre_actividad],E$1,Tabla1[Sistema],"HUIMILPAN")/$C11,0)</f>
        <v>0</v>
      </c>
      <c r="F11" s="405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39">
        <f>IFERROR(SUMIFS(Tabla1[Avance_Med],Tabla1[Ducto],$B11,Tabla1[nombre_actividad],G$1),0)</f>
        <v>1</v>
      </c>
      <c r="M11" s="90" t="s">
        <v>341</v>
      </c>
      <c r="N11" s="26"/>
    </row>
    <row r="12" spans="1:14" ht="27" thickBot="1" x14ac:dyDescent="0.35">
      <c r="A12" s="34" t="s">
        <v>329</v>
      </c>
      <c r="B12" s="174" t="s">
        <v>219</v>
      </c>
      <c r="C12" s="110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39">
        <f>IFERROR(SUMIFS(Tabla1[Avance_Med],Tabla1[Ducto],$B12,Tabla1[nombre_actividad],G$1),0)</f>
        <v>2</v>
      </c>
      <c r="M12" s="90" t="s">
        <v>219</v>
      </c>
      <c r="N12" s="26"/>
    </row>
    <row r="13" spans="1:14" ht="27" thickBot="1" x14ac:dyDescent="0.35">
      <c r="A13" s="180" t="s">
        <v>329</v>
      </c>
      <c r="B13" s="393" t="s">
        <v>220</v>
      </c>
      <c r="C13" s="182">
        <v>0</v>
      </c>
      <c r="D13" s="183">
        <f>IFERROR(SUMIFS(Tabla1[Avance_km],Tabla1[Ducto],'R (s03)'!$B13,Tabla1[nombre_actividad],D$1,Tabla1[Sistema],"HUIMILPAN")/$C13,0)</f>
        <v>0</v>
      </c>
      <c r="E13" s="183">
        <f>IFERROR(SUMIFS(Tabla1[Avance_km],Tabla1[Ducto],'R (s03)'!$B13,Tabla1[nombre_actividad],E$1,Tabla1[Sistema],"HUIMILPAN")/$C13,0)</f>
        <v>0</v>
      </c>
      <c r="F13" s="183">
        <f>IFERROR(SUMIFS(Tabla1[Avance_km],Tabla1[Ducto],'R (s03)'!$B13,Tabla1[nombre_actividad],F$1,Tabla1[Sistema],"HUIMILPAN")/$C13,0)</f>
        <v>0</v>
      </c>
      <c r="G13" s="195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39"/>
      <c r="M13" s="382" t="s">
        <v>220</v>
      </c>
      <c r="N13" s="26"/>
    </row>
    <row r="14" spans="1:14" ht="27" thickBot="1" x14ac:dyDescent="0.35">
      <c r="A14" s="34" t="s">
        <v>329</v>
      </c>
      <c r="B14" s="174" t="s">
        <v>221</v>
      </c>
      <c r="C14" s="110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39">
        <f>IFERROR(SUMIFS(Tabla1[Avance_Med],Tabla1[Ducto],$B14,Tabla1[nombre_actividad],G$1),0)</f>
        <v>1</v>
      </c>
      <c r="M14" s="90" t="s">
        <v>221</v>
      </c>
      <c r="N14" s="26"/>
    </row>
    <row r="15" spans="1:14" ht="27" thickBot="1" x14ac:dyDescent="0.35">
      <c r="A15" s="34" t="s">
        <v>329</v>
      </c>
      <c r="B15" s="174" t="s">
        <v>222</v>
      </c>
      <c r="C15" s="110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39">
        <f>IFERROR(SUMIFS(Tabla1[Avance_Med],Tabla1[Ducto],$B15,Tabla1[nombre_actividad],G$1),0)</f>
        <v>1</v>
      </c>
      <c r="M15" s="90" t="s">
        <v>222</v>
      </c>
      <c r="N15" s="26"/>
    </row>
    <row r="16" spans="1:14" s="1" customFormat="1" ht="27" thickBot="1" x14ac:dyDescent="0.35">
      <c r="A16" s="34" t="s">
        <v>329</v>
      </c>
      <c r="B16" s="174" t="s">
        <v>223</v>
      </c>
      <c r="C16" s="110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39">
        <f>IFERROR(SUMIFS(Tabla1[Avance_Med],Tabla1[Ducto],$B16,Tabla1[nombre_actividad],G$1),0)</f>
        <v>1</v>
      </c>
      <c r="L16"/>
      <c r="M16" s="90" t="s">
        <v>223</v>
      </c>
      <c r="N16" s="26"/>
    </row>
    <row r="17" spans="1:14" s="1" customFormat="1" ht="27" thickBot="1" x14ac:dyDescent="0.35">
      <c r="A17" s="34" t="s">
        <v>329</v>
      </c>
      <c r="B17" s="174" t="s">
        <v>224</v>
      </c>
      <c r="C17" s="110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39">
        <f>IFERROR(SUMIFS(Tabla1[Avance_Med],Tabla1[Ducto],$B17,Tabla1[nombre_actividad],G$1),0)</f>
        <v>1</v>
      </c>
      <c r="L17"/>
      <c r="M17" s="90" t="s">
        <v>224</v>
      </c>
      <c r="N17" s="26"/>
    </row>
    <row r="18" spans="1:14" s="1" customFormat="1" ht="27" thickBot="1" x14ac:dyDescent="0.35">
      <c r="A18" s="34" t="s">
        <v>329</v>
      </c>
      <c r="B18" s="174" t="s">
        <v>225</v>
      </c>
      <c r="C18" s="110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39">
        <f>IFERROR(SUMIFS(Tabla1[Avance_Med],Tabla1[Ducto],$B18,Tabla1[nombre_actividad],G$1),0)</f>
        <v>14</v>
      </c>
      <c r="L18"/>
      <c r="M18" s="90" t="s">
        <v>225</v>
      </c>
      <c r="N18" s="26"/>
    </row>
    <row r="19" spans="1:14" s="1" customFormat="1" ht="27" thickBot="1" x14ac:dyDescent="0.35">
      <c r="A19" s="34" t="s">
        <v>329</v>
      </c>
      <c r="B19" s="174" t="s">
        <v>227</v>
      </c>
      <c r="C19" s="110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39">
        <f>IFERROR(SUMIFS(Tabla1[Avance_Med],Tabla1[Ducto],$B19,Tabla1[nombre_actividad],G$1),0)</f>
        <v>1</v>
      </c>
      <c r="L19"/>
      <c r="M19" s="90" t="s">
        <v>227</v>
      </c>
      <c r="N19" s="26"/>
    </row>
    <row r="20" spans="1:14" s="1" customFormat="1" ht="27" thickBot="1" x14ac:dyDescent="0.35">
      <c r="A20" s="180" t="s">
        <v>329</v>
      </c>
      <c r="B20" s="393" t="s">
        <v>229</v>
      </c>
      <c r="C20" s="182">
        <v>0</v>
      </c>
      <c r="D20" s="183">
        <f>IFERROR(SUMIFS(Tabla1[Avance_km],Tabla1[Ducto],'R (s03)'!$B20,Tabla1[nombre_actividad],D$1,Tabla1[Sistema],"HUIMILPAN")/$C20,0)</f>
        <v>0</v>
      </c>
      <c r="E20" s="183">
        <f>IFERROR(SUMIFS(Tabla1[Avance_km],Tabla1[Ducto],'R (s03)'!$B20,Tabla1[nombre_actividad],E$1,Tabla1[Sistema],"HUIMILPAN")/$C20,0)</f>
        <v>0</v>
      </c>
      <c r="F20" s="183">
        <f>IFERROR(SUMIFS(Tabla1[Avance_km],Tabla1[Ducto],'R (s03)'!$B20,Tabla1[nombre_actividad],F$1,Tabla1[Sistema],"HUIMILPAN")/$C20,0)</f>
        <v>0</v>
      </c>
      <c r="G20" s="183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39"/>
      <c r="L20"/>
      <c r="M20" s="382" t="s">
        <v>229</v>
      </c>
      <c r="N20" s="26"/>
    </row>
    <row r="21" spans="1:14" s="1" customFormat="1" ht="27" thickBot="1" x14ac:dyDescent="0.35">
      <c r="A21" s="34" t="s">
        <v>329</v>
      </c>
      <c r="B21" s="174" t="s">
        <v>231</v>
      </c>
      <c r="C21" s="110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39">
        <f>IFERROR(SUMIFS(Tabla1[Avance_Med],Tabla1[Ducto],$B21,Tabla1[nombre_actividad],G$1),0)</f>
        <v>1</v>
      </c>
      <c r="L21"/>
      <c r="M21" s="90" t="s">
        <v>231</v>
      </c>
      <c r="N21" s="26"/>
    </row>
    <row r="22" spans="1:14" s="1" customFormat="1" ht="27" thickBot="1" x14ac:dyDescent="0.35">
      <c r="A22" s="34" t="s">
        <v>329</v>
      </c>
      <c r="B22" s="174" t="s">
        <v>233</v>
      </c>
      <c r="C22" s="110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39">
        <f>IFERROR(SUMIFS(Tabla1[Avance_Med],Tabla1[Ducto],$B22,Tabla1[nombre_actividad],G$1),0)</f>
        <v>1</v>
      </c>
      <c r="L22"/>
      <c r="M22" s="90" t="s">
        <v>233</v>
      </c>
      <c r="N22" s="26"/>
    </row>
    <row r="23" spans="1:14" s="1" customFormat="1" ht="27" thickBot="1" x14ac:dyDescent="0.35">
      <c r="A23" s="34" t="s">
        <v>329</v>
      </c>
      <c r="B23" s="174" t="s">
        <v>235</v>
      </c>
      <c r="C23" s="110">
        <v>0</v>
      </c>
      <c r="D23" s="405">
        <f>IFERROR(SUMIFS(Tabla1[Avance_km],Tabla1[Ducto],'R (s03)'!$B23,Tabla1[nombre_actividad],D$1,Tabla1[Sistema],"HUIMILPAN")/$C23,0)</f>
        <v>0</v>
      </c>
      <c r="E23" s="405">
        <f>IFERROR(SUMIFS(Tabla1[Avance_km],Tabla1[Ducto],'R (s03)'!$B23,Tabla1[nombre_actividad],E$1,Tabla1[Sistema],"HUIMILPAN")/$C23,0)</f>
        <v>0</v>
      </c>
      <c r="F23" s="405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39">
        <f>IFERROR(SUMIFS(Tabla1[Avance_Med],Tabla1[Ducto],$B23,Tabla1[nombre_actividad],G$1),0)</f>
        <v>1</v>
      </c>
      <c r="L23"/>
      <c r="M23" s="90" t="s">
        <v>235</v>
      </c>
      <c r="N23" s="26"/>
    </row>
    <row r="24" spans="1:14" s="1" customFormat="1" ht="27" thickBot="1" x14ac:dyDescent="0.35">
      <c r="A24" s="34" t="s">
        <v>329</v>
      </c>
      <c r="B24" s="174" t="s">
        <v>237</v>
      </c>
      <c r="C24" s="110">
        <v>5.1999999999999998E-2</v>
      </c>
      <c r="D24" s="161">
        <f>IFERROR(SUMIFS(Tabla1[Avance_km],Tabla1[Ducto],'R (s03)'!$B24,Tabla1[nombre_actividad],D$1,Tabla1[Sistema],"HUIMILPAN")/$C24,0)</f>
        <v>1</v>
      </c>
      <c r="E24" s="161">
        <f>IFERROR(SUMIFS(Tabla1[Avance_km],Tabla1[Ducto],'R (s03)'!$B24,Tabla1[nombre_actividad],E$1,Tabla1[Sistema],"HUIMILPAN")/$C24,0)</f>
        <v>1</v>
      </c>
      <c r="F24" s="161">
        <f>IFERROR(SUMIFS(Tabla1[Avance_km],Tabla1[Ducto],'R (s03)'!$B24,Tabla1[nombre_actividad],F$1,Tabla1[Sistema],"HUIMILPAN")/$C24,0)</f>
        <v>1</v>
      </c>
      <c r="G24" s="143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39"/>
      <c r="K24" s="206" t="s">
        <v>354</v>
      </c>
      <c r="L24"/>
      <c r="M24" s="90" t="s">
        <v>237</v>
      </c>
      <c r="N24" s="26"/>
    </row>
    <row r="25" spans="1:14" s="1" customFormat="1" ht="27" thickBot="1" x14ac:dyDescent="0.35">
      <c r="A25" s="34" t="s">
        <v>329</v>
      </c>
      <c r="B25" s="174" t="s">
        <v>239</v>
      </c>
      <c r="C25" s="110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39">
        <f>IFERROR(SUMIFS(Tabla1[Avance_Med],Tabla1[Ducto],$B25,Tabla1[nombre_actividad],G$1),0)</f>
        <v>1</v>
      </c>
      <c r="L25"/>
      <c r="M25" s="90" t="s">
        <v>239</v>
      </c>
      <c r="N25" s="26"/>
    </row>
    <row r="26" spans="1:14" s="1" customFormat="1" ht="27" thickBot="1" x14ac:dyDescent="0.35">
      <c r="A26" s="180" t="s">
        <v>329</v>
      </c>
      <c r="B26" s="393" t="s">
        <v>240</v>
      </c>
      <c r="C26" s="182">
        <f>_xlfn.IFNA(_xlfn.XLOOKUP(B26,Tabla1[Ducto],Tabla1[Length]), _xlfn.XLOOKUP(B26,'Summary S03'!A:A,'Summary S03'!G:G)/1000)</f>
        <v>0</v>
      </c>
      <c r="D26" s="183">
        <f>IFERROR(SUMIFS(Tabla1[Avance_km],Tabla1[Ducto],'R (s03)'!$B26,Tabla1[nombre_actividad],D$1,Tabla1[Sistema],"HUIMILPAN")/$C26,0)</f>
        <v>0</v>
      </c>
      <c r="E26" s="183">
        <f>IFERROR(SUMIFS(Tabla1[Avance_km],Tabla1[Ducto],'R (s03)'!$B26,Tabla1[nombre_actividad],E$1,Tabla1[Sistema],"HUIMILPAN")/$C26,0)</f>
        <v>0</v>
      </c>
      <c r="F26" s="183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39">
        <f>IFERROR(SUMIFS(Tabla1[Avance_Med],Tabla1[Ducto],$B26,Tabla1[nombre_actividad],G$1),0)</f>
        <v>2</v>
      </c>
      <c r="L26"/>
      <c r="M26" s="382" t="s">
        <v>240</v>
      </c>
      <c r="N26" s="26"/>
    </row>
    <row r="27" spans="1:14" s="1" customFormat="1" ht="27" thickBot="1" x14ac:dyDescent="0.35">
      <c r="A27" s="34" t="s">
        <v>329</v>
      </c>
      <c r="B27" s="174" t="s">
        <v>241</v>
      </c>
      <c r="C27" s="110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39">
        <f>IFERROR(SUMIFS(Tabla1[Avance_Med],Tabla1[Ducto],$B27,Tabla1[nombre_actividad],G$1),0)</f>
        <v>1</v>
      </c>
      <c r="L27"/>
      <c r="M27" s="90" t="s">
        <v>241</v>
      </c>
      <c r="N27" s="26"/>
    </row>
    <row r="28" spans="1:14" s="1" customFormat="1" ht="27" thickBot="1" x14ac:dyDescent="0.35">
      <c r="A28" s="34" t="s">
        <v>329</v>
      </c>
      <c r="B28" s="174" t="s">
        <v>242</v>
      </c>
      <c r="C28" s="110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39">
        <f>IFERROR(SUMIFS(Tabla1[Avance_Med],Tabla1[Ducto],$B28,Tabla1[nombre_actividad],G$1),0)</f>
        <v>1</v>
      </c>
      <c r="L28"/>
      <c r="M28" s="90" t="s">
        <v>242</v>
      </c>
      <c r="N28" s="26"/>
    </row>
    <row r="29" spans="1:14" s="1" customFormat="1" ht="27" thickBot="1" x14ac:dyDescent="0.35">
      <c r="A29" s="34" t="s">
        <v>329</v>
      </c>
      <c r="B29" s="174" t="s">
        <v>243</v>
      </c>
      <c r="C29" s="110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195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39"/>
      <c r="L29"/>
      <c r="M29" s="90" t="s">
        <v>243</v>
      </c>
      <c r="N29" s="26"/>
    </row>
    <row r="30" spans="1:14" s="1" customFormat="1" ht="27" thickBot="1" x14ac:dyDescent="0.35">
      <c r="A30" s="34" t="s">
        <v>329</v>
      </c>
      <c r="B30" s="174" t="s">
        <v>244</v>
      </c>
      <c r="C30" s="110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39">
        <f>IFERROR(SUMIFS(Tabla1[Avance_Med],Tabla1[Ducto],$B30,Tabla1[nombre_actividad],G$1),0)</f>
        <v>2</v>
      </c>
      <c r="L30"/>
      <c r="M30" s="90" t="s">
        <v>244</v>
      </c>
      <c r="N30" s="26"/>
    </row>
    <row r="31" spans="1:14" s="1" customFormat="1" ht="27" thickBot="1" x14ac:dyDescent="0.35">
      <c r="A31" s="34" t="s">
        <v>329</v>
      </c>
      <c r="B31" s="174" t="s">
        <v>245</v>
      </c>
      <c r="C31" s="110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39">
        <f>IFERROR(SUMIFS(Tabla1[Avance_Med],Tabla1[Ducto],$B31,Tabla1[nombre_actividad],G$1),0)</f>
        <v>1</v>
      </c>
      <c r="L31"/>
      <c r="M31" s="90" t="s">
        <v>245</v>
      </c>
      <c r="N31" s="26"/>
    </row>
    <row r="32" spans="1:14" s="1" customFormat="1" ht="27" thickBot="1" x14ac:dyDescent="0.35">
      <c r="A32" s="414" t="s">
        <v>329</v>
      </c>
      <c r="B32" s="415" t="s">
        <v>246</v>
      </c>
      <c r="C32" s="416">
        <v>0</v>
      </c>
      <c r="D32" s="417">
        <f>IFERROR(SUMIFS(Tabla1[Avance_km],Tabla1[Ducto],'R (s03)'!$B32,Tabla1[nombre_actividad],D$1,Tabla1[Sistema],"HUIMILPAN")/$C32,0)</f>
        <v>0</v>
      </c>
      <c r="E32" s="417">
        <f>IFERROR(SUMIFS(Tabla1[Avance_km],Tabla1[Ducto],'R (s03)'!$B32,Tabla1[nombre_actividad],E$1,Tabla1[Sistema],"HUIMILPAN")/$C32,0)</f>
        <v>0</v>
      </c>
      <c r="F32" s="417">
        <f>IFERROR(SUMIFS(Tabla1[Avance_km],Tabla1[Ducto],'R (s03)'!$B32,Tabla1[nombre_actividad],F$1,Tabla1[Sistema],"HUIMILPAN")/$C32,0)</f>
        <v>0</v>
      </c>
      <c r="G32" s="417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39">
        <f>IFERROR(SUMIFS(Tabla1[Avance_Med],Tabla1[Ducto],$B32,Tabla1[nombre_actividad],G$1),0)</f>
        <v>1</v>
      </c>
      <c r="K32" s="1" t="s">
        <v>520</v>
      </c>
      <c r="L32"/>
      <c r="M32" s="90" t="s">
        <v>246</v>
      </c>
      <c r="N32" s="26"/>
    </row>
    <row r="33" spans="1:14" s="1" customFormat="1" ht="27" thickBot="1" x14ac:dyDescent="0.35">
      <c r="A33" s="34" t="s">
        <v>329</v>
      </c>
      <c r="B33" s="174" t="s">
        <v>247</v>
      </c>
      <c r="C33" s="110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195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39"/>
      <c r="L33"/>
      <c r="M33" s="90" t="s">
        <v>247</v>
      </c>
      <c r="N33" s="26"/>
    </row>
    <row r="34" spans="1:14" s="1" customFormat="1" ht="27" thickBot="1" x14ac:dyDescent="0.35">
      <c r="A34" s="34" t="s">
        <v>329</v>
      </c>
      <c r="B34" s="174" t="s">
        <v>248</v>
      </c>
      <c r="C34" s="110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39">
        <f>IFERROR(SUMIFS(Tabla1[Avance_Med],Tabla1[Ducto],$B34,Tabla1[nombre_actividad],G$1),0)</f>
        <v>1</v>
      </c>
      <c r="L34"/>
      <c r="M34" s="90" t="s">
        <v>248</v>
      </c>
      <c r="N34" s="26"/>
    </row>
    <row r="35" spans="1:14" s="1" customFormat="1" ht="27" thickBot="1" x14ac:dyDescent="0.35">
      <c r="A35" s="34" t="s">
        <v>329</v>
      </c>
      <c r="B35" s="174" t="s">
        <v>249</v>
      </c>
      <c r="C35" s="110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39">
        <f>IFERROR(SUMIFS(Tabla1[Avance_Med],Tabla1[Ducto],$B35,Tabla1[nombre_actividad],G$1),0)</f>
        <v>1</v>
      </c>
      <c r="L35"/>
      <c r="M35" s="90" t="s">
        <v>249</v>
      </c>
      <c r="N35" s="26"/>
    </row>
    <row r="36" spans="1:14" s="1" customFormat="1" ht="27" thickBot="1" x14ac:dyDescent="0.35">
      <c r="A36" s="34" t="s">
        <v>329</v>
      </c>
      <c r="B36" s="174" t="s">
        <v>250</v>
      </c>
      <c r="C36" s="110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39">
        <f>IFERROR(SUMIFS(Tabla1[Avance_Med],Tabla1[Ducto],$B36,Tabla1[nombre_actividad],G$1),0)</f>
        <v>3</v>
      </c>
      <c r="L36"/>
      <c r="M36" s="90" t="s">
        <v>250</v>
      </c>
      <c r="N36" s="26"/>
    </row>
    <row r="37" spans="1:14" s="1" customFormat="1" ht="27" thickBot="1" x14ac:dyDescent="0.35">
      <c r="A37" s="34" t="s">
        <v>329</v>
      </c>
      <c r="B37" s="174" t="s">
        <v>251</v>
      </c>
      <c r="C37" s="110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39">
        <f>IFERROR(SUMIFS(Tabla1[Avance_Med],Tabla1[Ducto],$B37,Tabla1[nombre_actividad],G$1),0)</f>
        <v>2</v>
      </c>
      <c r="L37"/>
      <c r="M37" s="90" t="s">
        <v>251</v>
      </c>
      <c r="N37" s="26"/>
    </row>
    <row r="38" spans="1:14" s="1" customFormat="1" ht="27" thickBot="1" x14ac:dyDescent="0.35">
      <c r="A38" s="34" t="s">
        <v>329</v>
      </c>
      <c r="B38" s="174" t="s">
        <v>252</v>
      </c>
      <c r="C38" s="110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39">
        <f>IFERROR(SUMIFS(Tabla1[Avance_Med],Tabla1[Ducto],$B38,Tabla1[nombre_actividad],G$1),0)</f>
        <v>1</v>
      </c>
      <c r="L38"/>
      <c r="M38" s="90" t="s">
        <v>252</v>
      </c>
      <c r="N38" s="26"/>
    </row>
    <row r="39" spans="1:14" s="1" customFormat="1" ht="27" thickBot="1" x14ac:dyDescent="0.35">
      <c r="A39" s="34" t="s">
        <v>329</v>
      </c>
      <c r="B39" s="174" t="s">
        <v>253</v>
      </c>
      <c r="C39" s="110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39">
        <f>IFERROR(SUMIFS(Tabla1[Avance_Med],Tabla1[Ducto],$B39,Tabla1[nombre_actividad],G$1),0)</f>
        <v>4</v>
      </c>
      <c r="L39"/>
      <c r="M39" s="90" t="s">
        <v>253</v>
      </c>
      <c r="N39" s="26"/>
    </row>
    <row r="40" spans="1:14" s="1" customFormat="1" ht="27" thickBot="1" x14ac:dyDescent="0.35">
      <c r="A40" s="34" t="s">
        <v>329</v>
      </c>
      <c r="B40" s="174" t="s">
        <v>254</v>
      </c>
      <c r="C40" s="110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39">
        <f>IFERROR(SUMIFS(Tabla1[Avance_Med],Tabla1[Ducto],$B40,Tabla1[nombre_actividad],G$1),0)</f>
        <v>1</v>
      </c>
      <c r="K40" s="1" t="s">
        <v>534</v>
      </c>
      <c r="L40"/>
      <c r="M40" s="90" t="s">
        <v>254</v>
      </c>
      <c r="N40" s="26"/>
    </row>
    <row r="41" spans="1:14" s="1" customFormat="1" ht="27" thickBot="1" x14ac:dyDescent="0.35">
      <c r="A41" s="34" t="s">
        <v>329</v>
      </c>
      <c r="B41" s="174" t="s">
        <v>255</v>
      </c>
      <c r="C41" s="110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39">
        <f>IFERROR(SUMIFS(Tabla1[Avance_Med],Tabla1[Ducto],$B41,Tabla1[nombre_actividad],G$1),0)</f>
        <v>1</v>
      </c>
      <c r="L41"/>
      <c r="M41" s="90" t="s">
        <v>255</v>
      </c>
      <c r="N41" s="26"/>
    </row>
    <row r="42" spans="1:14" s="1" customFormat="1" ht="27" thickBot="1" x14ac:dyDescent="0.35">
      <c r="A42" s="34" t="s">
        <v>329</v>
      </c>
      <c r="B42" s="174" t="s">
        <v>346</v>
      </c>
      <c r="C42" s="110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39">
        <f>IFERROR(SUMIFS(Tabla1[Avance_Med],Tabla1[Ducto],$B42,Tabla1[nombre_actividad],G$1),0)</f>
        <v>2</v>
      </c>
      <c r="L42"/>
      <c r="M42" s="90" t="s">
        <v>346</v>
      </c>
      <c r="N42" s="26"/>
    </row>
    <row r="43" spans="1:14" s="1" customFormat="1" ht="30.75" thickBot="1" x14ac:dyDescent="0.35">
      <c r="A43" s="414" t="s">
        <v>329</v>
      </c>
      <c r="B43" s="414" t="s">
        <v>502</v>
      </c>
      <c r="C43" s="416">
        <v>0</v>
      </c>
      <c r="D43" s="417">
        <f>IFERROR(SUMIFS(Tabla1[Avance_km],Tabla1[Ducto],'R (s03)'!$B43,Tabla1[nombre_actividad],D$1,Tabla1[Sistema],"HUIMILPAN")/$C43,0)</f>
        <v>0</v>
      </c>
      <c r="E43" s="417">
        <f>IFERROR(SUMIFS(Tabla1[Avance_km],Tabla1[Ducto],'R (s03)'!$B43,Tabla1[nombre_actividad],E$1,Tabla1[Sistema],"HUIMILPAN")/$C43,0)</f>
        <v>0</v>
      </c>
      <c r="F43" s="417">
        <f>IFERROR(SUMIFS(Tabla1[Avance_km],Tabla1[Ducto],'R (s03)'!$B43,Tabla1[nombre_actividad],F$1,Tabla1[Sistema],"HUIMILPAN")/$C43,0)</f>
        <v>0</v>
      </c>
      <c r="G43" s="384" t="s">
        <v>506</v>
      </c>
      <c r="H43" s="79"/>
      <c r="I43" s="79"/>
      <c r="J43" s="139"/>
      <c r="K43" s="24" t="s">
        <v>535</v>
      </c>
      <c r="L43"/>
      <c r="M43" s="90" t="s">
        <v>502</v>
      </c>
      <c r="N43" s="26"/>
    </row>
    <row r="44" spans="1:14" s="1" customFormat="1" ht="27" thickBot="1" x14ac:dyDescent="0.35">
      <c r="A44" s="34" t="s">
        <v>329</v>
      </c>
      <c r="B44" s="174" t="s">
        <v>504</v>
      </c>
      <c r="C44" s="110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4"/>
      <c r="H44" s="79"/>
      <c r="I44" s="79"/>
      <c r="J44" s="139"/>
      <c r="L44"/>
      <c r="M44" s="90" t="s">
        <v>504</v>
      </c>
      <c r="N44" s="26"/>
    </row>
    <row r="45" spans="1:14" s="1" customFormat="1" ht="27" thickBot="1" x14ac:dyDescent="0.35">
      <c r="A45" s="34" t="s">
        <v>329</v>
      </c>
      <c r="B45" s="174" t="s">
        <v>353</v>
      </c>
      <c r="C45" s="110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39">
        <f>IFERROR(SUMIFS(Tabla1[Avance_Med],Tabla1[Ducto],$B45,Tabla1[nombre_actividad],G$1),0)</f>
        <v>1</v>
      </c>
      <c r="L45"/>
      <c r="M45" s="90" t="s">
        <v>353</v>
      </c>
      <c r="N45" s="26"/>
    </row>
    <row r="47" spans="1:14" x14ac:dyDescent="0.25">
      <c r="B47" s="205" t="s">
        <v>237</v>
      </c>
      <c r="C47" s="206" t="s">
        <v>354</v>
      </c>
      <c r="D47" s="207"/>
      <c r="E47" s="207"/>
    </row>
    <row r="49" spans="3:12" ht="24" x14ac:dyDescent="0.4">
      <c r="C49" s="390" t="s">
        <v>509</v>
      </c>
      <c r="D49" s="391">
        <f>1000*(SUM(C2:C45)-SUMPRODUCT(C2:C45,D2:D45))</f>
        <v>6.9999999999978968</v>
      </c>
      <c r="E49" s="391">
        <f>1000*(SUM(C2:C45)-SUMPRODUCT(C2:C45,E2:E45))</f>
        <v>562.99999999998818</v>
      </c>
      <c r="F49" s="391">
        <f>1000*(SUM(C2:C45)-SUMPRODUCT(C2:C45,F2:F45))</f>
        <v>745.99999999999511</v>
      </c>
    </row>
    <row r="50" spans="3:12" x14ac:dyDescent="0.25">
      <c r="K50" s="421" t="s">
        <v>518</v>
      </c>
    </row>
    <row r="51" spans="3:12" x14ac:dyDescent="0.25">
      <c r="J51" s="420">
        <v>46241</v>
      </c>
      <c r="K51" s="1" t="s">
        <v>504</v>
      </c>
      <c r="L51" t="s">
        <v>519</v>
      </c>
    </row>
    <row r="52" spans="3:12" x14ac:dyDescent="0.25">
      <c r="J52" s="420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0"/>
    </row>
    <row r="54" spans="3:12" x14ac:dyDescent="0.25">
      <c r="D54" s="26" t="s">
        <v>212</v>
      </c>
      <c r="E54" s="26"/>
    </row>
    <row r="55" spans="3:12" x14ac:dyDescent="0.25">
      <c r="D55" s="447" cm="1">
        <f t="array" ref="D55:F77">_xlfn._xlws.SORT(_xlfn._xlws.FILTER(_xlfn._xlws.FILTER(Tabla1[],(Tabla1[Ducto]=D54)*(Tabla1[Actividades]=D53),),{1,0,0,0,0,1,1,0,0,0,0,0,0,0}),2,1)</f>
        <v>46157</v>
      </c>
      <c r="E55" s="348">
        <v>0</v>
      </c>
      <c r="F55" s="348">
        <v>2410</v>
      </c>
      <c r="G55" t="str">
        <f>+IF(F55=E56,"OK","rev")</f>
        <v>OK</v>
      </c>
    </row>
    <row r="56" spans="3:12" x14ac:dyDescent="0.25">
      <c r="D56" s="447">
        <v>46158</v>
      </c>
      <c r="E56" s="348">
        <v>2410</v>
      </c>
      <c r="F56" s="348">
        <v>4336</v>
      </c>
      <c r="G56" t="str">
        <f t="shared" ref="G56:G77" si="0">+IF(F56=E57,"OK","rev")</f>
        <v>OK</v>
      </c>
      <c r="J56" s="420"/>
    </row>
    <row r="57" spans="3:12" x14ac:dyDescent="0.25">
      <c r="D57" s="447">
        <v>46163</v>
      </c>
      <c r="E57" s="348">
        <v>4336</v>
      </c>
      <c r="F57" s="348">
        <v>6908</v>
      </c>
      <c r="G57" t="str">
        <f t="shared" si="0"/>
        <v>OK</v>
      </c>
      <c r="J57" s="420"/>
    </row>
    <row r="58" spans="3:12" x14ac:dyDescent="0.25">
      <c r="D58" s="447">
        <v>46164</v>
      </c>
      <c r="E58" s="348">
        <v>6908</v>
      </c>
      <c r="F58" s="348">
        <v>9461</v>
      </c>
      <c r="G58" t="str">
        <f t="shared" si="0"/>
        <v>OK</v>
      </c>
    </row>
    <row r="59" spans="3:12" x14ac:dyDescent="0.25">
      <c r="D59" s="447">
        <v>46165</v>
      </c>
      <c r="E59" s="348">
        <v>9461</v>
      </c>
      <c r="F59" s="348">
        <v>11253</v>
      </c>
      <c r="G59" t="str">
        <f t="shared" si="0"/>
        <v>OK</v>
      </c>
    </row>
    <row r="60" spans="3:12" x14ac:dyDescent="0.25">
      <c r="D60" s="447">
        <v>46174</v>
      </c>
      <c r="E60" s="348">
        <v>11253</v>
      </c>
      <c r="F60" s="348">
        <v>13245</v>
      </c>
      <c r="G60" t="str">
        <f t="shared" si="0"/>
        <v>OK</v>
      </c>
    </row>
    <row r="61" spans="3:12" x14ac:dyDescent="0.25">
      <c r="D61" s="447">
        <v>46175</v>
      </c>
      <c r="E61" s="348">
        <v>13245</v>
      </c>
      <c r="F61" s="348">
        <v>15238</v>
      </c>
      <c r="G61" t="str">
        <f t="shared" si="0"/>
        <v>OK</v>
      </c>
    </row>
    <row r="62" spans="3:12" x14ac:dyDescent="0.25">
      <c r="D62" s="447">
        <v>46176</v>
      </c>
      <c r="E62" s="348">
        <v>15238</v>
      </c>
      <c r="F62" s="348">
        <v>15605</v>
      </c>
      <c r="G62" t="str">
        <f t="shared" si="0"/>
        <v>OK</v>
      </c>
    </row>
    <row r="63" spans="3:12" x14ac:dyDescent="0.25">
      <c r="D63" s="447">
        <v>46191</v>
      </c>
      <c r="E63" s="348">
        <v>15605</v>
      </c>
      <c r="F63" s="348">
        <v>16617</v>
      </c>
      <c r="G63" t="str">
        <f t="shared" si="0"/>
        <v>OK</v>
      </c>
    </row>
    <row r="64" spans="3:12" x14ac:dyDescent="0.25">
      <c r="D64" s="447">
        <v>46177</v>
      </c>
      <c r="E64" s="348">
        <v>16617</v>
      </c>
      <c r="F64" s="348">
        <v>17605</v>
      </c>
      <c r="G64" t="str">
        <f t="shared" si="0"/>
        <v>OK</v>
      </c>
    </row>
    <row r="65" spans="4:7" x14ac:dyDescent="0.25">
      <c r="D65" s="447">
        <v>46176</v>
      </c>
      <c r="E65" s="348">
        <v>17605</v>
      </c>
      <c r="F65" s="348">
        <v>17932</v>
      </c>
      <c r="G65" t="str">
        <f t="shared" si="0"/>
        <v>OK</v>
      </c>
    </row>
    <row r="66" spans="4:7" x14ac:dyDescent="0.25">
      <c r="D66" s="447">
        <v>46177</v>
      </c>
      <c r="E66" s="348">
        <v>17932</v>
      </c>
      <c r="F66" s="348">
        <v>18406</v>
      </c>
      <c r="G66" t="str">
        <f t="shared" si="0"/>
        <v>OK</v>
      </c>
    </row>
    <row r="67" spans="4:7" x14ac:dyDescent="0.25">
      <c r="D67" s="447">
        <v>46188</v>
      </c>
      <c r="E67" s="348">
        <v>18406</v>
      </c>
      <c r="F67" s="348">
        <v>18873</v>
      </c>
      <c r="G67" t="str">
        <f t="shared" si="0"/>
        <v>OK</v>
      </c>
    </row>
    <row r="68" spans="4:7" x14ac:dyDescent="0.25">
      <c r="D68" s="447">
        <v>46189</v>
      </c>
      <c r="E68" s="348">
        <v>18873</v>
      </c>
      <c r="F68" s="348">
        <v>19571</v>
      </c>
      <c r="G68" t="str">
        <f t="shared" si="0"/>
        <v>OK</v>
      </c>
    </row>
    <row r="69" spans="4:7" x14ac:dyDescent="0.25">
      <c r="D69" s="447">
        <v>46191</v>
      </c>
      <c r="E69" s="348">
        <v>19571</v>
      </c>
      <c r="F69" s="348">
        <v>19731</v>
      </c>
      <c r="G69" t="str">
        <f t="shared" si="0"/>
        <v>OK</v>
      </c>
    </row>
    <row r="70" spans="4:7" x14ac:dyDescent="0.25">
      <c r="D70" s="447">
        <v>46190</v>
      </c>
      <c r="E70" s="348">
        <v>19731</v>
      </c>
      <c r="F70" s="348">
        <v>20170</v>
      </c>
      <c r="G70" t="str">
        <f t="shared" si="0"/>
        <v>OK</v>
      </c>
    </row>
    <row r="71" spans="4:7" x14ac:dyDescent="0.25">
      <c r="D71" s="447">
        <v>46183</v>
      </c>
      <c r="E71" s="348">
        <v>20170</v>
      </c>
      <c r="F71" s="348">
        <v>20312</v>
      </c>
      <c r="G71" t="str">
        <f t="shared" si="0"/>
        <v>OK</v>
      </c>
    </row>
    <row r="72" spans="4:7" x14ac:dyDescent="0.25">
      <c r="D72" s="447">
        <v>46185</v>
      </c>
      <c r="E72" s="348">
        <v>20312</v>
      </c>
      <c r="F72" s="348">
        <v>21184</v>
      </c>
      <c r="G72" t="str">
        <f t="shared" si="0"/>
        <v>OK</v>
      </c>
    </row>
    <row r="73" spans="4:7" x14ac:dyDescent="0.25">
      <c r="D73" s="447">
        <v>46183</v>
      </c>
      <c r="E73" s="348">
        <v>21184</v>
      </c>
      <c r="F73" s="348">
        <v>21466</v>
      </c>
      <c r="G73" t="str">
        <f t="shared" si="0"/>
        <v>OK</v>
      </c>
    </row>
    <row r="74" spans="4:7" x14ac:dyDescent="0.25">
      <c r="D74" s="447">
        <v>46182</v>
      </c>
      <c r="E74" s="348">
        <v>21466</v>
      </c>
      <c r="F74" s="348">
        <v>22255</v>
      </c>
      <c r="G74" t="str">
        <f t="shared" si="0"/>
        <v>OK</v>
      </c>
    </row>
    <row r="75" spans="4:7" x14ac:dyDescent="0.25">
      <c r="D75" s="447">
        <v>46183</v>
      </c>
      <c r="E75" s="348">
        <v>22255</v>
      </c>
      <c r="F75" s="348">
        <v>22858</v>
      </c>
      <c r="G75" t="str">
        <f t="shared" si="0"/>
        <v>OK</v>
      </c>
    </row>
    <row r="76" spans="4:7" x14ac:dyDescent="0.25">
      <c r="D76" s="447">
        <v>46181</v>
      </c>
      <c r="E76" s="348">
        <v>22858</v>
      </c>
      <c r="F76" s="348">
        <v>24240</v>
      </c>
      <c r="G76" t="str">
        <f t="shared" si="0"/>
        <v>OK</v>
      </c>
    </row>
    <row r="77" spans="4:7" x14ac:dyDescent="0.25">
      <c r="D77" s="447">
        <v>46182</v>
      </c>
      <c r="E77" s="348">
        <v>24240</v>
      </c>
      <c r="F77" s="348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topLeftCell="A7" workbookViewId="0">
      <selection activeCell="F32" sqref="F32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0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</row>
    <row r="2" spans="1:19" ht="26.25" x14ac:dyDescent="0.25">
      <c r="A2" s="34" t="s">
        <v>351</v>
      </c>
      <c r="B2" s="174" t="s">
        <v>359</v>
      </c>
      <c r="C2" s="110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39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4" t="s">
        <v>264</v>
      </c>
      <c r="C3" s="110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39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4" t="s">
        <v>360</v>
      </c>
      <c r="C4" s="110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39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4" t="s">
        <v>361</v>
      </c>
      <c r="C5" s="110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39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4" t="s">
        <v>351</v>
      </c>
      <c r="C6" s="110">
        <v>47.596499999999999</v>
      </c>
      <c r="D6" s="79">
        <f>IFERROR(SUMIFS(Tabla1[Avance_km],Tabla1[Ducto],'R (s04)'!$B6,Tabla1[nombre_actividad],D$1,Tabla1[Sistema],"BUENAVISTA")/$C6,0)</f>
        <v>0.77736808378767353</v>
      </c>
      <c r="E6" s="79">
        <f>IFERROR(SUMIFS(Tabla1[Avance_km],Tabla1[Ducto],'R (s04)'!$B6,Tabla1[nombre_actividad],E$1,Tabla1[Sistema],"BUENAVISTA")/$C6,0)</f>
        <v>0.69889592722153926</v>
      </c>
      <c r="F6" s="418" t="s">
        <v>506</v>
      </c>
      <c r="G6" s="418" t="s">
        <v>506</v>
      </c>
      <c r="H6" s="79"/>
      <c r="I6" s="79"/>
      <c r="J6" s="139"/>
      <c r="K6" s="1">
        <f>+E6*C6*1000</f>
        <v>33264.999999999993</v>
      </c>
    </row>
    <row r="8" spans="1:19" x14ac:dyDescent="0.25">
      <c r="D8" s="76" t="s">
        <v>646</v>
      </c>
      <c r="E8" s="76" t="s">
        <v>646</v>
      </c>
    </row>
    <row r="9" spans="1:19" x14ac:dyDescent="0.25">
      <c r="D9" s="560">
        <f>+C6*(1-D6)</f>
        <v>10.596499999999997</v>
      </c>
      <c r="E9" s="560">
        <f>+C6*(1-E6)</f>
        <v>14.331500000000005</v>
      </c>
    </row>
    <row r="10" spans="1:19" ht="15.75" thickBot="1" x14ac:dyDescent="0.3">
      <c r="E10" s="560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19"/>
      <c r="K11" s="33" t="s">
        <v>2</v>
      </c>
      <c r="L11" s="422" t="s">
        <v>528</v>
      </c>
      <c r="M11" s="446"/>
      <c r="N11" s="612" t="s">
        <v>533</v>
      </c>
      <c r="O11" s="613"/>
      <c r="P11" s="614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1" t="s">
        <v>211</v>
      </c>
      <c r="K12" s="463" t="s">
        <v>532</v>
      </c>
      <c r="L12" s="463" t="s">
        <v>504</v>
      </c>
      <c r="M12" s="464">
        <v>1</v>
      </c>
      <c r="N12" s="490" t="s">
        <v>526</v>
      </c>
      <c r="O12" s="467"/>
      <c r="P12" s="468"/>
      <c r="Q12" s="348">
        <v>0</v>
      </c>
    </row>
    <row r="13" spans="1:19" x14ac:dyDescent="0.25">
      <c r="A13" s="447" cm="1">
        <f t="array" ref="A13:C33">_xlfn._xlws.SORT(_xlfn._xlws.FILTER(_xlfn._xlws.FILTER(Tabla1[],(Tabla1[Ducto]=A12)*(Tabla1[Actividades]=A11),),{1,0,0,0,0,1,1,0,0,0,0,0,0,0}),2,1)</f>
        <v>46249</v>
      </c>
      <c r="B13" s="348">
        <v>0</v>
      </c>
      <c r="C13" s="348">
        <v>845</v>
      </c>
      <c r="D13" t="str">
        <f>+IF(C12=B13,"OK","rev salto de "&amp;TEXT(B13-C12,"0+000"))</f>
        <v>OK</v>
      </c>
      <c r="E13" s="447" cm="1">
        <f t="array" ref="E13:G35">_xlfn._xlws.SORT(_xlfn._xlws.FILTER(_xlfn._xlws.FILTER(Tabla1[],(Tabla1[Ducto]=E12)*(Tabla1[Actividades]=E11),),{1,0,0,0,0,1,1,0,0,0,0,0,0,0}),2,1)</f>
        <v>46252</v>
      </c>
      <c r="F13" s="348">
        <v>0</v>
      </c>
      <c r="G13" s="348">
        <v>2981</v>
      </c>
      <c r="H13" t="str">
        <f>+IF(G12=F13,"OK","rev salto de "&amp;TEXT(F13-G12,"0+000"))</f>
        <v>OK</v>
      </c>
      <c r="J13" s="491" t="s">
        <v>352</v>
      </c>
      <c r="K13" s="463" t="s">
        <v>351</v>
      </c>
      <c r="L13" s="463" t="s">
        <v>359</v>
      </c>
      <c r="M13" s="464">
        <v>3</v>
      </c>
      <c r="N13" s="465" t="s">
        <v>526</v>
      </c>
      <c r="O13" s="463" t="s">
        <v>527</v>
      </c>
      <c r="P13" s="466" t="s">
        <v>525</v>
      </c>
      <c r="Q13" s="348">
        <v>0</v>
      </c>
      <c r="R13" s="348">
        <v>400</v>
      </c>
      <c r="S13" s="348">
        <v>875</v>
      </c>
    </row>
    <row r="14" spans="1:19" x14ac:dyDescent="0.25">
      <c r="A14" s="447">
        <v>46250</v>
      </c>
      <c r="B14" s="348">
        <v>845</v>
      </c>
      <c r="C14" s="348">
        <v>1920</v>
      </c>
      <c r="D14" t="str">
        <f t="shared" ref="D14:D29" si="0">+IF(C13=B14,"OK","rev salto de "&amp;TEXT(B14-C13,"0+000"))</f>
        <v>OK</v>
      </c>
      <c r="E14" s="447">
        <v>46254</v>
      </c>
      <c r="F14" s="348">
        <v>2981</v>
      </c>
      <c r="G14" s="348">
        <v>4939</v>
      </c>
      <c r="H14" t="str">
        <f t="shared" ref="H14:H35" si="1">+IF(G13=F14,"OK","rev salto de "&amp;TEXT(F14-G13,"0+000"))</f>
        <v>OK</v>
      </c>
      <c r="J14" s="491" t="s">
        <v>352</v>
      </c>
      <c r="K14" s="463" t="s">
        <v>351</v>
      </c>
      <c r="L14" s="463" t="s">
        <v>360</v>
      </c>
      <c r="M14" s="464">
        <v>1</v>
      </c>
      <c r="N14" s="465" t="s">
        <v>525</v>
      </c>
      <c r="O14" s="467"/>
      <c r="P14" s="468"/>
      <c r="Q14" s="348">
        <v>160</v>
      </c>
      <c r="R14" s="348"/>
      <c r="S14" s="348"/>
    </row>
    <row r="15" spans="1:19" x14ac:dyDescent="0.25">
      <c r="A15" s="447">
        <v>46251</v>
      </c>
      <c r="B15" s="348">
        <v>1920</v>
      </c>
      <c r="C15" s="348">
        <v>4300</v>
      </c>
      <c r="D15" t="str">
        <f t="shared" si="0"/>
        <v>OK</v>
      </c>
      <c r="E15" s="447">
        <v>46255</v>
      </c>
      <c r="F15" s="348">
        <v>4939</v>
      </c>
      <c r="G15" s="348">
        <v>7540</v>
      </c>
      <c r="H15" t="str">
        <f t="shared" si="1"/>
        <v>OK</v>
      </c>
      <c r="J15" s="491" t="s">
        <v>352</v>
      </c>
      <c r="K15" s="463" t="s">
        <v>351</v>
      </c>
      <c r="L15" s="463" t="s">
        <v>361</v>
      </c>
      <c r="M15" s="464">
        <v>1</v>
      </c>
      <c r="N15" s="465" t="s">
        <v>526</v>
      </c>
      <c r="O15" s="467"/>
      <c r="P15" s="468"/>
      <c r="Q15" s="348">
        <v>6</v>
      </c>
      <c r="R15" s="348"/>
      <c r="S15" s="348"/>
    </row>
    <row r="16" spans="1:19" x14ac:dyDescent="0.25">
      <c r="A16" s="447">
        <v>46253</v>
      </c>
      <c r="B16" s="348">
        <v>4300</v>
      </c>
      <c r="C16" s="348">
        <v>5320</v>
      </c>
      <c r="D16" t="str">
        <f t="shared" si="0"/>
        <v>OK</v>
      </c>
      <c r="E16" s="447">
        <v>46267</v>
      </c>
      <c r="F16" s="348">
        <v>7540</v>
      </c>
      <c r="G16" s="348">
        <v>9340</v>
      </c>
      <c r="H16" t="str">
        <f t="shared" si="1"/>
        <v>OK</v>
      </c>
      <c r="J16" s="462" t="s">
        <v>380</v>
      </c>
      <c r="K16" s="463" t="s">
        <v>379</v>
      </c>
      <c r="L16" s="463" t="s">
        <v>367</v>
      </c>
      <c r="M16" s="464">
        <v>1</v>
      </c>
      <c r="N16" s="465" t="s">
        <v>526</v>
      </c>
      <c r="O16" s="467"/>
      <c r="P16" s="468"/>
      <c r="Q16" s="348">
        <v>0</v>
      </c>
      <c r="R16" s="348"/>
      <c r="S16" s="348"/>
    </row>
    <row r="17" spans="1:19" x14ac:dyDescent="0.25">
      <c r="A17" s="447">
        <v>46255</v>
      </c>
      <c r="B17" s="348">
        <v>5320</v>
      </c>
      <c r="C17" s="348">
        <v>5930</v>
      </c>
      <c r="D17" t="str">
        <f t="shared" si="0"/>
        <v>OK</v>
      </c>
      <c r="E17" s="447">
        <v>46268</v>
      </c>
      <c r="F17" s="348">
        <v>9340</v>
      </c>
      <c r="G17" s="348">
        <v>10693</v>
      </c>
      <c r="H17" t="str">
        <f t="shared" si="1"/>
        <v>OK</v>
      </c>
      <c r="J17" s="462" t="s">
        <v>380</v>
      </c>
      <c r="K17" s="463" t="s">
        <v>379</v>
      </c>
      <c r="L17" s="463" t="s">
        <v>368</v>
      </c>
      <c r="M17" s="464">
        <v>1</v>
      </c>
      <c r="N17" s="465" t="s">
        <v>526</v>
      </c>
      <c r="O17" s="467"/>
      <c r="P17" s="468"/>
      <c r="Q17" s="348">
        <v>0</v>
      </c>
      <c r="R17" s="348"/>
      <c r="S17" s="348"/>
    </row>
    <row r="18" spans="1:19" x14ac:dyDescent="0.25">
      <c r="A18" s="447">
        <v>46253</v>
      </c>
      <c r="B18" s="348">
        <v>5930</v>
      </c>
      <c r="C18" s="348">
        <v>7540</v>
      </c>
      <c r="D18" t="str">
        <f t="shared" si="0"/>
        <v>OK</v>
      </c>
      <c r="E18" s="447">
        <v>46272</v>
      </c>
      <c r="F18" s="348">
        <v>10693</v>
      </c>
      <c r="G18" s="348">
        <v>11425</v>
      </c>
      <c r="H18" t="str">
        <f t="shared" si="1"/>
        <v>OK</v>
      </c>
      <c r="J18" s="462" t="s">
        <v>380</v>
      </c>
      <c r="K18" s="463" t="s">
        <v>379</v>
      </c>
      <c r="L18" s="463" t="s">
        <v>369</v>
      </c>
      <c r="M18" s="464">
        <v>1</v>
      </c>
      <c r="N18" s="465" t="s">
        <v>526</v>
      </c>
      <c r="O18" s="467"/>
      <c r="P18" s="468"/>
      <c r="Q18" s="348">
        <v>0</v>
      </c>
      <c r="R18" s="348"/>
      <c r="S18" s="348"/>
    </row>
    <row r="19" spans="1:19" x14ac:dyDescent="0.25">
      <c r="A19" s="447">
        <v>46256</v>
      </c>
      <c r="B19" s="348">
        <v>7540</v>
      </c>
      <c r="C19" s="348">
        <v>8040</v>
      </c>
      <c r="D19" t="str">
        <f t="shared" si="0"/>
        <v>OK</v>
      </c>
      <c r="E19" s="447">
        <v>46274</v>
      </c>
      <c r="F19" s="348">
        <v>11425</v>
      </c>
      <c r="G19" s="348">
        <v>12133</v>
      </c>
      <c r="H19" t="str">
        <f t="shared" si="1"/>
        <v>OK</v>
      </c>
      <c r="J19" s="462" t="s">
        <v>380</v>
      </c>
      <c r="K19" s="463" t="s">
        <v>379</v>
      </c>
      <c r="L19" s="463" t="s">
        <v>370</v>
      </c>
      <c r="M19" s="464">
        <v>1</v>
      </c>
      <c r="N19" s="465" t="s">
        <v>526</v>
      </c>
      <c r="O19" s="467"/>
      <c r="P19" s="468"/>
      <c r="Q19" s="348">
        <v>0</v>
      </c>
      <c r="R19" s="348"/>
      <c r="S19" s="348"/>
    </row>
    <row r="20" spans="1:19" x14ac:dyDescent="0.25">
      <c r="A20" s="447">
        <v>46258</v>
      </c>
      <c r="B20" s="348">
        <v>8040</v>
      </c>
      <c r="C20" s="348">
        <v>8720</v>
      </c>
      <c r="D20" t="str">
        <f t="shared" si="0"/>
        <v>OK</v>
      </c>
      <c r="E20" s="447">
        <v>46273</v>
      </c>
      <c r="F20" s="348">
        <v>12133</v>
      </c>
      <c r="G20" s="348">
        <v>14014</v>
      </c>
      <c r="H20" t="str">
        <f t="shared" si="1"/>
        <v>OK</v>
      </c>
      <c r="J20" s="462" t="s">
        <v>380</v>
      </c>
      <c r="K20" s="463" t="s">
        <v>379</v>
      </c>
      <c r="L20" s="463" t="s">
        <v>371</v>
      </c>
      <c r="M20" s="464">
        <v>1</v>
      </c>
      <c r="N20" s="465" t="s">
        <v>526</v>
      </c>
      <c r="O20" s="467"/>
      <c r="P20" s="468"/>
      <c r="Q20" s="348">
        <v>0</v>
      </c>
      <c r="R20" s="348"/>
      <c r="S20" s="348"/>
    </row>
    <row r="21" spans="1:19" x14ac:dyDescent="0.25">
      <c r="A21" s="447">
        <v>46256</v>
      </c>
      <c r="B21" s="348">
        <v>8720</v>
      </c>
      <c r="C21" s="348">
        <v>9070</v>
      </c>
      <c r="D21" t="str">
        <f t="shared" si="0"/>
        <v>OK</v>
      </c>
      <c r="E21" s="447">
        <v>46274</v>
      </c>
      <c r="F21" s="348">
        <v>14014</v>
      </c>
      <c r="G21" s="348">
        <v>14439</v>
      </c>
      <c r="H21" t="str">
        <f t="shared" si="1"/>
        <v>OK</v>
      </c>
      <c r="J21" s="462" t="s">
        <v>380</v>
      </c>
      <c r="K21" s="463" t="s">
        <v>379</v>
      </c>
      <c r="L21" s="463" t="s">
        <v>372</v>
      </c>
      <c r="M21" s="464">
        <v>1</v>
      </c>
      <c r="N21" s="465" t="s">
        <v>526</v>
      </c>
      <c r="O21" s="467"/>
      <c r="P21" s="468"/>
      <c r="Q21" s="348">
        <v>0</v>
      </c>
      <c r="R21" s="348"/>
      <c r="S21" s="348"/>
    </row>
    <row r="22" spans="1:19" x14ac:dyDescent="0.25">
      <c r="A22" s="447">
        <v>46258</v>
      </c>
      <c r="B22" s="348">
        <v>9070</v>
      </c>
      <c r="C22" s="348">
        <v>10000</v>
      </c>
      <c r="D22" t="str">
        <f t="shared" si="0"/>
        <v>OK</v>
      </c>
      <c r="E22" s="447">
        <v>46279</v>
      </c>
      <c r="F22" s="348">
        <v>14439</v>
      </c>
      <c r="G22" s="348">
        <v>15132</v>
      </c>
      <c r="H22" t="str">
        <f t="shared" si="1"/>
        <v>OK</v>
      </c>
      <c r="J22" s="462" t="s">
        <v>380</v>
      </c>
      <c r="K22" s="463" t="s">
        <v>379</v>
      </c>
      <c r="L22" s="463" t="s">
        <v>373</v>
      </c>
      <c r="M22" s="464">
        <v>1</v>
      </c>
      <c r="N22" s="465" t="s">
        <v>526</v>
      </c>
      <c r="O22" s="467"/>
      <c r="P22" s="468"/>
      <c r="Q22" s="348">
        <v>0</v>
      </c>
      <c r="R22" s="348"/>
      <c r="S22" s="348"/>
    </row>
    <row r="23" spans="1:19" x14ac:dyDescent="0.25">
      <c r="A23" s="447">
        <v>46265</v>
      </c>
      <c r="B23" s="348">
        <v>10000</v>
      </c>
      <c r="C23" s="348">
        <v>10800</v>
      </c>
      <c r="D23" t="str">
        <f t="shared" si="0"/>
        <v>OK</v>
      </c>
      <c r="E23" s="447">
        <v>46276</v>
      </c>
      <c r="F23" s="348">
        <v>15132</v>
      </c>
      <c r="G23" s="348">
        <v>15700</v>
      </c>
      <c r="H23" t="str">
        <f t="shared" si="1"/>
        <v>OK</v>
      </c>
      <c r="J23" s="462" t="s">
        <v>380</v>
      </c>
      <c r="K23" s="463" t="s">
        <v>379</v>
      </c>
      <c r="L23" s="463" t="s">
        <v>374</v>
      </c>
      <c r="M23" s="464">
        <v>2</v>
      </c>
      <c r="N23" s="465" t="s">
        <v>526</v>
      </c>
      <c r="O23" s="463" t="s">
        <v>525</v>
      </c>
      <c r="P23" s="468"/>
      <c r="Q23" s="348">
        <v>0</v>
      </c>
      <c r="R23" s="348">
        <v>608</v>
      </c>
      <c r="S23" s="348"/>
    </row>
    <row r="24" spans="1:19" x14ac:dyDescent="0.25">
      <c r="A24" s="447">
        <v>46262</v>
      </c>
      <c r="B24" s="348">
        <v>10800</v>
      </c>
      <c r="C24" s="348">
        <v>12149</v>
      </c>
      <c r="D24" t="str">
        <f t="shared" si="0"/>
        <v>OK</v>
      </c>
      <c r="E24" s="447">
        <v>46276</v>
      </c>
      <c r="F24" s="348">
        <v>15700</v>
      </c>
      <c r="G24" s="348">
        <v>16914</v>
      </c>
      <c r="H24" t="str">
        <f t="shared" si="1"/>
        <v>OK</v>
      </c>
      <c r="J24" s="462" t="s">
        <v>380</v>
      </c>
      <c r="K24" s="463" t="s">
        <v>379</v>
      </c>
      <c r="L24" s="463" t="s">
        <v>375</v>
      </c>
      <c r="M24" s="464">
        <v>1</v>
      </c>
      <c r="N24" s="465" t="s">
        <v>526</v>
      </c>
      <c r="O24" s="467"/>
      <c r="P24" s="468"/>
      <c r="Q24" s="348">
        <v>0</v>
      </c>
      <c r="R24" s="348"/>
      <c r="S24" s="348"/>
    </row>
    <row r="25" spans="1:19" x14ac:dyDescent="0.25">
      <c r="A25" s="447">
        <v>46266</v>
      </c>
      <c r="B25" s="348">
        <v>12149</v>
      </c>
      <c r="C25" s="348">
        <v>16914</v>
      </c>
      <c r="D25" t="str">
        <f t="shared" si="0"/>
        <v>OK</v>
      </c>
      <c r="E25" s="447">
        <v>46277</v>
      </c>
      <c r="F25" s="348">
        <v>16914</v>
      </c>
      <c r="G25" s="348">
        <v>18260</v>
      </c>
      <c r="H25" t="str">
        <f t="shared" si="1"/>
        <v>OK</v>
      </c>
      <c r="J25" s="462" t="s">
        <v>380</v>
      </c>
      <c r="K25" s="463" t="s">
        <v>379</v>
      </c>
      <c r="L25" s="463" t="s">
        <v>376</v>
      </c>
      <c r="M25" s="464">
        <v>1</v>
      </c>
      <c r="N25" s="465" t="s">
        <v>526</v>
      </c>
      <c r="O25" s="467"/>
      <c r="P25" s="468"/>
      <c r="Q25" s="348">
        <v>0</v>
      </c>
      <c r="R25" s="348"/>
      <c r="S25" s="348"/>
    </row>
    <row r="26" spans="1:19" x14ac:dyDescent="0.25">
      <c r="A26" s="447">
        <v>46275</v>
      </c>
      <c r="B26" s="348">
        <v>16914</v>
      </c>
      <c r="C26" s="348">
        <v>18260</v>
      </c>
      <c r="D26" t="str">
        <f t="shared" si="0"/>
        <v>OK</v>
      </c>
      <c r="E26" s="447">
        <v>46296</v>
      </c>
      <c r="F26" s="348">
        <v>18260</v>
      </c>
      <c r="G26" s="348">
        <v>19823</v>
      </c>
      <c r="H26" t="str">
        <f t="shared" si="1"/>
        <v>OK</v>
      </c>
      <c r="J26" s="462" t="s">
        <v>380</v>
      </c>
      <c r="K26" s="463" t="s">
        <v>379</v>
      </c>
      <c r="L26" s="463" t="s">
        <v>377</v>
      </c>
      <c r="M26" s="464">
        <v>2</v>
      </c>
      <c r="N26" s="465" t="s">
        <v>526</v>
      </c>
      <c r="O26" s="463" t="s">
        <v>525</v>
      </c>
      <c r="P26" s="468"/>
      <c r="Q26" s="348">
        <v>0</v>
      </c>
      <c r="R26" s="348">
        <v>623</v>
      </c>
      <c r="S26" s="348"/>
    </row>
    <row r="27" spans="1:19" ht="15.75" thickBot="1" x14ac:dyDescent="0.3">
      <c r="A27" s="447">
        <v>46280</v>
      </c>
      <c r="B27" s="348">
        <v>18260</v>
      </c>
      <c r="C27" s="348">
        <v>22600</v>
      </c>
      <c r="D27" t="str">
        <f t="shared" si="0"/>
        <v>OK</v>
      </c>
      <c r="E27" s="447">
        <v>46297</v>
      </c>
      <c r="F27" s="348">
        <v>19823</v>
      </c>
      <c r="G27" s="348">
        <v>22225</v>
      </c>
      <c r="H27" t="str">
        <f t="shared" si="1"/>
        <v>OK</v>
      </c>
      <c r="J27" s="462" t="s">
        <v>380</v>
      </c>
      <c r="K27" s="463" t="s">
        <v>379</v>
      </c>
      <c r="L27" s="463" t="s">
        <v>378</v>
      </c>
      <c r="M27" s="464">
        <v>1</v>
      </c>
      <c r="N27" s="486" t="s">
        <v>526</v>
      </c>
      <c r="O27" s="487"/>
      <c r="P27" s="488"/>
      <c r="Q27" s="348">
        <v>0</v>
      </c>
      <c r="R27" s="348"/>
      <c r="S27" s="348"/>
    </row>
    <row r="28" spans="1:19" x14ac:dyDescent="0.25">
      <c r="A28" s="447">
        <v>46293</v>
      </c>
      <c r="B28" s="348">
        <v>22600</v>
      </c>
      <c r="C28" s="348">
        <v>25600</v>
      </c>
      <c r="D28" t="str">
        <f t="shared" si="0"/>
        <v>OK</v>
      </c>
      <c r="E28" s="447">
        <v>46300</v>
      </c>
      <c r="F28" s="348">
        <v>22225</v>
      </c>
      <c r="G28" s="348">
        <v>23139</v>
      </c>
      <c r="H28" t="str">
        <f t="shared" si="1"/>
        <v>OK</v>
      </c>
      <c r="M28" s="423">
        <f>SUM(M12:M27)</f>
        <v>20</v>
      </c>
    </row>
    <row r="29" spans="1:19" x14ac:dyDescent="0.25">
      <c r="A29" s="447">
        <v>46294</v>
      </c>
      <c r="B29" s="348">
        <v>25600</v>
      </c>
      <c r="C29" s="348">
        <v>30250</v>
      </c>
      <c r="D29" t="str">
        <f t="shared" si="0"/>
        <v>OK</v>
      </c>
      <c r="E29" s="447">
        <v>46309</v>
      </c>
      <c r="F29" s="348">
        <v>23139</v>
      </c>
      <c r="G29" s="348">
        <v>23379</v>
      </c>
      <c r="H29" t="str">
        <f t="shared" si="1"/>
        <v>OK</v>
      </c>
      <c r="J29" s="26"/>
      <c r="K29" s="26"/>
      <c r="M29"/>
    </row>
    <row r="30" spans="1:19" x14ac:dyDescent="0.25">
      <c r="A30" s="447">
        <v>46295</v>
      </c>
      <c r="B30" s="348">
        <v>30250</v>
      </c>
      <c r="C30" s="348">
        <v>32219</v>
      </c>
      <c r="D30" t="str">
        <f>+IF(C29=B30,"OK","rev salto de "&amp;TEXT(B30-C29,"0+000"))</f>
        <v>OK</v>
      </c>
      <c r="E30" s="447">
        <v>46312</v>
      </c>
      <c r="F30" s="348">
        <v>23379</v>
      </c>
      <c r="G30" s="348">
        <v>24265</v>
      </c>
      <c r="H30" t="str">
        <f t="shared" si="1"/>
        <v>OK</v>
      </c>
      <c r="J30" s="26"/>
      <c r="K30" s="26"/>
      <c r="M30"/>
    </row>
    <row r="31" spans="1:19" x14ac:dyDescent="0.25">
      <c r="A31" s="447">
        <v>46319</v>
      </c>
      <c r="B31" s="348">
        <v>32219</v>
      </c>
      <c r="C31" s="348">
        <v>33719</v>
      </c>
      <c r="D31" t="str">
        <f t="shared" ref="D31:D33" si="2">+IF(C30=B31,"OK","rev salto de "&amp;TEXT(B31-C30,"0+000"))</f>
        <v>OK</v>
      </c>
      <c r="E31" s="447">
        <v>46309</v>
      </c>
      <c r="F31" s="348">
        <v>24265</v>
      </c>
      <c r="G31" s="348">
        <v>25250</v>
      </c>
      <c r="H31" t="str">
        <f t="shared" si="1"/>
        <v>OK</v>
      </c>
      <c r="J31" s="447"/>
      <c r="K31" s="348"/>
      <c r="L31" s="348"/>
      <c r="M31"/>
    </row>
    <row r="32" spans="1:19" x14ac:dyDescent="0.25">
      <c r="A32" s="447">
        <v>46321</v>
      </c>
      <c r="B32" s="348">
        <v>33719</v>
      </c>
      <c r="C32" s="348">
        <v>36000</v>
      </c>
      <c r="D32" t="str">
        <f t="shared" si="2"/>
        <v>OK</v>
      </c>
      <c r="E32" s="447">
        <v>46310</v>
      </c>
      <c r="F32" s="348">
        <v>25250</v>
      </c>
      <c r="G32" s="348">
        <v>27936</v>
      </c>
      <c r="H32" t="str">
        <f t="shared" si="1"/>
        <v>OK</v>
      </c>
      <c r="J32" s="447"/>
      <c r="K32" s="348"/>
      <c r="L32" s="348"/>
      <c r="M32"/>
    </row>
    <row r="33" spans="1:13" x14ac:dyDescent="0.25">
      <c r="A33" s="447">
        <v>46323</v>
      </c>
      <c r="B33" s="348">
        <v>36000</v>
      </c>
      <c r="C33" s="348">
        <v>37000</v>
      </c>
      <c r="D33" t="str">
        <f t="shared" si="2"/>
        <v>OK</v>
      </c>
      <c r="E33" s="447">
        <v>46311</v>
      </c>
      <c r="F33" s="348">
        <v>27936</v>
      </c>
      <c r="G33" s="348">
        <v>30728</v>
      </c>
      <c r="H33" t="str">
        <f t="shared" si="1"/>
        <v>OK</v>
      </c>
      <c r="J33" s="447"/>
      <c r="K33" s="348"/>
      <c r="L33" s="348"/>
      <c r="M33"/>
    </row>
    <row r="34" spans="1:13" x14ac:dyDescent="0.25">
      <c r="A34" s="447"/>
      <c r="B34" s="348"/>
      <c r="C34" s="348"/>
      <c r="E34" s="447">
        <v>46312</v>
      </c>
      <c r="F34" s="348">
        <v>30728</v>
      </c>
      <c r="G34" s="348">
        <v>31253</v>
      </c>
      <c r="H34" t="str">
        <f t="shared" si="1"/>
        <v>OK</v>
      </c>
      <c r="J34" s="447"/>
      <c r="K34" s="348"/>
      <c r="L34" s="348"/>
      <c r="M34"/>
    </row>
    <row r="35" spans="1:13" x14ac:dyDescent="0.25">
      <c r="A35" s="447"/>
      <c r="B35" s="348"/>
      <c r="C35" s="348"/>
      <c r="E35" s="447">
        <v>46322</v>
      </c>
      <c r="F35" s="348">
        <v>31253</v>
      </c>
      <c r="G35" s="348">
        <v>33265</v>
      </c>
      <c r="H35" t="str">
        <f t="shared" si="1"/>
        <v>OK</v>
      </c>
      <c r="J35" s="447"/>
      <c r="K35" s="348"/>
      <c r="L35" s="348"/>
      <c r="M35"/>
    </row>
    <row r="36" spans="1:13" x14ac:dyDescent="0.25">
      <c r="A36" s="447"/>
      <c r="B36" s="348"/>
      <c r="C36" s="348"/>
      <c r="E36" s="447"/>
      <c r="F36" s="348"/>
      <c r="G36" s="348"/>
      <c r="J36" s="447"/>
      <c r="K36" s="348"/>
      <c r="L36" s="348"/>
      <c r="M36"/>
    </row>
    <row r="37" spans="1:13" x14ac:dyDescent="0.25">
      <c r="A37" s="447"/>
      <c r="B37" s="348"/>
      <c r="C37" s="348"/>
      <c r="E37" s="447"/>
      <c r="F37" s="348"/>
      <c r="G37" s="348"/>
      <c r="J37" s="447"/>
      <c r="K37" s="348"/>
      <c r="L37" s="348"/>
      <c r="M37"/>
    </row>
    <row r="38" spans="1:13" x14ac:dyDescent="0.25">
      <c r="A38" s="447"/>
      <c r="B38" s="348"/>
      <c r="C38" s="348"/>
      <c r="E38" s="447"/>
      <c r="F38" s="348"/>
      <c r="G38" s="348"/>
      <c r="J38" s="447"/>
      <c r="K38" s="348"/>
      <c r="L38" s="348"/>
      <c r="M38"/>
    </row>
    <row r="39" spans="1:13" x14ac:dyDescent="0.25">
      <c r="A39" s="447"/>
      <c r="B39" s="348"/>
      <c r="C39" s="348"/>
      <c r="E39" s="447"/>
      <c r="F39" s="348"/>
      <c r="G39" s="348"/>
      <c r="J39" s="447"/>
      <c r="K39" s="348"/>
      <c r="L39" s="348"/>
      <c r="M39"/>
    </row>
    <row r="40" spans="1:13" x14ac:dyDescent="0.25">
      <c r="A40" s="447"/>
      <c r="B40" s="348"/>
      <c r="C40" s="348"/>
      <c r="E40" s="447"/>
      <c r="F40" s="348"/>
      <c r="G40" s="348"/>
      <c r="J40" s="447"/>
      <c r="K40" s="348"/>
      <c r="L40" s="348"/>
      <c r="M40"/>
    </row>
    <row r="41" spans="1:13" x14ac:dyDescent="0.25">
      <c r="A41" s="447"/>
      <c r="B41" s="348"/>
      <c r="C41" s="348"/>
      <c r="E41" s="447"/>
      <c r="F41" s="348"/>
      <c r="G41" s="348"/>
      <c r="J41" s="447"/>
      <c r="K41" s="348"/>
      <c r="L41" s="348"/>
      <c r="M41"/>
    </row>
    <row r="42" spans="1:13" x14ac:dyDescent="0.25">
      <c r="A42" s="447"/>
      <c r="B42" s="348"/>
      <c r="C42" s="348"/>
      <c r="E42" s="447"/>
      <c r="F42" s="348"/>
      <c r="G42" s="348"/>
      <c r="J42" s="447"/>
      <c r="K42" s="348"/>
      <c r="L42" s="348"/>
      <c r="M42"/>
    </row>
    <row r="43" spans="1:13" x14ac:dyDescent="0.25">
      <c r="A43" s="447"/>
      <c r="B43" s="348"/>
      <c r="C43" s="348"/>
      <c r="E43" s="447"/>
      <c r="F43" s="348"/>
      <c r="G43" s="348"/>
      <c r="J43" s="447"/>
      <c r="K43" s="348"/>
      <c r="L43" s="348"/>
      <c r="M43"/>
    </row>
    <row r="44" spans="1:13" x14ac:dyDescent="0.25">
      <c r="A44" s="447"/>
      <c r="B44" s="348"/>
      <c r="C44" s="348"/>
      <c r="E44" s="447"/>
      <c r="F44" s="348"/>
      <c r="G44" s="348"/>
      <c r="J44" s="447"/>
      <c r="K44" s="348"/>
      <c r="L44" s="348"/>
      <c r="M44"/>
    </row>
    <row r="45" spans="1:13" x14ac:dyDescent="0.25">
      <c r="A45" s="447"/>
      <c r="B45" s="348"/>
      <c r="C45" s="348"/>
      <c r="E45" s="447"/>
      <c r="F45" s="348"/>
      <c r="G45" s="348"/>
      <c r="J45" s="447"/>
      <c r="K45" s="348"/>
      <c r="L45" s="348"/>
      <c r="M45"/>
    </row>
    <row r="46" spans="1:13" x14ac:dyDescent="0.25">
      <c r="A46" s="447"/>
      <c r="B46" s="348"/>
      <c r="C46" s="348"/>
      <c r="E46" s="447"/>
      <c r="F46" s="348"/>
      <c r="G46" s="348"/>
      <c r="J46" s="447"/>
      <c r="K46" s="348"/>
      <c r="L46" s="348"/>
      <c r="M46"/>
    </row>
    <row r="47" spans="1:13" x14ac:dyDescent="0.25">
      <c r="A47" s="447"/>
      <c r="B47" s="348"/>
      <c r="C47" s="348"/>
      <c r="E47" s="447"/>
      <c r="F47" s="348"/>
      <c r="G47" s="348"/>
      <c r="J47" s="447"/>
      <c r="K47" s="348"/>
      <c r="L47" s="348"/>
      <c r="M47"/>
    </row>
    <row r="48" spans="1:13" x14ac:dyDescent="0.25">
      <c r="D48" s="447"/>
      <c r="E48" s="447"/>
      <c r="F48" s="348"/>
      <c r="G48" s="348"/>
      <c r="J48" s="447"/>
      <c r="K48" s="348"/>
      <c r="L48" s="348"/>
      <c r="M48"/>
    </row>
    <row r="49" spans="4:6" x14ac:dyDescent="0.25">
      <c r="D49" s="447"/>
      <c r="E49" s="348"/>
      <c r="F49" s="348"/>
    </row>
    <row r="50" spans="4:6" x14ac:dyDescent="0.25">
      <c r="D50" s="447"/>
      <c r="E50" s="348"/>
      <c r="F50" s="348"/>
    </row>
    <row r="51" spans="4:6" x14ac:dyDescent="0.25">
      <c r="D51" s="447"/>
      <c r="E51" s="348"/>
      <c r="F51" s="348"/>
    </row>
    <row r="52" spans="4:6" x14ac:dyDescent="0.25">
      <c r="D52" s="447"/>
      <c r="E52" s="348"/>
      <c r="F52" s="348"/>
    </row>
    <row r="53" spans="4:6" x14ac:dyDescent="0.25">
      <c r="D53" s="447"/>
      <c r="E53" s="348"/>
      <c r="F53" s="348"/>
    </row>
    <row r="54" spans="4:6" x14ac:dyDescent="0.25">
      <c r="D54" s="447"/>
      <c r="E54" s="348"/>
      <c r="F54" s="348"/>
    </row>
    <row r="55" spans="4:6" x14ac:dyDescent="0.25">
      <c r="D55" s="447"/>
      <c r="E55" s="348"/>
      <c r="F55" s="348"/>
    </row>
    <row r="56" spans="4:6" x14ac:dyDescent="0.25">
      <c r="D56" s="447"/>
      <c r="E56" s="348"/>
      <c r="F56" s="348"/>
    </row>
    <row r="57" spans="4:6" x14ac:dyDescent="0.25">
      <c r="D57" s="447"/>
      <c r="E57" s="348"/>
      <c r="F57" s="348"/>
    </row>
    <row r="58" spans="4:6" x14ac:dyDescent="0.25">
      <c r="D58" s="447"/>
      <c r="E58" s="348"/>
      <c r="F58" s="348"/>
    </row>
    <row r="59" spans="4:6" x14ac:dyDescent="0.25">
      <c r="D59" s="447"/>
      <c r="E59" s="348"/>
      <c r="F59" s="348"/>
    </row>
    <row r="60" spans="4:6" x14ac:dyDescent="0.25">
      <c r="D60" s="447"/>
      <c r="E60" s="348"/>
      <c r="F60" s="348"/>
    </row>
    <row r="61" spans="4:6" x14ac:dyDescent="0.25">
      <c r="D61" s="447"/>
      <c r="E61" s="348"/>
      <c r="F61" s="348"/>
    </row>
    <row r="62" spans="4:6" x14ac:dyDescent="0.25">
      <c r="D62" s="447"/>
      <c r="E62" s="348"/>
      <c r="F62" s="348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3" ht="26.25" x14ac:dyDescent="0.25">
      <c r="A2" s="34" t="s">
        <v>379</v>
      </c>
      <c r="B2" s="561" t="s">
        <v>367</v>
      </c>
      <c r="C2" s="110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39">
        <f>IFERROR(SUMIFS(Tabla1[Avance_Med],Tabla1[Ducto],$B2,Tabla1[nombre_actividad],G$1),0)</f>
        <v>1</v>
      </c>
      <c r="L2" s="171" t="s">
        <v>367</v>
      </c>
      <c r="M2" s="33">
        <v>1</v>
      </c>
    </row>
    <row r="3" spans="1:13" ht="26.25" x14ac:dyDescent="0.25">
      <c r="A3" s="34" t="s">
        <v>379</v>
      </c>
      <c r="B3" s="561" t="s">
        <v>368</v>
      </c>
      <c r="C3" s="110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39">
        <f>IFERROR(SUMIFS(Tabla1[Avance_Med],Tabla1[Ducto],$B3,Tabla1[nombre_actividad],G$1),0)</f>
        <v>1</v>
      </c>
      <c r="L3" s="171" t="s">
        <v>368</v>
      </c>
      <c r="M3" s="33">
        <v>1</v>
      </c>
    </row>
    <row r="4" spans="1:13" ht="26.25" x14ac:dyDescent="0.25">
      <c r="A4" s="34" t="s">
        <v>379</v>
      </c>
      <c r="B4" s="561" t="s">
        <v>369</v>
      </c>
      <c r="C4" s="110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39">
        <f>IFERROR(SUMIFS(Tabla1[Avance_Med],Tabla1[Ducto],$B4,Tabla1[nombre_actividad],G$1),0)</f>
        <v>1</v>
      </c>
      <c r="L4" s="171" t="s">
        <v>369</v>
      </c>
      <c r="M4" s="33">
        <v>1</v>
      </c>
    </row>
    <row r="5" spans="1:13" ht="26.25" x14ac:dyDescent="0.25">
      <c r="A5" s="34" t="s">
        <v>379</v>
      </c>
      <c r="B5" s="561" t="s">
        <v>370</v>
      </c>
      <c r="C5" s="110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39">
        <f>IFERROR(SUMIFS(Tabla1[Avance_Med],Tabla1[Ducto],$B5,Tabla1[nombre_actividad],G$1),0)</f>
        <v>1</v>
      </c>
      <c r="L5" s="171" t="s">
        <v>370</v>
      </c>
      <c r="M5" s="33">
        <v>1</v>
      </c>
    </row>
    <row r="6" spans="1:13" ht="26.25" x14ac:dyDescent="0.25">
      <c r="A6" s="34" t="s">
        <v>379</v>
      </c>
      <c r="B6" s="561" t="s">
        <v>371</v>
      </c>
      <c r="C6" s="110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39">
        <f>IFERROR(SUMIFS(Tabla1[Avance_Med],Tabla1[Ducto],$B6,Tabla1[nombre_actividad],G$1),0)</f>
        <v>1</v>
      </c>
      <c r="L6" s="171" t="s">
        <v>371</v>
      </c>
      <c r="M6" s="33">
        <v>1</v>
      </c>
    </row>
    <row r="7" spans="1:13" ht="26.25" x14ac:dyDescent="0.25">
      <c r="A7" s="34" t="s">
        <v>379</v>
      </c>
      <c r="B7" s="561" t="s">
        <v>372</v>
      </c>
      <c r="C7" s="110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39">
        <f>IFERROR(SUMIFS(Tabla1[Avance_Med],Tabla1[Ducto],$B7,Tabla1[nombre_actividad],G$1),0)</f>
        <v>1</v>
      </c>
      <c r="L7" s="171" t="s">
        <v>372</v>
      </c>
      <c r="M7" s="33">
        <v>1</v>
      </c>
    </row>
    <row r="8" spans="1:13" ht="26.25" x14ac:dyDescent="0.25">
      <c r="A8" s="34" t="s">
        <v>379</v>
      </c>
      <c r="B8" s="561" t="s">
        <v>373</v>
      </c>
      <c r="C8" s="110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39">
        <f>IFERROR(SUMIFS(Tabla1[Avance_Med],Tabla1[Ducto],$B8,Tabla1[nombre_actividad],G$1),0)</f>
        <v>1</v>
      </c>
      <c r="L8" s="171" t="s">
        <v>373</v>
      </c>
      <c r="M8" s="33">
        <v>1</v>
      </c>
    </row>
    <row r="9" spans="1:13" ht="26.25" x14ac:dyDescent="0.25">
      <c r="A9" s="34" t="s">
        <v>379</v>
      </c>
      <c r="B9" s="561" t="s">
        <v>374</v>
      </c>
      <c r="C9" s="110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39">
        <f>IFERROR(SUMIFS(Tabla1[Avance_Med],Tabla1[Ducto],$B9,Tabla1[nombre_actividad],G$1),0)</f>
        <v>2</v>
      </c>
      <c r="L9" s="171" t="s">
        <v>374</v>
      </c>
      <c r="M9" s="33">
        <v>2</v>
      </c>
    </row>
    <row r="10" spans="1:13" ht="26.25" x14ac:dyDescent="0.25">
      <c r="A10" s="34" t="s">
        <v>379</v>
      </c>
      <c r="B10" s="561" t="s">
        <v>375</v>
      </c>
      <c r="C10" s="110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39">
        <f>IFERROR(SUMIFS(Tabla1[Avance_Med],Tabla1[Ducto],$B10,Tabla1[nombre_actividad],G$1),0)</f>
        <v>1</v>
      </c>
      <c r="L10" s="171" t="s">
        <v>375</v>
      </c>
      <c r="M10" s="33">
        <v>1</v>
      </c>
    </row>
    <row r="11" spans="1:13" ht="26.25" x14ac:dyDescent="0.25">
      <c r="A11" s="34" t="s">
        <v>379</v>
      </c>
      <c r="B11" s="561" t="s">
        <v>376</v>
      </c>
      <c r="C11" s="110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39">
        <f>IFERROR(SUMIFS(Tabla1[Avance_Med],Tabla1[Ducto],$B11,Tabla1[nombre_actividad],G$1),0)</f>
        <v>1</v>
      </c>
      <c r="L11" s="171" t="s">
        <v>376</v>
      </c>
      <c r="M11" s="33">
        <v>1</v>
      </c>
    </row>
    <row r="12" spans="1:13" ht="26.25" x14ac:dyDescent="0.25">
      <c r="A12" s="34" t="s">
        <v>379</v>
      </c>
      <c r="B12" s="561" t="s">
        <v>377</v>
      </c>
      <c r="C12" s="110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39">
        <f>IFERROR(SUMIFS(Tabla1[Avance_Med],Tabla1[Ducto],$B12,Tabla1[nombre_actividad],G$1),0)</f>
        <v>2</v>
      </c>
      <c r="L12" s="171" t="s">
        <v>377</v>
      </c>
      <c r="M12" s="33">
        <v>2</v>
      </c>
    </row>
    <row r="13" spans="1:13" ht="26.25" x14ac:dyDescent="0.25">
      <c r="A13" s="34" t="s">
        <v>379</v>
      </c>
      <c r="B13" s="561" t="s">
        <v>378</v>
      </c>
      <c r="C13" s="110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39">
        <f>IFERROR(SUMIFS(Tabla1[Avance_Med],Tabla1[Ducto],$B13,Tabla1[nombre_actividad],G$1),0)</f>
        <v>1</v>
      </c>
      <c r="L13" s="171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B2" sqref="B2:C4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265</v>
      </c>
      <c r="B2" s="159" t="s">
        <v>265</v>
      </c>
      <c r="C2" s="110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39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59" t="s">
        <v>333</v>
      </c>
      <c r="C3" s="110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39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59" t="s">
        <v>334</v>
      </c>
      <c r="C4" s="110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39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G17" sqref="G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5" ht="26.25" x14ac:dyDescent="0.25">
      <c r="A2" s="34" t="s">
        <v>266</v>
      </c>
      <c r="B2" s="169" t="s">
        <v>266</v>
      </c>
      <c r="C2" s="110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39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69" t="s">
        <v>336</v>
      </c>
      <c r="C3" s="110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39">
        <f>IFERROR(SUMIFS(Tabla1[Avance_Med],Tabla1[Ducto],$B3,Tabla1[nombre_actividad],G$1),0)</f>
        <v>1</v>
      </c>
    </row>
    <row r="10" spans="1:15" x14ac:dyDescent="0.25">
      <c r="L10" t="s">
        <v>616</v>
      </c>
    </row>
    <row r="11" spans="1:15" x14ac:dyDescent="0.25">
      <c r="L11" s="231"/>
      <c r="M11" s="33" t="s">
        <v>324</v>
      </c>
      <c r="N11" s="33" t="s">
        <v>325</v>
      </c>
      <c r="O11" s="33" t="s">
        <v>80</v>
      </c>
    </row>
    <row r="12" spans="1:15" x14ac:dyDescent="0.25">
      <c r="L12" s="231" t="s">
        <v>380</v>
      </c>
      <c r="M12" s="505"/>
      <c r="N12" s="553"/>
      <c r="O12" s="505"/>
    </row>
    <row r="13" spans="1:15" x14ac:dyDescent="0.25">
      <c r="L13" s="231" t="s">
        <v>272</v>
      </c>
      <c r="M13" s="505">
        <f>+SUM('R (s07)'!C2:C4)</f>
        <v>1.726</v>
      </c>
      <c r="N13" s="505">
        <v>1.726</v>
      </c>
      <c r="O13" s="505">
        <v>1.726</v>
      </c>
    </row>
    <row r="14" spans="1:15" x14ac:dyDescent="0.25">
      <c r="L14" s="231" t="s">
        <v>273</v>
      </c>
      <c r="M14" s="505">
        <f>+SUM(C2:C3)</f>
        <v>4.3119999999999994</v>
      </c>
      <c r="N14" s="505">
        <v>4.3119999999999994</v>
      </c>
      <c r="O14" s="505">
        <v>4.3119999999999994</v>
      </c>
    </row>
    <row r="15" spans="1:15" x14ac:dyDescent="0.25">
      <c r="M15" s="506">
        <f>+SUM(M12:M14)</f>
        <v>6.0379999999999994</v>
      </c>
      <c r="N15" s="506">
        <f>+SUM(N12:N14)</f>
        <v>6.0379999999999994</v>
      </c>
      <c r="O15" s="506">
        <f>+SUM(O12:O14)</f>
        <v>6.0379999999999994</v>
      </c>
    </row>
    <row r="17" spans="12:14" x14ac:dyDescent="0.25">
      <c r="L17" t="s">
        <v>614</v>
      </c>
    </row>
    <row r="18" spans="12:14" x14ac:dyDescent="0.25">
      <c r="L18" t="s">
        <v>615</v>
      </c>
      <c r="N18" s="507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8"/>
  <sheetViews>
    <sheetView showGridLines="0" zoomScale="130" zoomScaleNormal="130" workbookViewId="0">
      <selection activeCell="M3" sqref="M3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47"/>
    <col min="13" max="13" width="13.140625" bestFit="1" customWidth="1"/>
  </cols>
  <sheetData>
    <row r="2" spans="1:20" ht="140.25" customHeight="1" x14ac:dyDescent="0.25">
      <c r="B2" s="517" t="s">
        <v>634</v>
      </c>
      <c r="C2" s="517" t="s">
        <v>635</v>
      </c>
      <c r="D2" s="517" t="s">
        <v>636</v>
      </c>
      <c r="E2" s="517" t="s">
        <v>637</v>
      </c>
      <c r="F2" s="517" t="s">
        <v>132</v>
      </c>
      <c r="G2" s="517" t="s">
        <v>638</v>
      </c>
      <c r="H2" s="517" t="s">
        <v>639</v>
      </c>
      <c r="I2" s="517" t="s">
        <v>640</v>
      </c>
      <c r="J2" s="517" t="s">
        <v>641</v>
      </c>
      <c r="L2" s="516"/>
      <c r="M2" s="517" t="s">
        <v>647</v>
      </c>
      <c r="N2" s="516"/>
      <c r="O2" s="516"/>
      <c r="P2" s="516"/>
      <c r="Q2" s="516"/>
      <c r="R2" s="516"/>
      <c r="S2" s="516"/>
      <c r="T2" s="516"/>
    </row>
    <row r="3" spans="1:20" x14ac:dyDescent="0.25">
      <c r="A3" t="s">
        <v>619</v>
      </c>
      <c r="B3" s="33" t="s">
        <v>643</v>
      </c>
      <c r="C3" s="33" t="s">
        <v>643</v>
      </c>
      <c r="D3" s="33" t="s">
        <v>643</v>
      </c>
      <c r="E3" s="33"/>
      <c r="F3" s="33" t="s">
        <v>643</v>
      </c>
      <c r="G3" s="33"/>
      <c r="H3" s="33"/>
      <c r="I3" s="33" t="s">
        <v>643</v>
      </c>
      <c r="J3" s="33" t="s">
        <v>643</v>
      </c>
      <c r="K3" s="447">
        <v>46280</v>
      </c>
      <c r="M3" s="552">
        <f>COUNTA(A3:A17)/NETWORKDAYS(MIN(K3:K18),MAX(K3:K18))</f>
        <v>0.34090909090909088</v>
      </c>
    </row>
    <row r="4" spans="1:20" x14ac:dyDescent="0.25">
      <c r="A4" t="s">
        <v>620</v>
      </c>
      <c r="B4" s="33" t="s">
        <v>643</v>
      </c>
      <c r="C4" s="33" t="s">
        <v>643</v>
      </c>
      <c r="D4" s="33" t="s">
        <v>643</v>
      </c>
      <c r="E4" s="33"/>
      <c r="F4" s="33" t="s">
        <v>643</v>
      </c>
      <c r="G4" s="33"/>
      <c r="H4" s="33"/>
      <c r="I4" s="33" t="s">
        <v>643</v>
      </c>
      <c r="J4" s="33" t="s">
        <v>643</v>
      </c>
      <c r="K4" s="447">
        <v>46259</v>
      </c>
    </row>
    <row r="5" spans="1:20" x14ac:dyDescent="0.25">
      <c r="A5" t="s">
        <v>621</v>
      </c>
      <c r="B5" s="33" t="s">
        <v>643</v>
      </c>
      <c r="C5" s="33" t="s">
        <v>643</v>
      </c>
      <c r="D5" s="33" t="s">
        <v>643</v>
      </c>
      <c r="E5" s="33"/>
      <c r="F5" s="33" t="s">
        <v>643</v>
      </c>
      <c r="G5" s="33"/>
      <c r="H5" s="33"/>
      <c r="I5" s="33" t="s">
        <v>643</v>
      </c>
      <c r="J5" s="33" t="s">
        <v>643</v>
      </c>
      <c r="K5" s="447">
        <v>46282</v>
      </c>
    </row>
    <row r="6" spans="1:20" x14ac:dyDescent="0.25">
      <c r="A6" t="s">
        <v>622</v>
      </c>
      <c r="B6" s="33" t="s">
        <v>643</v>
      </c>
      <c r="C6" s="33" t="s">
        <v>643</v>
      </c>
      <c r="D6" s="33" t="s">
        <v>643</v>
      </c>
      <c r="E6" s="33"/>
      <c r="F6" s="33" t="s">
        <v>643</v>
      </c>
      <c r="G6" s="33"/>
      <c r="H6" s="33"/>
      <c r="I6" s="33" t="s">
        <v>643</v>
      </c>
      <c r="J6" s="33" t="s">
        <v>643</v>
      </c>
      <c r="K6" s="447">
        <v>46261</v>
      </c>
    </row>
    <row r="7" spans="1:20" x14ac:dyDescent="0.25">
      <c r="A7" t="s">
        <v>623</v>
      </c>
      <c r="B7" s="33" t="s">
        <v>643</v>
      </c>
      <c r="C7" s="33" t="s">
        <v>643</v>
      </c>
      <c r="D7" s="33" t="s">
        <v>643</v>
      </c>
      <c r="E7" s="33"/>
      <c r="F7" s="33"/>
      <c r="G7" s="33"/>
      <c r="H7" s="33"/>
      <c r="I7" s="33" t="s">
        <v>643</v>
      </c>
      <c r="J7" s="33" t="s">
        <v>643</v>
      </c>
      <c r="K7" s="447">
        <v>46296</v>
      </c>
    </row>
    <row r="8" spans="1:20" x14ac:dyDescent="0.25">
      <c r="A8" s="133" t="s">
        <v>624</v>
      </c>
      <c r="B8" s="33"/>
      <c r="C8" s="33"/>
      <c r="D8" s="33"/>
      <c r="E8" s="33"/>
      <c r="F8" s="33"/>
      <c r="G8" s="33"/>
      <c r="H8" s="33"/>
      <c r="I8" s="33"/>
      <c r="J8" s="33"/>
      <c r="K8" s="447">
        <v>46319</v>
      </c>
    </row>
    <row r="9" spans="1:20" x14ac:dyDescent="0.25">
      <c r="A9" t="s">
        <v>625</v>
      </c>
      <c r="B9" s="33" t="s">
        <v>643</v>
      </c>
      <c r="C9" s="33" t="s">
        <v>643</v>
      </c>
      <c r="D9" s="33" t="s">
        <v>643</v>
      </c>
      <c r="E9" s="33"/>
      <c r="F9" s="33" t="s">
        <v>643</v>
      </c>
      <c r="G9" s="33"/>
      <c r="H9" s="33"/>
      <c r="I9" s="33" t="s">
        <v>643</v>
      </c>
      <c r="J9" s="33" t="s">
        <v>643</v>
      </c>
      <c r="K9" s="447">
        <v>46308</v>
      </c>
    </row>
    <row r="10" spans="1:20" x14ac:dyDescent="0.25">
      <c r="A10" t="s">
        <v>626</v>
      </c>
      <c r="B10" s="33" t="s">
        <v>643</v>
      </c>
      <c r="C10" s="33" t="s">
        <v>643</v>
      </c>
      <c r="D10" s="33" t="s">
        <v>643</v>
      </c>
      <c r="E10" s="33"/>
      <c r="F10" s="33" t="s">
        <v>643</v>
      </c>
      <c r="G10" s="33"/>
      <c r="H10" s="33"/>
      <c r="I10" s="33" t="s">
        <v>643</v>
      </c>
      <c r="J10" s="33" t="s">
        <v>643</v>
      </c>
      <c r="K10" s="447">
        <v>46307</v>
      </c>
    </row>
    <row r="11" spans="1:20" x14ac:dyDescent="0.25">
      <c r="A11" t="s">
        <v>633</v>
      </c>
      <c r="B11" s="33" t="s">
        <v>643</v>
      </c>
      <c r="C11" s="33" t="s">
        <v>643</v>
      </c>
      <c r="D11" s="33" t="s">
        <v>643</v>
      </c>
      <c r="E11" s="33"/>
      <c r="F11" s="33" t="s">
        <v>643</v>
      </c>
      <c r="G11" s="33"/>
      <c r="H11" s="33"/>
      <c r="I11" s="33" t="s">
        <v>643</v>
      </c>
      <c r="J11" s="33" t="s">
        <v>643</v>
      </c>
      <c r="K11" s="447">
        <v>46294</v>
      </c>
    </row>
    <row r="12" spans="1:20" x14ac:dyDescent="0.25">
      <c r="A12" t="s">
        <v>627</v>
      </c>
      <c r="B12" s="33" t="s">
        <v>643</v>
      </c>
      <c r="C12" s="33" t="s">
        <v>643</v>
      </c>
      <c r="D12" s="33" t="s">
        <v>643</v>
      </c>
      <c r="E12" s="33"/>
      <c r="F12" s="33" t="s">
        <v>643</v>
      </c>
      <c r="G12" s="33"/>
      <c r="H12" s="33"/>
      <c r="I12" s="33" t="s">
        <v>643</v>
      </c>
      <c r="J12" s="33" t="s">
        <v>643</v>
      </c>
      <c r="K12" s="447">
        <v>46274</v>
      </c>
    </row>
    <row r="13" spans="1:20" x14ac:dyDescent="0.25">
      <c r="A13" t="s">
        <v>628</v>
      </c>
      <c r="B13" s="33" t="s">
        <v>643</v>
      </c>
      <c r="C13" s="33" t="s">
        <v>643</v>
      </c>
      <c r="D13" s="33" t="s">
        <v>643</v>
      </c>
      <c r="E13" s="33"/>
      <c r="F13" s="33" t="s">
        <v>643</v>
      </c>
      <c r="G13" s="33"/>
      <c r="H13" s="33"/>
      <c r="I13" s="33" t="s">
        <v>643</v>
      </c>
      <c r="J13" s="33" t="s">
        <v>643</v>
      </c>
      <c r="K13" s="447">
        <v>46297</v>
      </c>
    </row>
    <row r="14" spans="1:20" x14ac:dyDescent="0.25">
      <c r="A14" t="s">
        <v>629</v>
      </c>
      <c r="B14" s="33" t="s">
        <v>643</v>
      </c>
      <c r="C14" s="33" t="s">
        <v>643</v>
      </c>
      <c r="D14" s="33" t="s">
        <v>643</v>
      </c>
      <c r="E14" s="33"/>
      <c r="F14" s="33" t="s">
        <v>643</v>
      </c>
      <c r="G14" s="33"/>
      <c r="H14" s="33"/>
      <c r="I14" s="33" t="s">
        <v>643</v>
      </c>
      <c r="J14" s="33" t="s">
        <v>643</v>
      </c>
      <c r="K14" s="447">
        <v>46282</v>
      </c>
    </row>
    <row r="15" spans="1:20" x14ac:dyDescent="0.25">
      <c r="A15" t="s">
        <v>630</v>
      </c>
      <c r="B15" s="33" t="s">
        <v>643</v>
      </c>
      <c r="C15" s="33" t="s">
        <v>643</v>
      </c>
      <c r="D15" s="33" t="s">
        <v>643</v>
      </c>
      <c r="E15" s="33" t="s">
        <v>643</v>
      </c>
      <c r="F15" s="33" t="s">
        <v>643</v>
      </c>
      <c r="G15" s="33" t="s">
        <v>643</v>
      </c>
      <c r="H15" s="33" t="s">
        <v>643</v>
      </c>
      <c r="I15" s="33" t="s">
        <v>643</v>
      </c>
      <c r="J15" s="33" t="s">
        <v>643</v>
      </c>
      <c r="K15" s="447">
        <v>46269</v>
      </c>
    </row>
    <row r="16" spans="1:20" x14ac:dyDescent="0.25">
      <c r="A16" t="s">
        <v>631</v>
      </c>
      <c r="B16" s="33" t="s">
        <v>643</v>
      </c>
      <c r="C16" s="33" t="s">
        <v>643</v>
      </c>
      <c r="D16" s="33" t="s">
        <v>643</v>
      </c>
      <c r="E16" s="33"/>
      <c r="F16" s="33" t="s">
        <v>643</v>
      </c>
      <c r="G16" s="33"/>
      <c r="H16" s="33"/>
      <c r="I16" s="33" t="s">
        <v>643</v>
      </c>
      <c r="J16" s="33" t="s">
        <v>643</v>
      </c>
      <c r="K16" s="447">
        <v>46272</v>
      </c>
    </row>
    <row r="17" spans="1:11" x14ac:dyDescent="0.25">
      <c r="A17" t="s">
        <v>632</v>
      </c>
      <c r="B17" s="33" t="s">
        <v>643</v>
      </c>
      <c r="C17" s="33" t="s">
        <v>643</v>
      </c>
      <c r="D17" s="33" t="s">
        <v>643</v>
      </c>
      <c r="E17" s="33" t="s">
        <v>643</v>
      </c>
      <c r="F17" s="33" t="s">
        <v>643</v>
      </c>
      <c r="G17" s="33" t="s">
        <v>643</v>
      </c>
      <c r="H17" s="33" t="s">
        <v>643</v>
      </c>
      <c r="I17" s="33" t="s">
        <v>643</v>
      </c>
      <c r="J17" s="33" t="s">
        <v>643</v>
      </c>
      <c r="K17" s="447">
        <v>46272</v>
      </c>
    </row>
    <row r="18" spans="1:11" x14ac:dyDescent="0.25">
      <c r="A18" t="s">
        <v>653</v>
      </c>
      <c r="B18" s="33" t="s">
        <v>643</v>
      </c>
      <c r="C18" s="33" t="s">
        <v>643</v>
      </c>
      <c r="D18" s="33" t="s">
        <v>643</v>
      </c>
      <c r="E18" s="33"/>
      <c r="F18" s="33" t="s">
        <v>643</v>
      </c>
      <c r="G18" s="33" t="s">
        <v>643</v>
      </c>
      <c r="H18" s="33" t="s">
        <v>643</v>
      </c>
      <c r="I18" s="33"/>
      <c r="J18" s="33"/>
      <c r="K18" s="447">
        <v>46317</v>
      </c>
    </row>
  </sheetData>
  <phoneticPr fontId="25" type="noConversion"/>
  <conditionalFormatting sqref="B3:J18">
    <cfRule type="containsBlanks" dxfId="45" priority="1">
      <formula>LEN(TRIM(B3))=0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N121"/>
  <sheetViews>
    <sheetView showGridLines="0" workbookViewId="0">
      <selection activeCell="D15" sqref="D15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5" bestFit="1" customWidth="1"/>
    <col min="4" max="4" width="44" bestFit="1" customWidth="1"/>
    <col min="5" max="5" width="11.42578125" style="200"/>
    <col min="6" max="6" width="13.140625" bestFit="1" customWidth="1"/>
    <col min="7" max="7" width="12" bestFit="1" customWidth="1"/>
    <col min="11" max="11" width="12.5703125" bestFit="1" customWidth="1"/>
    <col min="14" max="14" width="13.28515625" bestFit="1" customWidth="1"/>
  </cols>
  <sheetData>
    <row r="1" spans="1:14" s="76" customFormat="1" x14ac:dyDescent="0.25">
      <c r="A1" s="563" t="s">
        <v>184</v>
      </c>
      <c r="B1" s="563" t="s">
        <v>185</v>
      </c>
      <c r="C1" s="563" t="s">
        <v>186</v>
      </c>
      <c r="D1" s="563" t="s">
        <v>97</v>
      </c>
      <c r="E1" s="564" t="s">
        <v>11</v>
      </c>
      <c r="F1" s="116"/>
      <c r="G1" s="116"/>
      <c r="H1" s="116"/>
      <c r="I1" s="116"/>
      <c r="J1" s="116"/>
    </row>
    <row r="2" spans="1:14" ht="17.25" thickBot="1" x14ac:dyDescent="0.35">
      <c r="A2" s="83" t="s">
        <v>180</v>
      </c>
      <c r="B2" s="84" t="s">
        <v>187</v>
      </c>
      <c r="C2" s="91">
        <v>1</v>
      </c>
      <c r="D2" s="562" t="s">
        <v>14</v>
      </c>
      <c r="N2" t="s">
        <v>13</v>
      </c>
    </row>
    <row r="3" spans="1:14" ht="17.25" thickBot="1" x14ac:dyDescent="0.35">
      <c r="A3" s="83" t="s">
        <v>180</v>
      </c>
      <c r="B3" s="84" t="s">
        <v>187</v>
      </c>
      <c r="C3" s="92">
        <v>1.01</v>
      </c>
      <c r="D3" s="160" t="s">
        <v>40</v>
      </c>
      <c r="N3" t="s">
        <v>22</v>
      </c>
    </row>
    <row r="4" spans="1:14" ht="17.25" thickBot="1" x14ac:dyDescent="0.35">
      <c r="A4" s="83" t="s">
        <v>180</v>
      </c>
      <c r="B4" s="84" t="s">
        <v>187</v>
      </c>
      <c r="C4" s="92">
        <v>1.02</v>
      </c>
      <c r="D4" s="160" t="s">
        <v>41</v>
      </c>
      <c r="N4" t="s">
        <v>329</v>
      </c>
    </row>
    <row r="5" spans="1:14" ht="17.25" thickBot="1" x14ac:dyDescent="0.35">
      <c r="A5" s="83" t="s">
        <v>180</v>
      </c>
      <c r="B5" s="84" t="s">
        <v>187</v>
      </c>
      <c r="C5" s="92">
        <v>1.03</v>
      </c>
      <c r="D5" s="160" t="s">
        <v>42</v>
      </c>
      <c r="N5" t="s">
        <v>265</v>
      </c>
    </row>
    <row r="6" spans="1:14" ht="17.25" thickBot="1" x14ac:dyDescent="0.35">
      <c r="A6" s="83" t="s">
        <v>180</v>
      </c>
      <c r="B6" s="84" t="s">
        <v>187</v>
      </c>
      <c r="C6" s="92">
        <v>1.04</v>
      </c>
      <c r="D6" s="160" t="s">
        <v>43</v>
      </c>
      <c r="N6" t="s">
        <v>335</v>
      </c>
    </row>
    <row r="7" spans="1:14" ht="17.25" thickBot="1" x14ac:dyDescent="0.35">
      <c r="A7" s="83" t="s">
        <v>180</v>
      </c>
      <c r="B7" s="84" t="s">
        <v>187</v>
      </c>
      <c r="C7" s="92">
        <v>1.05</v>
      </c>
      <c r="D7" s="160" t="s">
        <v>45</v>
      </c>
      <c r="N7" t="s">
        <v>411</v>
      </c>
    </row>
    <row r="8" spans="1:14" ht="17.25" thickBot="1" x14ac:dyDescent="0.35">
      <c r="A8" s="83" t="s">
        <v>180</v>
      </c>
      <c r="B8" s="84" t="s">
        <v>187</v>
      </c>
      <c r="C8" s="92">
        <v>1.06</v>
      </c>
      <c r="D8" s="160" t="s">
        <v>17</v>
      </c>
      <c r="N8" t="s">
        <v>560</v>
      </c>
    </row>
    <row r="9" spans="1:14" ht="17.25" thickBot="1" x14ac:dyDescent="0.35">
      <c r="A9" s="83" t="s">
        <v>180</v>
      </c>
      <c r="B9" s="84" t="s">
        <v>187</v>
      </c>
      <c r="C9" s="92" t="s">
        <v>188</v>
      </c>
      <c r="D9" s="160" t="s">
        <v>18</v>
      </c>
    </row>
    <row r="10" spans="1:14" ht="17.25" thickBot="1" x14ac:dyDescent="0.35">
      <c r="A10" s="83" t="s">
        <v>180</v>
      </c>
      <c r="B10" s="84" t="s">
        <v>187</v>
      </c>
      <c r="C10" s="92" t="s">
        <v>189</v>
      </c>
      <c r="D10" s="160" t="s">
        <v>19</v>
      </c>
    </row>
    <row r="11" spans="1:14" ht="17.25" thickBot="1" x14ac:dyDescent="0.35">
      <c r="A11" s="83" t="s">
        <v>180</v>
      </c>
      <c r="B11" s="84" t="s">
        <v>187</v>
      </c>
      <c r="C11" s="92">
        <v>1.07</v>
      </c>
      <c r="D11" s="160" t="s">
        <v>52</v>
      </c>
    </row>
    <row r="12" spans="1:14" ht="17.25" thickBot="1" x14ac:dyDescent="0.35">
      <c r="A12" s="83" t="s">
        <v>180</v>
      </c>
      <c r="B12" s="84" t="s">
        <v>187</v>
      </c>
      <c r="C12" s="92">
        <v>1.08</v>
      </c>
      <c r="D12" s="160" t="s">
        <v>53</v>
      </c>
    </row>
    <row r="13" spans="1:14" ht="17.25" thickBot="1" x14ac:dyDescent="0.35">
      <c r="A13" s="83" t="s">
        <v>180</v>
      </c>
      <c r="B13" s="84" t="s">
        <v>187</v>
      </c>
      <c r="C13" s="92">
        <v>1.0900000000000001</v>
      </c>
      <c r="D13" s="160" t="s">
        <v>44</v>
      </c>
    </row>
    <row r="14" spans="1:14" ht="17.25" thickBot="1" x14ac:dyDescent="0.35">
      <c r="A14" s="83" t="s">
        <v>180</v>
      </c>
      <c r="B14" s="84" t="s">
        <v>187</v>
      </c>
      <c r="C14" s="92">
        <v>1.1000000000000001</v>
      </c>
      <c r="D14" s="160" t="s">
        <v>67</v>
      </c>
    </row>
    <row r="15" spans="1:14" ht="17.25" thickBot="1" x14ac:dyDescent="0.35">
      <c r="A15" s="83" t="s">
        <v>180</v>
      </c>
      <c r="B15" s="84" t="s">
        <v>187</v>
      </c>
      <c r="C15" s="92">
        <v>1.1100000000000001</v>
      </c>
      <c r="D15" s="160" t="s">
        <v>51</v>
      </c>
    </row>
    <row r="16" spans="1:14" ht="17.25" thickBot="1" x14ac:dyDescent="0.35">
      <c r="A16" s="83" t="s">
        <v>180</v>
      </c>
      <c r="B16" s="84" t="s">
        <v>187</v>
      </c>
      <c r="C16" s="92" t="s">
        <v>190</v>
      </c>
      <c r="D16" s="160" t="s">
        <v>170</v>
      </c>
    </row>
    <row r="17" spans="1:4" ht="17.25" thickBot="1" x14ac:dyDescent="0.35">
      <c r="A17" s="83" t="s">
        <v>180</v>
      </c>
      <c r="B17" s="84" t="s">
        <v>187</v>
      </c>
      <c r="C17" s="92">
        <v>1.1200000000000001</v>
      </c>
      <c r="D17" s="160" t="s">
        <v>57</v>
      </c>
    </row>
    <row r="18" spans="1:4" ht="17.25" thickBot="1" x14ac:dyDescent="0.35">
      <c r="A18" s="83" t="s">
        <v>180</v>
      </c>
      <c r="B18" s="84" t="s">
        <v>187</v>
      </c>
      <c r="C18" s="92">
        <v>1.1299999999999999</v>
      </c>
      <c r="D18" s="160" t="s">
        <v>58</v>
      </c>
    </row>
    <row r="19" spans="1:4" ht="17.25" thickBot="1" x14ac:dyDescent="0.35">
      <c r="A19" s="83" t="s">
        <v>180</v>
      </c>
      <c r="B19" s="84" t="s">
        <v>187</v>
      </c>
      <c r="C19" s="92">
        <v>1.1399999999999999</v>
      </c>
      <c r="D19" s="160" t="s">
        <v>20</v>
      </c>
    </row>
    <row r="20" spans="1:4" ht="17.25" thickBot="1" x14ac:dyDescent="0.35">
      <c r="A20" s="83" t="s">
        <v>180</v>
      </c>
      <c r="B20" s="84" t="s">
        <v>187</v>
      </c>
      <c r="C20" s="92" t="s">
        <v>191</v>
      </c>
      <c r="D20" s="160" t="s">
        <v>47</v>
      </c>
    </row>
    <row r="21" spans="1:4" ht="17.25" thickBot="1" x14ac:dyDescent="0.35">
      <c r="A21" s="83" t="s">
        <v>180</v>
      </c>
      <c r="B21" s="84" t="s">
        <v>187</v>
      </c>
      <c r="C21" s="92" t="s">
        <v>192</v>
      </c>
      <c r="D21" s="160" t="s">
        <v>48</v>
      </c>
    </row>
    <row r="22" spans="1:4" ht="17.25" thickBot="1" x14ac:dyDescent="0.35">
      <c r="A22" s="83" t="s">
        <v>180</v>
      </c>
      <c r="B22" s="84" t="s">
        <v>187</v>
      </c>
      <c r="C22" s="92" t="s">
        <v>193</v>
      </c>
      <c r="D22" s="160" t="s">
        <v>49</v>
      </c>
    </row>
    <row r="23" spans="1:4" ht="17.25" thickBot="1" x14ac:dyDescent="0.35">
      <c r="A23" s="83" t="s">
        <v>180</v>
      </c>
      <c r="B23" s="84" t="s">
        <v>187</v>
      </c>
      <c r="C23" s="92" t="s">
        <v>194</v>
      </c>
      <c r="D23" s="160" t="s">
        <v>172</v>
      </c>
    </row>
    <row r="24" spans="1:4" ht="17.25" thickBot="1" x14ac:dyDescent="0.35">
      <c r="A24" s="83" t="s">
        <v>180</v>
      </c>
      <c r="B24" s="84" t="s">
        <v>187</v>
      </c>
      <c r="C24" s="92">
        <v>1.1499999999999999</v>
      </c>
      <c r="D24" s="160" t="s">
        <v>65</v>
      </c>
    </row>
    <row r="25" spans="1:4" ht="17.25" thickBot="1" x14ac:dyDescent="0.35">
      <c r="A25" s="83" t="s">
        <v>180</v>
      </c>
      <c r="B25" s="84" t="s">
        <v>187</v>
      </c>
      <c r="C25" s="92" t="s">
        <v>195</v>
      </c>
      <c r="D25" s="160" t="s">
        <v>61</v>
      </c>
    </row>
    <row r="26" spans="1:4" ht="17.25" thickBot="1" x14ac:dyDescent="0.35">
      <c r="A26" s="83" t="s">
        <v>180</v>
      </c>
      <c r="B26" s="84" t="s">
        <v>187</v>
      </c>
      <c r="C26" s="92" t="s">
        <v>196</v>
      </c>
      <c r="D26" s="160" t="s">
        <v>62</v>
      </c>
    </row>
    <row r="27" spans="1:4" ht="17.25" thickBot="1" x14ac:dyDescent="0.35">
      <c r="A27" s="83" t="s">
        <v>180</v>
      </c>
      <c r="B27" s="84" t="s">
        <v>187</v>
      </c>
      <c r="C27" s="92" t="s">
        <v>197</v>
      </c>
      <c r="D27" s="160" t="s">
        <v>63</v>
      </c>
    </row>
    <row r="28" spans="1:4" ht="17.25" thickBot="1" x14ac:dyDescent="0.35">
      <c r="A28" s="83" t="s">
        <v>180</v>
      </c>
      <c r="B28" s="84" t="s">
        <v>187</v>
      </c>
      <c r="C28" s="92" t="s">
        <v>198</v>
      </c>
      <c r="D28" s="160" t="s">
        <v>70</v>
      </c>
    </row>
    <row r="29" spans="1:4" ht="17.25" thickBot="1" x14ac:dyDescent="0.35">
      <c r="A29" s="83" t="s">
        <v>180</v>
      </c>
      <c r="B29" s="84" t="s">
        <v>187</v>
      </c>
      <c r="C29" s="92" t="s">
        <v>199</v>
      </c>
      <c r="D29" s="160" t="s">
        <v>50</v>
      </c>
    </row>
    <row r="30" spans="1:4" ht="17.25" thickBot="1" x14ac:dyDescent="0.35">
      <c r="A30" s="83" t="s">
        <v>180</v>
      </c>
      <c r="B30" s="84" t="s">
        <v>187</v>
      </c>
      <c r="C30" s="92" t="s">
        <v>200</v>
      </c>
      <c r="D30" s="160" t="s">
        <v>66</v>
      </c>
    </row>
    <row r="31" spans="1:4" ht="17.25" thickBot="1" x14ac:dyDescent="0.35">
      <c r="A31" s="83" t="s">
        <v>180</v>
      </c>
      <c r="B31" s="84" t="s">
        <v>187</v>
      </c>
      <c r="C31" s="92" t="s">
        <v>201</v>
      </c>
      <c r="D31" s="160" t="s">
        <v>344</v>
      </c>
    </row>
    <row r="32" spans="1:4" ht="17.25" thickBot="1" x14ac:dyDescent="0.35">
      <c r="A32" s="83" t="s">
        <v>180</v>
      </c>
      <c r="B32" s="84" t="s">
        <v>187</v>
      </c>
      <c r="C32" s="92" t="s">
        <v>202</v>
      </c>
      <c r="D32" s="160" t="s">
        <v>68</v>
      </c>
    </row>
    <row r="33" spans="1:4" ht="17.25" thickBot="1" x14ac:dyDescent="0.35">
      <c r="A33" s="83" t="s">
        <v>180</v>
      </c>
      <c r="B33" s="84" t="s">
        <v>187</v>
      </c>
      <c r="C33" s="92" t="s">
        <v>203</v>
      </c>
      <c r="D33" s="160" t="s">
        <v>69</v>
      </c>
    </row>
    <row r="34" spans="1:4" ht="17.25" thickBot="1" x14ac:dyDescent="0.35">
      <c r="A34" s="83" t="s">
        <v>180</v>
      </c>
      <c r="B34" s="84" t="s">
        <v>187</v>
      </c>
      <c r="C34" s="92">
        <v>1.1599999999999999</v>
      </c>
      <c r="D34" s="160" t="s">
        <v>59</v>
      </c>
    </row>
    <row r="35" spans="1:4" ht="17.25" thickBot="1" x14ac:dyDescent="0.35">
      <c r="A35" s="83" t="s">
        <v>180</v>
      </c>
      <c r="B35" s="84" t="s">
        <v>187</v>
      </c>
      <c r="C35" s="92">
        <v>1.17</v>
      </c>
      <c r="D35" s="160" t="s">
        <v>60</v>
      </c>
    </row>
    <row r="36" spans="1:4" ht="17.25" thickBot="1" x14ac:dyDescent="0.35">
      <c r="A36" s="83" t="s">
        <v>180</v>
      </c>
      <c r="B36" s="84" t="s">
        <v>187</v>
      </c>
      <c r="C36" s="92">
        <v>1.18</v>
      </c>
      <c r="D36" s="160" t="s">
        <v>21</v>
      </c>
    </row>
    <row r="37" spans="1:4" ht="17.25" thickBot="1" x14ac:dyDescent="0.35">
      <c r="A37" s="83" t="s">
        <v>180</v>
      </c>
      <c r="B37" s="84" t="s">
        <v>187</v>
      </c>
      <c r="C37" s="92">
        <v>1.19</v>
      </c>
      <c r="D37" s="160" t="s">
        <v>37</v>
      </c>
    </row>
    <row r="38" spans="1:4" ht="17.25" thickBot="1" x14ac:dyDescent="0.35">
      <c r="A38" s="83" t="s">
        <v>180</v>
      </c>
      <c r="B38" s="84" t="s">
        <v>187</v>
      </c>
      <c r="C38" s="92" t="s">
        <v>204</v>
      </c>
      <c r="D38" s="160" t="s">
        <v>71</v>
      </c>
    </row>
    <row r="39" spans="1:4" ht="17.25" thickBot="1" x14ac:dyDescent="0.35">
      <c r="A39" s="83" t="s">
        <v>180</v>
      </c>
      <c r="B39" s="84" t="s">
        <v>187</v>
      </c>
      <c r="C39" s="92" t="s">
        <v>205</v>
      </c>
      <c r="D39" s="160" t="s">
        <v>72</v>
      </c>
    </row>
    <row r="40" spans="1:4" ht="17.25" thickBot="1" x14ac:dyDescent="0.35">
      <c r="A40" s="83" t="s">
        <v>180</v>
      </c>
      <c r="B40" s="84" t="s">
        <v>187</v>
      </c>
      <c r="C40" s="92">
        <v>1.2</v>
      </c>
      <c r="D40" s="160" t="s">
        <v>38</v>
      </c>
    </row>
    <row r="41" spans="1:4" ht="17.25" thickBot="1" x14ac:dyDescent="0.35">
      <c r="A41" s="83" t="s">
        <v>180</v>
      </c>
      <c r="B41" s="84" t="s">
        <v>187</v>
      </c>
      <c r="C41" s="92" t="s">
        <v>206</v>
      </c>
      <c r="D41" s="160" t="s">
        <v>46</v>
      </c>
    </row>
    <row r="42" spans="1:4" ht="17.25" thickBot="1" x14ac:dyDescent="0.35">
      <c r="A42" s="85" t="s">
        <v>181</v>
      </c>
      <c r="B42" s="86" t="s">
        <v>27</v>
      </c>
      <c r="C42" s="93">
        <v>2</v>
      </c>
      <c r="D42" s="87" t="s">
        <v>27</v>
      </c>
    </row>
    <row r="43" spans="1:4" ht="17.25" thickBot="1" x14ac:dyDescent="0.35">
      <c r="A43" s="85" t="s">
        <v>181</v>
      </c>
      <c r="B43" s="86" t="s">
        <v>27</v>
      </c>
      <c r="C43" s="93">
        <v>2.0099999999999998</v>
      </c>
      <c r="D43" s="87" t="s">
        <v>73</v>
      </c>
    </row>
    <row r="44" spans="1:4" ht="17.25" thickBot="1" x14ac:dyDescent="0.35">
      <c r="A44" s="85" t="s">
        <v>181</v>
      </c>
      <c r="B44" s="86" t="s">
        <v>27</v>
      </c>
      <c r="C44" s="93">
        <v>2.02</v>
      </c>
      <c r="D44" s="87" t="s">
        <v>64</v>
      </c>
    </row>
    <row r="45" spans="1:4" ht="17.25" thickBot="1" x14ac:dyDescent="0.35">
      <c r="A45" s="85" t="s">
        <v>181</v>
      </c>
      <c r="B45" s="86" t="s">
        <v>27</v>
      </c>
      <c r="C45" s="93">
        <v>2.0299999999999998</v>
      </c>
      <c r="D45" s="87" t="s">
        <v>55</v>
      </c>
    </row>
    <row r="46" spans="1:4" ht="17.25" thickBot="1" x14ac:dyDescent="0.35">
      <c r="A46" s="85" t="s">
        <v>181</v>
      </c>
      <c r="B46" s="86" t="s">
        <v>27</v>
      </c>
      <c r="C46" s="93">
        <v>2.04</v>
      </c>
      <c r="D46" s="87" t="s">
        <v>54</v>
      </c>
    </row>
    <row r="47" spans="1:4" ht="17.25" thickBot="1" x14ac:dyDescent="0.35">
      <c r="A47" s="85" t="s">
        <v>181</v>
      </c>
      <c r="B47" s="86" t="s">
        <v>27</v>
      </c>
      <c r="C47" s="93">
        <v>2.0499999999999998</v>
      </c>
      <c r="D47" s="87" t="s">
        <v>35</v>
      </c>
    </row>
    <row r="48" spans="1:4" ht="17.25" thickBot="1" x14ac:dyDescent="0.35">
      <c r="A48" s="85" t="s">
        <v>181</v>
      </c>
      <c r="B48" s="86" t="s">
        <v>27</v>
      </c>
      <c r="C48" s="93" t="s">
        <v>207</v>
      </c>
      <c r="D48" s="87" t="s">
        <v>74</v>
      </c>
    </row>
    <row r="49" spans="1:7" ht="17.25" thickBot="1" x14ac:dyDescent="0.35">
      <c r="A49" s="85" t="s">
        <v>181</v>
      </c>
      <c r="B49" s="86" t="s">
        <v>27</v>
      </c>
      <c r="C49" s="93">
        <v>2.06</v>
      </c>
      <c r="D49" s="87" t="s">
        <v>34</v>
      </c>
    </row>
    <row r="50" spans="1:7" ht="17.25" thickBot="1" x14ac:dyDescent="0.35">
      <c r="A50" s="85" t="s">
        <v>181</v>
      </c>
      <c r="B50" s="86" t="s">
        <v>27</v>
      </c>
      <c r="C50" s="93">
        <v>2.0699999999999998</v>
      </c>
      <c r="D50" s="87" t="s">
        <v>56</v>
      </c>
    </row>
    <row r="51" spans="1:7" ht="17.25" thickBot="1" x14ac:dyDescent="0.35">
      <c r="A51" s="85" t="s">
        <v>181</v>
      </c>
      <c r="B51" s="86" t="s">
        <v>27</v>
      </c>
      <c r="C51" s="93">
        <v>2.08</v>
      </c>
      <c r="D51" s="87" t="s">
        <v>32</v>
      </c>
    </row>
    <row r="52" spans="1:7" ht="17.25" thickBot="1" x14ac:dyDescent="0.35">
      <c r="A52" s="85" t="s">
        <v>181</v>
      </c>
      <c r="B52" s="86" t="s">
        <v>27</v>
      </c>
      <c r="C52" s="93">
        <v>2.09</v>
      </c>
      <c r="D52" s="87" t="s">
        <v>33</v>
      </c>
    </row>
    <row r="53" spans="1:7" ht="17.25" thickBot="1" x14ac:dyDescent="0.35">
      <c r="A53" s="85" t="s">
        <v>181</v>
      </c>
      <c r="B53" s="86" t="s">
        <v>27</v>
      </c>
      <c r="C53" s="93">
        <v>2.1</v>
      </c>
      <c r="D53" s="87" t="s">
        <v>26</v>
      </c>
    </row>
    <row r="54" spans="1:7" ht="17.25" thickBot="1" x14ac:dyDescent="0.35">
      <c r="A54" s="85" t="s">
        <v>181</v>
      </c>
      <c r="B54" s="86" t="s">
        <v>27</v>
      </c>
      <c r="C54" s="93">
        <v>2.11</v>
      </c>
      <c r="D54" s="87" t="s">
        <v>23</v>
      </c>
    </row>
    <row r="55" spans="1:7" ht="17.25" thickBot="1" x14ac:dyDescent="0.35">
      <c r="A55" s="85" t="s">
        <v>181</v>
      </c>
      <c r="B55" s="86" t="s">
        <v>27</v>
      </c>
      <c r="C55" s="93" t="s">
        <v>208</v>
      </c>
      <c r="D55" s="87" t="s">
        <v>39</v>
      </c>
    </row>
    <row r="56" spans="1:7" ht="17.25" thickBot="1" x14ac:dyDescent="0.35">
      <c r="A56" s="85" t="s">
        <v>181</v>
      </c>
      <c r="B56" s="86" t="s">
        <v>27</v>
      </c>
      <c r="C56" s="93" t="s">
        <v>209</v>
      </c>
      <c r="D56" s="87" t="s">
        <v>24</v>
      </c>
      <c r="G56" s="360" t="s">
        <v>461</v>
      </c>
    </row>
    <row r="57" spans="1:7" ht="17.25" thickBot="1" x14ac:dyDescent="0.35">
      <c r="A57" s="85" t="s">
        <v>181</v>
      </c>
      <c r="B57" s="86" t="s">
        <v>27</v>
      </c>
      <c r="C57" s="93" t="s">
        <v>210</v>
      </c>
      <c r="D57" s="87" t="s">
        <v>25</v>
      </c>
      <c r="G57" s="361">
        <v>46152</v>
      </c>
    </row>
    <row r="58" spans="1:7" ht="17.25" thickBot="1" x14ac:dyDescent="0.35">
      <c r="A58" s="88" t="s">
        <v>211</v>
      </c>
      <c r="B58" s="89" t="s">
        <v>212</v>
      </c>
      <c r="C58" s="94">
        <v>3</v>
      </c>
      <c r="D58" s="90" t="s">
        <v>212</v>
      </c>
      <c r="E58" s="200">
        <v>24358</v>
      </c>
      <c r="G58" s="360" t="s">
        <v>455</v>
      </c>
    </row>
    <row r="59" spans="1:7" ht="17.25" thickBot="1" x14ac:dyDescent="0.35">
      <c r="A59" s="88" t="s">
        <v>211</v>
      </c>
      <c r="B59" s="89" t="s">
        <v>212</v>
      </c>
      <c r="C59" s="94">
        <v>3.01</v>
      </c>
      <c r="D59" s="90" t="s">
        <v>213</v>
      </c>
      <c r="E59" s="200">
        <v>26</v>
      </c>
      <c r="G59" s="362" t="s">
        <v>456</v>
      </c>
    </row>
    <row r="60" spans="1:7" ht="17.25" thickBot="1" x14ac:dyDescent="0.35">
      <c r="A60" s="88" t="s">
        <v>211</v>
      </c>
      <c r="B60" s="89" t="s">
        <v>212</v>
      </c>
      <c r="C60" s="94">
        <v>3.02</v>
      </c>
      <c r="D60" s="90" t="s">
        <v>214</v>
      </c>
      <c r="E60" s="200">
        <v>9</v>
      </c>
      <c r="G60" s="362" t="s">
        <v>457</v>
      </c>
    </row>
    <row r="61" spans="1:7" ht="17.25" thickBot="1" x14ac:dyDescent="0.35">
      <c r="A61" s="88" t="s">
        <v>211</v>
      </c>
      <c r="B61" s="89" t="s">
        <v>212</v>
      </c>
      <c r="C61" s="94">
        <v>3.03</v>
      </c>
      <c r="D61" s="90" t="s">
        <v>215</v>
      </c>
      <c r="E61" s="200">
        <v>1880</v>
      </c>
      <c r="G61" s="362" t="s">
        <v>458</v>
      </c>
    </row>
    <row r="62" spans="1:7" ht="17.25" thickBot="1" x14ac:dyDescent="0.35">
      <c r="A62" s="88" t="s">
        <v>211</v>
      </c>
      <c r="B62" s="89" t="s">
        <v>212</v>
      </c>
      <c r="C62" s="94">
        <v>3.04</v>
      </c>
      <c r="D62" s="90" t="s">
        <v>216</v>
      </c>
      <c r="E62" s="200">
        <v>119.5</v>
      </c>
      <c r="G62" s="362" t="s">
        <v>459</v>
      </c>
    </row>
    <row r="63" spans="1:7" ht="17.25" thickBot="1" x14ac:dyDescent="0.35">
      <c r="A63" s="88" t="s">
        <v>211</v>
      </c>
      <c r="B63" s="89" t="s">
        <v>212</v>
      </c>
      <c r="C63" s="94">
        <v>3.05</v>
      </c>
      <c r="D63" s="90" t="s">
        <v>217</v>
      </c>
      <c r="E63" s="200">
        <v>5872</v>
      </c>
      <c r="G63" s="362" t="s">
        <v>460</v>
      </c>
    </row>
    <row r="64" spans="1:7" ht="17.25" thickBot="1" x14ac:dyDescent="0.35">
      <c r="A64" s="88" t="s">
        <v>211</v>
      </c>
      <c r="B64" s="89" t="s">
        <v>212</v>
      </c>
      <c r="C64" s="94">
        <v>3.06</v>
      </c>
      <c r="D64" s="90" t="s">
        <v>218</v>
      </c>
      <c r="E64" s="200">
        <v>1436</v>
      </c>
    </row>
    <row r="65" spans="1:5" ht="17.25" thickBot="1" x14ac:dyDescent="0.35">
      <c r="A65" s="88" t="s">
        <v>211</v>
      </c>
      <c r="B65" s="89" t="s">
        <v>212</v>
      </c>
      <c r="C65" s="94" t="s">
        <v>347</v>
      </c>
      <c r="D65" s="90" t="s">
        <v>341</v>
      </c>
      <c r="E65" s="383" t="e">
        <v>#N/A</v>
      </c>
    </row>
    <row r="66" spans="1:5" ht="17.25" thickBot="1" x14ac:dyDescent="0.35">
      <c r="A66" s="88" t="s">
        <v>211</v>
      </c>
      <c r="B66" s="89" t="s">
        <v>212</v>
      </c>
      <c r="C66" s="94">
        <v>3.07</v>
      </c>
      <c r="D66" s="90" t="s">
        <v>219</v>
      </c>
      <c r="E66" s="200">
        <v>373</v>
      </c>
    </row>
    <row r="67" spans="1:5" ht="17.25" thickBot="1" x14ac:dyDescent="0.35">
      <c r="A67" s="88" t="s">
        <v>211</v>
      </c>
      <c r="B67" s="89" t="s">
        <v>212</v>
      </c>
      <c r="C67" s="381">
        <v>3.08</v>
      </c>
      <c r="D67" s="382" t="s">
        <v>220</v>
      </c>
      <c r="E67" s="383" t="e">
        <v>#N/A</v>
      </c>
    </row>
    <row r="68" spans="1:5" ht="17.25" thickBot="1" x14ac:dyDescent="0.35">
      <c r="A68" s="88" t="s">
        <v>211</v>
      </c>
      <c r="B68" s="89" t="s">
        <v>212</v>
      </c>
      <c r="C68" s="94">
        <v>3.09</v>
      </c>
      <c r="D68" s="90" t="s">
        <v>221</v>
      </c>
      <c r="E68" s="200">
        <v>11</v>
      </c>
    </row>
    <row r="69" spans="1:5" ht="17.25" thickBot="1" x14ac:dyDescent="0.35">
      <c r="A69" s="88" t="s">
        <v>211</v>
      </c>
      <c r="B69" s="89" t="s">
        <v>212</v>
      </c>
      <c r="C69" s="94">
        <v>3.1</v>
      </c>
      <c r="D69" s="90" t="s">
        <v>222</v>
      </c>
      <c r="E69" s="200">
        <v>14</v>
      </c>
    </row>
    <row r="70" spans="1:5" ht="17.25" thickBot="1" x14ac:dyDescent="0.35">
      <c r="A70" s="88" t="s">
        <v>211</v>
      </c>
      <c r="B70" s="89" t="s">
        <v>212</v>
      </c>
      <c r="C70" s="94">
        <v>3.11</v>
      </c>
      <c r="D70" s="90" t="s">
        <v>223</v>
      </c>
      <c r="E70" s="200">
        <v>20</v>
      </c>
    </row>
    <row r="71" spans="1:5" ht="17.25" thickBot="1" x14ac:dyDescent="0.35">
      <c r="A71" s="88" t="s">
        <v>211</v>
      </c>
      <c r="B71" s="89" t="s">
        <v>212</v>
      </c>
      <c r="C71" s="94">
        <v>3.12</v>
      </c>
      <c r="D71" s="90" t="s">
        <v>224</v>
      </c>
      <c r="E71" s="200">
        <v>6</v>
      </c>
    </row>
    <row r="72" spans="1:5" ht="17.25" thickBot="1" x14ac:dyDescent="0.35">
      <c r="A72" s="88" t="s">
        <v>211</v>
      </c>
      <c r="B72" s="89" t="s">
        <v>212</v>
      </c>
      <c r="C72" s="94">
        <v>3.13</v>
      </c>
      <c r="D72" s="90" t="s">
        <v>225</v>
      </c>
      <c r="E72" s="200">
        <v>5788</v>
      </c>
    </row>
    <row r="73" spans="1:5" ht="17.25" thickBot="1" x14ac:dyDescent="0.35">
      <c r="A73" s="88" t="s">
        <v>211</v>
      </c>
      <c r="B73" s="89" t="s">
        <v>212</v>
      </c>
      <c r="C73" s="94" t="s">
        <v>226</v>
      </c>
      <c r="D73" s="90" t="s">
        <v>227</v>
      </c>
      <c r="E73" s="200">
        <v>18</v>
      </c>
    </row>
    <row r="74" spans="1:5" ht="17.25" thickBot="1" x14ac:dyDescent="0.35">
      <c r="A74" s="88" t="s">
        <v>211</v>
      </c>
      <c r="B74" s="89" t="s">
        <v>212</v>
      </c>
      <c r="C74" s="381" t="s">
        <v>228</v>
      </c>
      <c r="D74" s="382" t="s">
        <v>229</v>
      </c>
      <c r="E74" s="383" t="e">
        <v>#N/A</v>
      </c>
    </row>
    <row r="75" spans="1:5" ht="17.25" thickBot="1" x14ac:dyDescent="0.35">
      <c r="A75" s="88" t="s">
        <v>211</v>
      </c>
      <c r="B75" s="89" t="s">
        <v>212</v>
      </c>
      <c r="C75" s="94" t="s">
        <v>230</v>
      </c>
      <c r="D75" s="90" t="s">
        <v>231</v>
      </c>
      <c r="E75" s="200">
        <v>7</v>
      </c>
    </row>
    <row r="76" spans="1:5" ht="17.25" thickBot="1" x14ac:dyDescent="0.35">
      <c r="A76" s="88" t="s">
        <v>211</v>
      </c>
      <c r="B76" s="89" t="s">
        <v>212</v>
      </c>
      <c r="C76" s="94" t="s">
        <v>232</v>
      </c>
      <c r="D76" s="90" t="s">
        <v>233</v>
      </c>
      <c r="E76" s="200">
        <v>2</v>
      </c>
    </row>
    <row r="77" spans="1:5" ht="17.25" thickBot="1" x14ac:dyDescent="0.35">
      <c r="A77" s="88" t="s">
        <v>211</v>
      </c>
      <c r="B77" s="89" t="s">
        <v>212</v>
      </c>
      <c r="C77" s="94" t="s">
        <v>234</v>
      </c>
      <c r="D77" s="90" t="s">
        <v>235</v>
      </c>
      <c r="E77" s="383" t="e">
        <v>#N/A</v>
      </c>
    </row>
    <row r="78" spans="1:5" ht="17.25" thickBot="1" x14ac:dyDescent="0.35">
      <c r="A78" s="88" t="s">
        <v>211</v>
      </c>
      <c r="B78" s="89" t="s">
        <v>212</v>
      </c>
      <c r="C78" s="94" t="s">
        <v>236</v>
      </c>
      <c r="D78" s="90" t="s">
        <v>237</v>
      </c>
      <c r="E78" s="200">
        <v>127</v>
      </c>
    </row>
    <row r="79" spans="1:5" ht="17.25" thickBot="1" x14ac:dyDescent="0.35">
      <c r="A79" s="88" t="s">
        <v>211</v>
      </c>
      <c r="B79" s="89" t="s">
        <v>212</v>
      </c>
      <c r="C79" s="94" t="s">
        <v>238</v>
      </c>
      <c r="D79" s="90" t="s">
        <v>239</v>
      </c>
      <c r="E79" s="200">
        <v>487</v>
      </c>
    </row>
    <row r="80" spans="1:5" ht="17.25" thickBot="1" x14ac:dyDescent="0.35">
      <c r="A80" s="88" t="s">
        <v>211</v>
      </c>
      <c r="B80" s="89" t="s">
        <v>212</v>
      </c>
      <c r="C80" s="381">
        <v>3.14</v>
      </c>
      <c r="D80" s="382" t="s">
        <v>240</v>
      </c>
      <c r="E80" s="383" t="e">
        <v>#N/A</v>
      </c>
    </row>
    <row r="81" spans="1:5" ht="17.25" thickBot="1" x14ac:dyDescent="0.35">
      <c r="A81" s="88" t="s">
        <v>211</v>
      </c>
      <c r="B81" s="89" t="s">
        <v>212</v>
      </c>
      <c r="C81" s="94">
        <v>3.15</v>
      </c>
      <c r="D81" s="90" t="s">
        <v>241</v>
      </c>
      <c r="E81" s="200">
        <v>45</v>
      </c>
    </row>
    <row r="82" spans="1:5" ht="17.25" thickBot="1" x14ac:dyDescent="0.35">
      <c r="A82" s="88" t="s">
        <v>211</v>
      </c>
      <c r="B82" s="89" t="s">
        <v>212</v>
      </c>
      <c r="C82" s="94">
        <v>3.16</v>
      </c>
      <c r="D82" s="90" t="s">
        <v>242</v>
      </c>
      <c r="E82" s="200">
        <v>62</v>
      </c>
    </row>
    <row r="83" spans="1:5" ht="17.25" thickBot="1" x14ac:dyDescent="0.35">
      <c r="A83" s="88" t="s">
        <v>211</v>
      </c>
      <c r="B83" s="89" t="s">
        <v>212</v>
      </c>
      <c r="C83" s="94">
        <v>3.17</v>
      </c>
      <c r="D83" s="90" t="s">
        <v>243</v>
      </c>
      <c r="E83" s="200">
        <v>7</v>
      </c>
    </row>
    <row r="84" spans="1:5" ht="17.25" thickBot="1" x14ac:dyDescent="0.35">
      <c r="A84" s="88" t="s">
        <v>211</v>
      </c>
      <c r="B84" s="89" t="s">
        <v>212</v>
      </c>
      <c r="C84" s="94">
        <v>3.18</v>
      </c>
      <c r="D84" s="90" t="s">
        <v>244</v>
      </c>
      <c r="E84" s="200">
        <v>469</v>
      </c>
    </row>
    <row r="85" spans="1:5" ht="17.25" thickBot="1" x14ac:dyDescent="0.35">
      <c r="A85" s="88" t="s">
        <v>211</v>
      </c>
      <c r="B85" s="89" t="s">
        <v>212</v>
      </c>
      <c r="C85" s="94">
        <v>3.19</v>
      </c>
      <c r="D85" s="90" t="s">
        <v>245</v>
      </c>
      <c r="E85" s="200">
        <v>93</v>
      </c>
    </row>
    <row r="86" spans="1:5" ht="17.25" thickBot="1" x14ac:dyDescent="0.35">
      <c r="A86" s="88" t="s">
        <v>211</v>
      </c>
      <c r="B86" s="89" t="s">
        <v>212</v>
      </c>
      <c r="C86" s="380" t="s">
        <v>505</v>
      </c>
      <c r="D86" s="90" t="s">
        <v>246</v>
      </c>
      <c r="E86" s="200">
        <v>6</v>
      </c>
    </row>
    <row r="87" spans="1:5" ht="17.25" thickBot="1" x14ac:dyDescent="0.35">
      <c r="A87" s="88" t="s">
        <v>211</v>
      </c>
      <c r="B87" s="89" t="s">
        <v>212</v>
      </c>
      <c r="C87" s="94">
        <v>3.21</v>
      </c>
      <c r="D87" s="90" t="s">
        <v>247</v>
      </c>
      <c r="E87" s="200">
        <v>7</v>
      </c>
    </row>
    <row r="88" spans="1:5" ht="17.25" thickBot="1" x14ac:dyDescent="0.35">
      <c r="A88" s="88" t="s">
        <v>211</v>
      </c>
      <c r="B88" s="89" t="s">
        <v>212</v>
      </c>
      <c r="C88" s="94">
        <v>3.22</v>
      </c>
      <c r="D88" s="90" t="s">
        <v>248</v>
      </c>
      <c r="E88" s="200">
        <v>8</v>
      </c>
    </row>
    <row r="89" spans="1:5" ht="17.25" thickBot="1" x14ac:dyDescent="0.35">
      <c r="A89" s="88" t="s">
        <v>211</v>
      </c>
      <c r="B89" s="89" t="s">
        <v>212</v>
      </c>
      <c r="C89" s="94">
        <v>3.23</v>
      </c>
      <c r="D89" s="90" t="s">
        <v>249</v>
      </c>
      <c r="E89" s="200">
        <v>12</v>
      </c>
    </row>
    <row r="90" spans="1:5" ht="17.25" thickBot="1" x14ac:dyDescent="0.35">
      <c r="A90" s="88" t="s">
        <v>211</v>
      </c>
      <c r="B90" s="89" t="s">
        <v>212</v>
      </c>
      <c r="C90" s="94">
        <v>3.24</v>
      </c>
      <c r="D90" s="90" t="s">
        <v>250</v>
      </c>
      <c r="E90" s="200">
        <v>850</v>
      </c>
    </row>
    <row r="91" spans="1:5" ht="17.25" thickBot="1" x14ac:dyDescent="0.35">
      <c r="A91" s="88" t="s">
        <v>211</v>
      </c>
      <c r="B91" s="89" t="s">
        <v>212</v>
      </c>
      <c r="C91" s="94">
        <v>3.25</v>
      </c>
      <c r="D91" s="90" t="s">
        <v>251</v>
      </c>
      <c r="E91" s="200">
        <v>314</v>
      </c>
    </row>
    <row r="92" spans="1:5" ht="17.25" thickBot="1" x14ac:dyDescent="0.35">
      <c r="A92" s="88" t="s">
        <v>211</v>
      </c>
      <c r="B92" s="89" t="s">
        <v>212</v>
      </c>
      <c r="C92" s="94">
        <v>3.26</v>
      </c>
      <c r="D92" s="90" t="s">
        <v>252</v>
      </c>
      <c r="E92" s="200">
        <v>12.5</v>
      </c>
    </row>
    <row r="93" spans="1:5" ht="17.25" thickBot="1" x14ac:dyDescent="0.35">
      <c r="A93" s="88" t="s">
        <v>211</v>
      </c>
      <c r="B93" s="89" t="s">
        <v>212</v>
      </c>
      <c r="C93" s="94">
        <v>3.27</v>
      </c>
      <c r="D93" s="90" t="s">
        <v>253</v>
      </c>
      <c r="E93" s="200">
        <v>1324</v>
      </c>
    </row>
    <row r="94" spans="1:5" ht="17.25" thickBot="1" x14ac:dyDescent="0.35">
      <c r="A94" s="88" t="s">
        <v>211</v>
      </c>
      <c r="B94" s="89" t="s">
        <v>212</v>
      </c>
      <c r="C94" s="94">
        <v>3.28</v>
      </c>
      <c r="D94" s="90" t="s">
        <v>254</v>
      </c>
      <c r="E94" s="383" t="e">
        <v>#N/A</v>
      </c>
    </row>
    <row r="95" spans="1:5" ht="17.25" thickBot="1" x14ac:dyDescent="0.35">
      <c r="A95" s="88" t="s">
        <v>211</v>
      </c>
      <c r="B95" s="89" t="s">
        <v>212</v>
      </c>
      <c r="C95" s="94">
        <v>3.29</v>
      </c>
      <c r="D95" s="90" t="s">
        <v>255</v>
      </c>
      <c r="E95" s="200">
        <v>275</v>
      </c>
    </row>
    <row r="96" spans="1:5" ht="17.25" thickBot="1" x14ac:dyDescent="0.35">
      <c r="A96" s="88" t="s">
        <v>211</v>
      </c>
      <c r="B96" s="89" t="s">
        <v>212</v>
      </c>
      <c r="C96" s="380" t="s">
        <v>500</v>
      </c>
      <c r="D96" s="90" t="s">
        <v>346</v>
      </c>
      <c r="E96" s="200">
        <v>703</v>
      </c>
    </row>
    <row r="97" spans="1:11" ht="17.25" thickBot="1" x14ac:dyDescent="0.35">
      <c r="A97" s="88" t="s">
        <v>211</v>
      </c>
      <c r="B97" s="89" t="s">
        <v>212</v>
      </c>
      <c r="C97" s="380" t="s">
        <v>501</v>
      </c>
      <c r="D97" s="90" t="s">
        <v>502</v>
      </c>
      <c r="E97" s="200">
        <v>12.5</v>
      </c>
    </row>
    <row r="98" spans="1:11" ht="17.25" thickBot="1" x14ac:dyDescent="0.35">
      <c r="A98" s="88" t="s">
        <v>211</v>
      </c>
      <c r="B98" s="89" t="s">
        <v>212</v>
      </c>
      <c r="C98" s="380" t="s">
        <v>503</v>
      </c>
      <c r="D98" s="90" t="s">
        <v>504</v>
      </c>
      <c r="E98" s="200">
        <v>292.5</v>
      </c>
    </row>
    <row r="99" spans="1:11" ht="17.25" thickBot="1" x14ac:dyDescent="0.35">
      <c r="A99" s="88" t="s">
        <v>211</v>
      </c>
      <c r="B99" s="89" t="s">
        <v>212</v>
      </c>
      <c r="C99" s="380">
        <v>3.33</v>
      </c>
      <c r="D99" s="90" t="s">
        <v>353</v>
      </c>
      <c r="E99" s="200">
        <v>10</v>
      </c>
    </row>
    <row r="100" spans="1:11" ht="17.25" thickBot="1" x14ac:dyDescent="0.35">
      <c r="A100" s="154" t="s">
        <v>272</v>
      </c>
      <c r="B100" s="155" t="s">
        <v>265</v>
      </c>
      <c r="C100" s="156" t="s">
        <v>330</v>
      </c>
      <c r="D100" s="157" t="s">
        <v>265</v>
      </c>
      <c r="E100" s="200" t="e">
        <v>#N/A</v>
      </c>
    </row>
    <row r="101" spans="1:11" ht="17.25" thickBot="1" x14ac:dyDescent="0.35">
      <c r="A101" s="154" t="s">
        <v>272</v>
      </c>
      <c r="B101" s="155" t="s">
        <v>265</v>
      </c>
      <c r="C101" s="156" t="s">
        <v>331</v>
      </c>
      <c r="D101" s="157" t="s">
        <v>333</v>
      </c>
      <c r="E101" s="200">
        <v>366.96</v>
      </c>
    </row>
    <row r="102" spans="1:11" ht="17.25" thickBot="1" x14ac:dyDescent="0.35">
      <c r="A102" s="154" t="s">
        <v>272</v>
      </c>
      <c r="B102" s="155" t="s">
        <v>265</v>
      </c>
      <c r="C102" s="156" t="s">
        <v>332</v>
      </c>
      <c r="D102" s="157" t="s">
        <v>334</v>
      </c>
      <c r="E102" s="200">
        <v>1175</v>
      </c>
    </row>
    <row r="103" spans="1:11" ht="17.25" thickBot="1" x14ac:dyDescent="0.35">
      <c r="A103" s="165" t="s">
        <v>273</v>
      </c>
      <c r="B103" s="166" t="s">
        <v>266</v>
      </c>
      <c r="C103" s="167" t="s">
        <v>337</v>
      </c>
      <c r="D103" s="168" t="s">
        <v>266</v>
      </c>
      <c r="E103" s="200">
        <v>12</v>
      </c>
    </row>
    <row r="104" spans="1:11" ht="17.25" thickBot="1" x14ac:dyDescent="0.35">
      <c r="A104" s="165" t="s">
        <v>273</v>
      </c>
      <c r="B104" s="166" t="s">
        <v>266</v>
      </c>
      <c r="C104" s="167" t="s">
        <v>338</v>
      </c>
      <c r="D104" s="168" t="s">
        <v>336</v>
      </c>
      <c r="E104" s="200">
        <v>4300</v>
      </c>
      <c r="H104">
        <v>14521.41</v>
      </c>
    </row>
    <row r="105" spans="1:11" ht="17.25" thickBot="1" x14ac:dyDescent="0.35">
      <c r="A105" s="201" t="s">
        <v>352</v>
      </c>
      <c r="B105" s="202" t="s">
        <v>351</v>
      </c>
      <c r="C105" s="404" t="s">
        <v>513</v>
      </c>
      <c r="D105" s="204" t="s">
        <v>351</v>
      </c>
      <c r="E105" s="383">
        <v>47596.5</v>
      </c>
      <c r="H105">
        <f>+'R (s04)'!G28</f>
        <v>23139</v>
      </c>
      <c r="I105" s="200">
        <f>+E105-H105</f>
        <v>24457.5</v>
      </c>
      <c r="K105" s="406">
        <f>(I105/1000)*H104</f>
        <v>355157.385075</v>
      </c>
    </row>
    <row r="106" spans="1:11" ht="17.25" thickBot="1" x14ac:dyDescent="0.35">
      <c r="A106" s="201" t="s">
        <v>352</v>
      </c>
      <c r="B106" s="202" t="s">
        <v>351</v>
      </c>
      <c r="C106" s="203" t="s">
        <v>362</v>
      </c>
      <c r="D106" s="204" t="s">
        <v>359</v>
      </c>
      <c r="E106" s="348">
        <v>758</v>
      </c>
      <c r="F106" t="str">
        <f>+C106&amp;" "&amp;D106</f>
        <v>4.01 BACHOCO</v>
      </c>
    </row>
    <row r="107" spans="1:11" ht="17.25" thickBot="1" x14ac:dyDescent="0.35">
      <c r="A107" s="201" t="s">
        <v>352</v>
      </c>
      <c r="B107" s="202" t="s">
        <v>351</v>
      </c>
      <c r="C107" s="203" t="s">
        <v>350</v>
      </c>
      <c r="D107" s="204" t="s">
        <v>264</v>
      </c>
      <c r="E107" s="348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1" t="s">
        <v>352</v>
      </c>
      <c r="B108" s="202" t="s">
        <v>351</v>
      </c>
      <c r="C108" s="203" t="s">
        <v>363</v>
      </c>
      <c r="D108" s="204" t="s">
        <v>360</v>
      </c>
      <c r="E108" s="348">
        <v>158</v>
      </c>
      <c r="F108" t="str">
        <f t="shared" si="0"/>
        <v>4.03 NATGAS ARCÁNGEL</v>
      </c>
    </row>
    <row r="109" spans="1:11" ht="17.25" thickBot="1" x14ac:dyDescent="0.35">
      <c r="A109" s="201" t="s">
        <v>352</v>
      </c>
      <c r="B109" s="202" t="s">
        <v>351</v>
      </c>
      <c r="C109" s="203" t="s">
        <v>364</v>
      </c>
      <c r="D109" s="204" t="s">
        <v>361</v>
      </c>
      <c r="E109" s="348">
        <v>7</v>
      </c>
      <c r="F109" t="str">
        <f t="shared" si="0"/>
        <v>4.04 VIÑEDOS</v>
      </c>
    </row>
    <row r="110" spans="1:11" ht="17.25" thickBot="1" x14ac:dyDescent="0.35">
      <c r="A110" s="234" t="s">
        <v>380</v>
      </c>
      <c r="B110" s="235" t="s">
        <v>379</v>
      </c>
      <c r="C110" s="236" t="s">
        <v>381</v>
      </c>
      <c r="D110" s="237" t="s">
        <v>367</v>
      </c>
      <c r="E110" s="200">
        <v>3</v>
      </c>
    </row>
    <row r="111" spans="1:11" ht="17.25" thickBot="1" x14ac:dyDescent="0.35">
      <c r="A111" s="234" t="s">
        <v>380</v>
      </c>
      <c r="B111" s="235" t="s">
        <v>379</v>
      </c>
      <c r="C111" s="236" t="s">
        <v>382</v>
      </c>
      <c r="D111" s="237" t="s">
        <v>368</v>
      </c>
      <c r="E111" s="200">
        <v>97</v>
      </c>
    </row>
    <row r="112" spans="1:11" ht="17.25" thickBot="1" x14ac:dyDescent="0.35">
      <c r="A112" s="234" t="s">
        <v>380</v>
      </c>
      <c r="B112" s="235" t="s">
        <v>379</v>
      </c>
      <c r="C112" s="236" t="s">
        <v>383</v>
      </c>
      <c r="D112" s="237" t="s">
        <v>369</v>
      </c>
      <c r="E112" s="200">
        <v>7</v>
      </c>
    </row>
    <row r="113" spans="1:5" ht="17.25" thickBot="1" x14ac:dyDescent="0.35">
      <c r="A113" s="234" t="s">
        <v>380</v>
      </c>
      <c r="B113" s="235" t="s">
        <v>379</v>
      </c>
      <c r="C113" s="236" t="s">
        <v>384</v>
      </c>
      <c r="D113" s="237" t="s">
        <v>370</v>
      </c>
      <c r="E113" s="200">
        <v>15.5</v>
      </c>
    </row>
    <row r="114" spans="1:5" ht="17.25" thickBot="1" x14ac:dyDescent="0.35">
      <c r="A114" s="234" t="s">
        <v>380</v>
      </c>
      <c r="B114" s="235" t="s">
        <v>379</v>
      </c>
      <c r="C114" s="236" t="s">
        <v>385</v>
      </c>
      <c r="D114" s="237" t="s">
        <v>371</v>
      </c>
      <c r="E114" s="200">
        <v>17</v>
      </c>
    </row>
    <row r="115" spans="1:5" ht="17.25" thickBot="1" x14ac:dyDescent="0.35">
      <c r="A115" s="234" t="s">
        <v>380</v>
      </c>
      <c r="B115" s="235" t="s">
        <v>379</v>
      </c>
      <c r="C115" s="236" t="s">
        <v>386</v>
      </c>
      <c r="D115" s="237" t="s">
        <v>372</v>
      </c>
      <c r="E115" s="200">
        <v>8</v>
      </c>
    </row>
    <row r="116" spans="1:5" ht="17.25" thickBot="1" x14ac:dyDescent="0.35">
      <c r="A116" s="234" t="s">
        <v>380</v>
      </c>
      <c r="B116" s="235" t="s">
        <v>379</v>
      </c>
      <c r="C116" s="236" t="s">
        <v>387</v>
      </c>
      <c r="D116" s="237" t="s">
        <v>373</v>
      </c>
      <c r="E116" s="200">
        <v>53</v>
      </c>
    </row>
    <row r="117" spans="1:5" ht="17.25" thickBot="1" x14ac:dyDescent="0.35">
      <c r="A117" s="234" t="s">
        <v>380</v>
      </c>
      <c r="B117" s="235" t="s">
        <v>379</v>
      </c>
      <c r="C117" s="236" t="s">
        <v>388</v>
      </c>
      <c r="D117" s="237" t="s">
        <v>374</v>
      </c>
      <c r="E117" s="200">
        <v>608</v>
      </c>
    </row>
    <row r="118" spans="1:5" ht="17.25" thickBot="1" x14ac:dyDescent="0.35">
      <c r="A118" s="234" t="s">
        <v>380</v>
      </c>
      <c r="B118" s="235" t="s">
        <v>379</v>
      </c>
      <c r="C118" s="236" t="s">
        <v>389</v>
      </c>
      <c r="D118" s="237" t="s">
        <v>375</v>
      </c>
      <c r="E118" s="200">
        <v>170</v>
      </c>
    </row>
    <row r="119" spans="1:5" ht="17.25" thickBot="1" x14ac:dyDescent="0.35">
      <c r="A119" s="234" t="s">
        <v>380</v>
      </c>
      <c r="B119" s="235" t="s">
        <v>379</v>
      </c>
      <c r="C119" s="236" t="s">
        <v>390</v>
      </c>
      <c r="D119" s="237" t="s">
        <v>376</v>
      </c>
      <c r="E119" s="200">
        <v>13</v>
      </c>
    </row>
    <row r="120" spans="1:5" ht="17.25" thickBot="1" x14ac:dyDescent="0.35">
      <c r="A120" s="234" t="s">
        <v>380</v>
      </c>
      <c r="B120" s="235" t="s">
        <v>379</v>
      </c>
      <c r="C120" s="236" t="s">
        <v>391</v>
      </c>
      <c r="D120" s="237" t="s">
        <v>377</v>
      </c>
      <c r="E120" s="200">
        <v>623.9</v>
      </c>
    </row>
    <row r="121" spans="1:5" ht="17.25" thickBot="1" x14ac:dyDescent="0.35">
      <c r="A121" s="234" t="s">
        <v>380</v>
      </c>
      <c r="B121" s="235" t="s">
        <v>379</v>
      </c>
      <c r="C121" s="236" t="s">
        <v>392</v>
      </c>
      <c r="D121" s="237" t="s">
        <v>378</v>
      </c>
      <c r="E121" s="200">
        <v>8.5</v>
      </c>
    </row>
  </sheetData>
  <dataValidations count="1">
    <dataValidation type="list" allowBlank="1" showInputMessage="1" showErrorMessage="1" sqref="G8" xr:uid="{7A3527EC-C43E-4B54-8E94-4D1BC2BE360F}">
      <formula1>INDIRECT($N$8)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C10" sqref="AC1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6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46323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46323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0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0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0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0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0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0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0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0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0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0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0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0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0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0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0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0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0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0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0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0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0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0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0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0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0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0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0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0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0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0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0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0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0">
        <f ca="1">+_xlfn.XLOOKUP(TODAY(),A:A,D:D)</f>
        <v>186.66649999999998</v>
      </c>
      <c r="M35" s="61" t="s">
        <v>175</v>
      </c>
      <c r="N35" s="74">
        <f ca="1">+$L$35*Catalogo!F19</f>
        <v>421384.69042999996</v>
      </c>
      <c r="O35" s="109">
        <f ca="1">+$L$42-L35*1000</f>
        <v>-41166.499999999971</v>
      </c>
      <c r="P35" s="74">
        <f ca="1">+$L$35*Catalogo!J19</f>
        <v>298666.39999999997</v>
      </c>
      <c r="Q35" s="396">
        <f ca="1">+O35/1000</f>
        <v>-41.166499999999971</v>
      </c>
      <c r="R35" s="218">
        <f ca="1">+$Q$35*Catalogo!J19</f>
        <v>-65866.399999999951</v>
      </c>
      <c r="S35" s="113"/>
      <c r="T35"/>
      <c r="U35" s="395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0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0">
        <f ca="1">+_xlfn.XLOOKUP(TODAY(),A:A,E:E)</f>
        <v>182.43749999999989</v>
      </c>
      <c r="M36" s="61" t="s">
        <v>175</v>
      </c>
      <c r="N36" s="74">
        <f ca="1">+$L$36*Catalogo!F14</f>
        <v>2649249.7368749985</v>
      </c>
      <c r="O36" s="109">
        <f ca="1">+$L$42-L36*1000</f>
        <v>-36937.499999999884</v>
      </c>
      <c r="P36" s="74">
        <f ca="1">+$L$36*Catalogo!J14</f>
        <v>1423012.4999999991</v>
      </c>
      <c r="Q36" s="396">
        <f t="shared" ref="Q36:Q37" ca="1" si="2">+O36/1000</f>
        <v>-36.937499999999886</v>
      </c>
      <c r="R36" s="218">
        <f ca="1">+$Q$36*Catalogo!J14</f>
        <v>-288112.49999999913</v>
      </c>
      <c r="S36"/>
      <c r="T36"/>
      <c r="U36" s="395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0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0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09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396">
        <f t="shared" ca="1" si="2"/>
        <v>-3.4245000000000583</v>
      </c>
      <c r="R37" s="218">
        <f ca="1">+$Q$37*Catalogo!J16</f>
        <v>-28080.900000000478</v>
      </c>
      <c r="S37"/>
      <c r="T37"/>
      <c r="U37" s="395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0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2">
        <f ca="1">N53-L38</f>
        <v>-20</v>
      </c>
      <c r="P38" s="74">
        <v>0</v>
      </c>
      <c r="Q38" s="117"/>
      <c r="R38" s="219">
        <f ca="1">SUM(R35:R37)</f>
        <v>-382059.79999999958</v>
      </c>
      <c r="S38" t="s">
        <v>358</v>
      </c>
      <c r="T38"/>
      <c r="U38"/>
      <c r="V38" s="111"/>
      <c r="W38" s="111"/>
      <c r="X38"/>
      <c r="Y38"/>
      <c r="Z38"/>
      <c r="AA38" s="111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0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7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0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0">
        <f ca="1">+_xlfn.XLOOKUP(TODAY(),A:A,I:I)</f>
        <v>118.7916792004837</v>
      </c>
      <c r="M40" s="61" t="s">
        <v>175</v>
      </c>
      <c r="N40" s="74">
        <f ca="1">+$L$40*Catalogo!F17</f>
        <v>1627004.100000001</v>
      </c>
      <c r="P40" s="74">
        <f ca="1">+$L$40*Catalogo!J17</f>
        <v>805407.58497927943</v>
      </c>
      <c r="Q40" s="117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0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8579949.8292399999</v>
      </c>
      <c r="P41" s="209">
        <f ca="1">SUM(P35:P40)</f>
        <v>3748267.3849792788</v>
      </c>
      <c r="Q41" s="135"/>
      <c r="R41" s="171" t="str">
        <f ca="1">"Ejecutdo SPIN al "&amp;TEXT(TODAY(),"mmm-aaaa")</f>
        <v>Ejecutdo SPIN al oct-2026</v>
      </c>
      <c r="S41" s="239">
        <f ca="1">+P41</f>
        <v>3748267.3849792788</v>
      </c>
      <c r="T41" s="241">
        <f ca="1">+P41+R38-1500000</f>
        <v>1866207.584979279</v>
      </c>
      <c r="U41"/>
      <c r="V41"/>
      <c r="W41" s="319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0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7">
        <v>145500</v>
      </c>
      <c r="N42" s="1" t="s">
        <v>178</v>
      </c>
      <c r="P42" s="76" t="s">
        <v>179</v>
      </c>
      <c r="Q42"/>
      <c r="R42" s="231" t="s">
        <v>394</v>
      </c>
      <c r="S42" s="239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0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7">
        <v>99441.99</v>
      </c>
      <c r="N43" s="74">
        <f ca="1">+N41-P41</f>
        <v>4831682.4442607211</v>
      </c>
      <c r="P43"/>
      <c r="Q43"/>
      <c r="R43" s="171" t="str">
        <f ca="1">"Por Pagar a "&amp;TEXT(TODAY(),"mmm-aaaa")</f>
        <v>Por Pagar a oct-2026</v>
      </c>
      <c r="S43" s="239">
        <f ca="1">+S41+S42</f>
        <v>2248267.3849792788</v>
      </c>
      <c r="T43"/>
      <c r="U43"/>
      <c r="V43" s="386"/>
      <c r="AA43" s="287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0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0"/>
      <c r="R44" s="171"/>
      <c r="S44" s="171"/>
      <c r="V44" s="386"/>
      <c r="AA44" s="287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0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1" t="str">
        <f ca="1">"Por Ejecutar SPIN a "&amp;TEXT(TODAY(),"mmm-aaaa")</f>
        <v>Por Ejecutar SPIN a oct-2026</v>
      </c>
      <c r="S45" s="240">
        <f ca="1">+R38</f>
        <v>-382059.79999999958</v>
      </c>
      <c r="V45" s="386"/>
      <c r="AA45" s="287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0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08">
        <v>156</v>
      </c>
      <c r="O46" s="208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0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08">
        <v>73</v>
      </c>
      <c r="O47" s="208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0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08">
        <v>128</v>
      </c>
      <c r="O48" s="208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0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08">
        <v>5</v>
      </c>
      <c r="O49" s="208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0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08">
        <v>5</v>
      </c>
      <c r="O50" s="208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0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08">
        <v>9</v>
      </c>
      <c r="O51" s="208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0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0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0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0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0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0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0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0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0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0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0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0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0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0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0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0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0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0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0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0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0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0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0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0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0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0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0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0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0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0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0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0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0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0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0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0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0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0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0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0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0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0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0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0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0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0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0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0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0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0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0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0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0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0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0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0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0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0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0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0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0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0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0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0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0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0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0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0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0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0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0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0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0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0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0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0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0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0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0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0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0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0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0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0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0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0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0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0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0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0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0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0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0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0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0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0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0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0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0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0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0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0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0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0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0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0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0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0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0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0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0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0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0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0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0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0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0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0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0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0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0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0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0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0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0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0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0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0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0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0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0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0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0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0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0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0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0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0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0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0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0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0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0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0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0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0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0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0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0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0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0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0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0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0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0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0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0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0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0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0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0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0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0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0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0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0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0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0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0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0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0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0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0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0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0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0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0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0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0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0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0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0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0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0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0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0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0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0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0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0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0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0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0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0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0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0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0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0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0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0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0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0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0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0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0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0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0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0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0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0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0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0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0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0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0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0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0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0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0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0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0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0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0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0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0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0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0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0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0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0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0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0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0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0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0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0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0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0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0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0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0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0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0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0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0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0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0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0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0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0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0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0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0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0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0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0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0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0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0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0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0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0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0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0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0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0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0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0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0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0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0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0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0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0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0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0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0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0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0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0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0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0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0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0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0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0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0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0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0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0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0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0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0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0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0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0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0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0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0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0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0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0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0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0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100.65338179418067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>
        <f ca="1">IF(TODAY()&gt;=$A356,SUMIFS(Tabla1[Avance_km],Tabla1[Fecha],"&lt;="&amp;Grafico!$A356,Tabla1[nombre_actividad],Grafico!D$1),NA())</f>
        <v>181.88549999999998</v>
      </c>
      <c r="E356" s="63">
        <f ca="1">IF(TODAY()&gt;=$A356,SUMIFS(Tabla1[Avance_km],Tabla1[Fecha],"&lt;="&amp;Grafico!$A356,Tabla1[nombre_actividad],Grafico!E$1),NA())</f>
        <v>180.42549999999989</v>
      </c>
      <c r="F356" s="110">
        <f ca="1">IF(TODAY()&gt;=$A356,SUMIFS(Tabla1[Avance_km],Tabla1[Fecha],"&lt;="&amp;Grafico!$A356,Tabla1[nombre_actividad],Grafico!F$1,Tabla1[Avance_km],"&gt;0"),NA())</f>
        <v>150.32450000000006</v>
      </c>
      <c r="G356" s="67">
        <f ca="1">IF(TODAY()&gt;=$A356,SUMIFS(Tabla1[Avance_Med],Tabla1[Fecha],"&lt;="&amp;Grafico!$A356,Tabla1[nombre_actividad],Grafico!G$1),NA())</f>
        <v>396</v>
      </c>
      <c r="H356" s="63">
        <f ca="1">IF(TODAY()&gt;=$A356,SUMIFS(Tabla1[Avance_km],Tabla1[Fecha],"&lt;="&amp;Grafico!$A356,Tabla1[nombre_actividad],Grafico!H$1),NA())</f>
        <v>0</v>
      </c>
      <c r="I356" s="63">
        <f ca="1">IF(TODAY()&gt;=$A356,SUMIFS(Tabla1[Avance_km],Tabla1[Fecha],"&lt;="&amp;Grafico!$A356,Tabla1[nombre_actividad],Grafico!I$1),NA())</f>
        <v>109.50133174847481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>
        <f ca="1">IF(TODAY()&gt;=$A357,SUMIFS(Tabla1[Avance_km],Tabla1[Fecha],"&lt;="&amp;Grafico!$A357,Tabla1[nombre_actividad],Grafico!D$1),NA())</f>
        <v>181.88549999999998</v>
      </c>
      <c r="E357" s="63">
        <f ca="1">IF(TODAY()&gt;=$A357,SUMIFS(Tabla1[Avance_km],Tabla1[Fecha],"&lt;="&amp;Grafico!$A357,Tabla1[nombre_actividad],Grafico!E$1),NA())</f>
        <v>180.42549999999989</v>
      </c>
      <c r="F357" s="110">
        <f ca="1">IF(TODAY()&gt;=$A357,SUMIFS(Tabla1[Avance_km],Tabla1[Fecha],"&lt;="&amp;Grafico!$A357,Tabla1[nombre_actividad],Grafico!F$1,Tabla1[Avance_km],"&gt;0"),NA())</f>
        <v>150.32450000000006</v>
      </c>
      <c r="G357" s="67">
        <f ca="1">IF(TODAY()&gt;=$A357,SUMIFS(Tabla1[Avance_Med],Tabla1[Fecha],"&lt;="&amp;Grafico!$A357,Tabla1[nombre_actividad],Grafico!G$1),NA())</f>
        <v>396</v>
      </c>
      <c r="H357" s="63">
        <f ca="1">IF(TODAY()&gt;=$A357,SUMIFS(Tabla1[Avance_km],Tabla1[Fecha],"&lt;="&amp;Grafico!$A357,Tabla1[nombre_actividad],Grafico!H$1),NA())</f>
        <v>0</v>
      </c>
      <c r="I357" s="63">
        <f ca="1">IF(TODAY()&gt;=$A357,SUMIFS(Tabla1[Avance_km],Tabla1[Fecha],"&lt;="&amp;Grafico!$A357,Tabla1[nombre_actividad],Grafico!I$1),NA())</f>
        <v>118.7916792004837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>
        <f ca="1">IF(TODAY()&gt;=$A358,SUMIFS(Tabla1[Avance_km],Tabla1[Fecha],"&lt;="&amp;Grafico!$A358,Tabla1[nombre_actividad],Grafico!D$1),NA())</f>
        <v>183.38549999999998</v>
      </c>
      <c r="E358" s="63">
        <f ca="1">IF(TODAY()&gt;=$A358,SUMIFS(Tabla1[Avance_km],Tabla1[Fecha],"&lt;="&amp;Grafico!$A358,Tabla1[nombre_actividad],Grafico!E$1),NA())</f>
        <v>180.42549999999989</v>
      </c>
      <c r="F358" s="110">
        <f ca="1">IF(TODAY()&gt;=$A358,SUMIFS(Tabla1[Avance_km],Tabla1[Fecha],"&lt;="&amp;Grafico!$A358,Tabla1[nombre_actividad],Grafico!F$1,Tabla1[Avance_km],"&gt;0"),NA())</f>
        <v>150.32450000000006</v>
      </c>
      <c r="G358" s="67">
        <f ca="1">IF(TODAY()&gt;=$A358,SUMIFS(Tabla1[Avance_Med],Tabla1[Fecha],"&lt;="&amp;Grafico!$A358,Tabla1[nombre_actividad],Grafico!G$1),NA())</f>
        <v>396</v>
      </c>
      <c r="H358" s="63">
        <f ca="1">IF(TODAY()&gt;=$A358,SUMIFS(Tabla1[Avance_km],Tabla1[Fecha],"&lt;="&amp;Grafico!$A358,Tabla1[nombre_actividad],Grafico!H$1),NA())</f>
        <v>0</v>
      </c>
      <c r="I358" s="63">
        <f ca="1">IF(TODAY()&gt;=$A358,SUMIFS(Tabla1[Avance_km],Tabla1[Fecha],"&lt;="&amp;Grafico!$A358,Tabla1[nombre_actividad],Grafico!I$1),NA())</f>
        <v>118.7916792004837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>
        <f ca="1">IF(TODAY()&gt;=$A359,SUMIFS(Tabla1[Avance_km],Tabla1[Fecha],"&lt;="&amp;Grafico!$A359,Tabla1[nombre_actividad],Grafico!D$1),NA())</f>
        <v>183.38549999999998</v>
      </c>
      <c r="E359" s="63">
        <f ca="1">IF(TODAY()&gt;=$A359,SUMIFS(Tabla1[Avance_km],Tabla1[Fecha],"&lt;="&amp;Grafico!$A359,Tabla1[nombre_actividad],Grafico!E$1),NA())</f>
        <v>180.42549999999989</v>
      </c>
      <c r="F359" s="110">
        <f ca="1">IF(TODAY()&gt;=$A359,SUMIFS(Tabla1[Avance_km],Tabla1[Fecha],"&lt;="&amp;Grafico!$A359,Tabla1[nombre_actividad],Grafico!F$1,Tabla1[Avance_km],"&gt;0"),NA())</f>
        <v>150.32450000000006</v>
      </c>
      <c r="G359" s="67">
        <f ca="1">IF(TODAY()&gt;=$A359,SUMIFS(Tabla1[Avance_Med],Tabla1[Fecha],"&lt;="&amp;Grafico!$A359,Tabla1[nombre_actividad],Grafico!G$1),NA())</f>
        <v>396</v>
      </c>
      <c r="H359" s="63">
        <f ca="1">IF(TODAY()&gt;=$A359,SUMIFS(Tabla1[Avance_km],Tabla1[Fecha],"&lt;="&amp;Grafico!$A359,Tabla1[nombre_actividad],Grafico!H$1),NA())</f>
        <v>0</v>
      </c>
      <c r="I359" s="63">
        <f ca="1">IF(TODAY()&gt;=$A359,SUMIFS(Tabla1[Avance_km],Tabla1[Fecha],"&lt;="&amp;Grafico!$A359,Tabla1[nombre_actividad],Grafico!I$1),NA())</f>
        <v>118.7916792004837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>
        <f ca="1">IF(TODAY()&gt;=$A360,SUMIFS(Tabla1[Avance_km],Tabla1[Fecha],"&lt;="&amp;Grafico!$A360,Tabla1[nombre_actividad],Grafico!D$1),NA())</f>
        <v>185.66649999999998</v>
      </c>
      <c r="E360" s="63">
        <f ca="1">IF(TODAY()&gt;=$A360,SUMIFS(Tabla1[Avance_km],Tabla1[Fecha],"&lt;="&amp;Grafico!$A360,Tabla1[nombre_actividad],Grafico!E$1),NA())</f>
        <v>180.42549999999989</v>
      </c>
      <c r="F360" s="110">
        <f ca="1">IF(TODAY()&gt;=$A360,SUMIFS(Tabla1[Avance_km],Tabla1[Fecha],"&lt;="&amp;Grafico!$A360,Tabla1[nombre_actividad],Grafico!F$1,Tabla1[Avance_km],"&gt;0"),NA())</f>
        <v>150.32450000000006</v>
      </c>
      <c r="G360" s="67">
        <f ca="1">IF(TODAY()&gt;=$A360,SUMIFS(Tabla1[Avance_Med],Tabla1[Fecha],"&lt;="&amp;Grafico!$A360,Tabla1[nombre_actividad],Grafico!G$1),NA())</f>
        <v>396</v>
      </c>
      <c r="H360" s="63">
        <f ca="1">IF(TODAY()&gt;=$A360,SUMIFS(Tabla1[Avance_km],Tabla1[Fecha],"&lt;="&amp;Grafico!$A360,Tabla1[nombre_actividad],Grafico!H$1),NA())</f>
        <v>0</v>
      </c>
      <c r="I360" s="63">
        <f ca="1">IF(TODAY()&gt;=$A360,SUMIFS(Tabla1[Avance_km],Tabla1[Fecha],"&lt;="&amp;Grafico!$A360,Tabla1[nombre_actividad],Grafico!I$1),NA())</f>
        <v>118.7916792004837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>
        <f ca="1">IF(TODAY()&gt;=$A361,SUMIFS(Tabla1[Avance_km],Tabla1[Fecha],"&lt;="&amp;Grafico!$A361,Tabla1[nombre_actividad],Grafico!D$1),NA())</f>
        <v>185.66649999999998</v>
      </c>
      <c r="E361" s="63">
        <f ca="1">IF(TODAY()&gt;=$A361,SUMIFS(Tabla1[Avance_km],Tabla1[Fecha],"&lt;="&amp;Grafico!$A361,Tabla1[nombre_actividad],Grafico!E$1),NA())</f>
        <v>182.43749999999989</v>
      </c>
      <c r="F361" s="110">
        <f ca="1">IF(TODAY()&gt;=$A361,SUMIFS(Tabla1[Avance_km],Tabla1[Fecha],"&lt;="&amp;Grafico!$A361,Tabla1[nombre_actividad],Grafico!F$1,Tabla1[Avance_km],"&gt;0"),NA())</f>
        <v>150.32450000000006</v>
      </c>
      <c r="G361" s="67">
        <f ca="1">IF(TODAY()&gt;=$A361,SUMIFS(Tabla1[Avance_Med],Tabla1[Fecha],"&lt;="&amp;Grafico!$A361,Tabla1[nombre_actividad],Grafico!G$1),NA())</f>
        <v>396</v>
      </c>
      <c r="H361" s="63">
        <f ca="1">IF(TODAY()&gt;=$A361,SUMIFS(Tabla1[Avance_km],Tabla1[Fecha],"&lt;="&amp;Grafico!$A361,Tabla1[nombre_actividad],Grafico!H$1),NA())</f>
        <v>0</v>
      </c>
      <c r="I361" s="63">
        <f ca="1">IF(TODAY()&gt;=$A361,SUMIFS(Tabla1[Avance_km],Tabla1[Fecha],"&lt;="&amp;Grafico!$A361,Tabla1[nombre_actividad],Grafico!I$1),NA())</f>
        <v>118.7916792004837</v>
      </c>
    </row>
    <row r="362" spans="1:9" x14ac:dyDescent="0.25">
      <c r="A362" s="62">
        <f t="shared" si="12"/>
        <v>46323</v>
      </c>
      <c r="B362" s="33">
        <f t="shared" ca="1" si="11"/>
        <v>200</v>
      </c>
      <c r="C362" s="33"/>
      <c r="D362" s="63">
        <f ca="1">IF(TODAY()&gt;=$A362,SUMIFS(Tabla1[Avance_km],Tabla1[Fecha],"&lt;="&amp;Grafico!$A362,Tabla1[nombre_actividad],Grafico!D$1),NA())</f>
        <v>186.66649999999998</v>
      </c>
      <c r="E362" s="63">
        <f ca="1">IF(TODAY()&gt;=$A362,SUMIFS(Tabla1[Avance_km],Tabla1[Fecha],"&lt;="&amp;Grafico!$A362,Tabla1[nombre_actividad],Grafico!E$1),NA())</f>
        <v>182.43749999999989</v>
      </c>
      <c r="F362" s="110">
        <f ca="1">IF(TODAY()&gt;=$A362,SUMIFS(Tabla1[Avance_km],Tabla1[Fecha],"&lt;="&amp;Grafico!$A362,Tabla1[nombre_actividad],Grafico!F$1,Tabla1[Avance_km],"&gt;0"),NA())</f>
        <v>150.32450000000006</v>
      </c>
      <c r="G362" s="67">
        <f ca="1">IF(TODAY()&gt;=$A362,SUMIFS(Tabla1[Avance_Med],Tabla1[Fecha],"&lt;="&amp;Grafico!$A362,Tabla1[nombre_actividad],Grafico!G$1),NA())</f>
        <v>396</v>
      </c>
      <c r="H362" s="63">
        <f ca="1">IF(TODAY()&gt;=$A362,SUMIFS(Tabla1[Avance_km],Tabla1[Fecha],"&lt;="&amp;Grafico!$A362,Tabla1[nombre_actividad],Grafico!H$1),NA())</f>
        <v>0</v>
      </c>
      <c r="I362" s="63">
        <f ca="1">IF(TODAY()&gt;=$A362,SUMIFS(Tabla1[Avance_km],Tabla1[Fecha],"&lt;="&amp;Grafico!$A362,Tabla1[nombre_actividad],Grafico!I$1),NA())</f>
        <v>118.7916792004837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0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0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0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0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0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0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0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0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0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0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0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0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0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0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0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0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0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0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0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0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0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0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0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0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0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0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0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0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0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0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0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0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0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0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0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0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0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0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0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0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0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0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0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0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0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0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0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0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0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0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0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0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0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0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0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0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0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0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0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0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0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0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0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0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44" priority="1">
      <formula>D2=0</formula>
    </cfRule>
    <cfRule type="expression" dxfId="4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Normal="100" workbookViewId="0">
      <selection activeCell="S36" sqref="S36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0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46323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46323</v>
      </c>
      <c r="K3" s="472">
        <f ca="1">+MAX(K35:K40)</f>
        <v>0.9333324999999999</v>
      </c>
      <c r="M3" s="64"/>
      <c r="T3" s="64">
        <v>45963</v>
      </c>
      <c r="U3" s="64"/>
      <c r="V3" s="64"/>
      <c r="W3" s="77">
        <f ca="1">+K35</f>
        <v>0.9333324999999999</v>
      </c>
      <c r="X3" s="77">
        <f ca="1">+K36</f>
        <v>0.91218749999999948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0.9333324999999999</v>
      </c>
      <c r="X4" s="77">
        <f ca="1">+K36</f>
        <v>0.91218749999999948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0.9333324999999999</v>
      </c>
      <c r="L35" s="61" t="s">
        <v>565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0.91218749999999948</v>
      </c>
      <c r="L36" s="61" t="s">
        <v>565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565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16" t="s">
        <v>81</v>
      </c>
      <c r="K38" s="217">
        <f ca="1">+_xlfn.XLOOKUP(TODAY(),A:A,F:F)</f>
        <v>0.79200000000000004</v>
      </c>
      <c r="L38" s="61" t="s">
        <v>566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565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0.59395839600241851</v>
      </c>
      <c r="L40" s="61" t="s">
        <v>565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4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6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0.50326690897090343</v>
      </c>
    </row>
    <row r="356" spans="1:8" x14ac:dyDescent="0.25">
      <c r="A356" s="62">
        <f t="shared" si="5"/>
        <v>46317</v>
      </c>
      <c r="B356" s="33"/>
      <c r="C356" s="69">
        <f ca="1">IF(TODAY()&gt;=$A356,SUMIFS(Tabla1[Avance_km],Tabla1[Fecha],"&lt;="&amp;'Grafico %'!$A356,Tabla1[nombre_actividad],'Grafico %'!C$1)/(200),NA())</f>
        <v>0.90942749999999994</v>
      </c>
      <c r="D356" s="70">
        <f ca="1">IF(TODAY()&gt;=$A356,SUMIFS(Tabla1[Avance_km],Tabla1[Fecha],"&lt;="&amp;'Grafico %'!$A356,Tabla1[nombre_actividad],'Grafico %'!D$1)/(200),NA())</f>
        <v>0.90212749999999942</v>
      </c>
      <c r="E356" s="70">
        <f ca="1">IF(TODAY()&gt;=$A356,SUMIFS(Tabla1[Avance_km],Tabla1[Fecha],"&lt;="&amp;'Grafico %'!$A356,Tabla1[nombre_actividad],'Grafico %'!E$1,Tabla1[Avance_km],"&gt;0")/(200),NA())</f>
        <v>0.7516225000000003</v>
      </c>
      <c r="F356" s="68">
        <f ca="1">IF(TODAY()&gt;=$A356,SUMIFS(Tabla1[Avance_Med],Tabla1[Fecha],"&lt;="&amp;'Grafico %'!$A356,Tabla1[nombre_actividad],'Grafico %'!F$1)/500,NA())</f>
        <v>0.79200000000000004</v>
      </c>
      <c r="G356" s="70">
        <f ca="1">IF(TODAY()&gt;=$A356,SUMIFS(Tabla1[Avance_km],Tabla1[Fecha],"&lt;="&amp;'Grafico %'!$A356,Tabla1[nombre_actividad],'Grafico %'!G$1)/(200),NA())</f>
        <v>0</v>
      </c>
      <c r="H356" s="70">
        <f ca="1">IF(TODAY()&gt;=$A356,SUMIFS(Tabla1[Avance_km],Tabla1[Fecha],"&lt;="&amp;'Grafico %'!$A356,Tabla1[nombre_actividad],'Grafico %'!H$1)/(200),NA())</f>
        <v>0.54750665874237403</v>
      </c>
    </row>
    <row r="357" spans="1:8" x14ac:dyDescent="0.25">
      <c r="A357" s="62">
        <f t="shared" si="5"/>
        <v>46318</v>
      </c>
      <c r="B357" s="33"/>
      <c r="C357" s="69">
        <f ca="1">IF(TODAY()&gt;=$A357,SUMIFS(Tabla1[Avance_km],Tabla1[Fecha],"&lt;="&amp;'Grafico %'!$A357,Tabla1[nombre_actividad],'Grafico %'!C$1)/(200),NA())</f>
        <v>0.90942749999999994</v>
      </c>
      <c r="D357" s="70">
        <f ca="1">IF(TODAY()&gt;=$A357,SUMIFS(Tabla1[Avance_km],Tabla1[Fecha],"&lt;="&amp;'Grafico %'!$A357,Tabla1[nombre_actividad],'Grafico %'!D$1)/(200),NA())</f>
        <v>0.90212749999999942</v>
      </c>
      <c r="E357" s="70">
        <f ca="1">IF(TODAY()&gt;=$A357,SUMIFS(Tabla1[Avance_km],Tabla1[Fecha],"&lt;="&amp;'Grafico %'!$A357,Tabla1[nombre_actividad],'Grafico %'!E$1,Tabla1[Avance_km],"&gt;0")/(200),NA())</f>
        <v>0.7516225000000003</v>
      </c>
      <c r="F357" s="68">
        <f ca="1">IF(TODAY()&gt;=$A357,SUMIFS(Tabla1[Avance_Med],Tabla1[Fecha],"&lt;="&amp;'Grafico %'!$A357,Tabla1[nombre_actividad],'Grafico %'!F$1)/500,NA())</f>
        <v>0.79200000000000004</v>
      </c>
      <c r="G357" s="70">
        <f ca="1">IF(TODAY()&gt;=$A357,SUMIFS(Tabla1[Avance_km],Tabla1[Fecha],"&lt;="&amp;'Grafico %'!$A357,Tabla1[nombre_actividad],'Grafico %'!G$1)/(200),NA())</f>
        <v>0</v>
      </c>
      <c r="H357" s="70">
        <f ca="1">IF(TODAY()&gt;=$A357,SUMIFS(Tabla1[Avance_km],Tabla1[Fecha],"&lt;="&amp;'Grafico %'!$A357,Tabla1[nombre_actividad],'Grafico %'!H$1)/(200),NA())</f>
        <v>0.59395839600241851</v>
      </c>
    </row>
    <row r="358" spans="1:8" x14ac:dyDescent="0.25">
      <c r="A358" s="62">
        <f t="shared" si="5"/>
        <v>46319</v>
      </c>
      <c r="B358" s="33"/>
      <c r="C358" s="69">
        <f ca="1">IF(TODAY()&gt;=$A358,SUMIFS(Tabla1[Avance_km],Tabla1[Fecha],"&lt;="&amp;'Grafico %'!$A358,Tabla1[nombre_actividad],'Grafico %'!C$1)/(200),NA())</f>
        <v>0.9169274999999999</v>
      </c>
      <c r="D358" s="70">
        <f ca="1">IF(TODAY()&gt;=$A358,SUMIFS(Tabla1[Avance_km],Tabla1[Fecha],"&lt;="&amp;'Grafico %'!$A358,Tabla1[nombre_actividad],'Grafico %'!D$1)/(200),NA())</f>
        <v>0.90212749999999942</v>
      </c>
      <c r="E358" s="70">
        <f ca="1">IF(TODAY()&gt;=$A358,SUMIFS(Tabla1[Avance_km],Tabla1[Fecha],"&lt;="&amp;'Grafico %'!$A358,Tabla1[nombre_actividad],'Grafico %'!E$1,Tabla1[Avance_km],"&gt;0")/(200),NA())</f>
        <v>0.7516225000000003</v>
      </c>
      <c r="F358" s="68">
        <f ca="1">IF(TODAY()&gt;=$A358,SUMIFS(Tabla1[Avance_Med],Tabla1[Fecha],"&lt;="&amp;'Grafico %'!$A358,Tabla1[nombre_actividad],'Grafico %'!F$1)/500,NA())</f>
        <v>0.79200000000000004</v>
      </c>
      <c r="G358" s="70">
        <f ca="1">IF(TODAY()&gt;=$A358,SUMIFS(Tabla1[Avance_km],Tabla1[Fecha],"&lt;="&amp;'Grafico %'!$A358,Tabla1[nombre_actividad],'Grafico %'!G$1)/(200),NA())</f>
        <v>0</v>
      </c>
      <c r="H358" s="70">
        <f ca="1">IF(TODAY()&gt;=$A358,SUMIFS(Tabla1[Avance_km],Tabla1[Fecha],"&lt;="&amp;'Grafico %'!$A358,Tabla1[nombre_actividad],'Grafico %'!H$1)/(200),NA())</f>
        <v>0.59395839600241851</v>
      </c>
    </row>
    <row r="359" spans="1:8" x14ac:dyDescent="0.25">
      <c r="A359" s="62">
        <f t="shared" si="5"/>
        <v>46320</v>
      </c>
      <c r="B359" s="33"/>
      <c r="C359" s="69">
        <f ca="1">IF(TODAY()&gt;=$A359,SUMIFS(Tabla1[Avance_km],Tabla1[Fecha],"&lt;="&amp;'Grafico %'!$A359,Tabla1[nombre_actividad],'Grafico %'!C$1)/(200),NA())</f>
        <v>0.9169274999999999</v>
      </c>
      <c r="D359" s="70">
        <f ca="1">IF(TODAY()&gt;=$A359,SUMIFS(Tabla1[Avance_km],Tabla1[Fecha],"&lt;="&amp;'Grafico %'!$A359,Tabla1[nombre_actividad],'Grafico %'!D$1)/(200),NA())</f>
        <v>0.90212749999999942</v>
      </c>
      <c r="E359" s="70">
        <f ca="1">IF(TODAY()&gt;=$A359,SUMIFS(Tabla1[Avance_km],Tabla1[Fecha],"&lt;="&amp;'Grafico %'!$A359,Tabla1[nombre_actividad],'Grafico %'!E$1,Tabla1[Avance_km],"&gt;0")/(200),NA())</f>
        <v>0.7516225000000003</v>
      </c>
      <c r="F359" s="68">
        <f ca="1">IF(TODAY()&gt;=$A359,SUMIFS(Tabla1[Avance_Med],Tabla1[Fecha],"&lt;="&amp;'Grafico %'!$A359,Tabla1[nombre_actividad],'Grafico %'!F$1)/500,NA())</f>
        <v>0.79200000000000004</v>
      </c>
      <c r="G359" s="70">
        <f ca="1">IF(TODAY()&gt;=$A359,SUMIFS(Tabla1[Avance_km],Tabla1[Fecha],"&lt;="&amp;'Grafico %'!$A359,Tabla1[nombre_actividad],'Grafico %'!G$1)/(200),NA())</f>
        <v>0</v>
      </c>
      <c r="H359" s="70">
        <f ca="1">IF(TODAY()&gt;=$A359,SUMIFS(Tabla1[Avance_km],Tabla1[Fecha],"&lt;="&amp;'Grafico %'!$A359,Tabla1[nombre_actividad],'Grafico %'!H$1)/(200),NA())</f>
        <v>0.59395839600241851</v>
      </c>
    </row>
    <row r="360" spans="1:8" x14ac:dyDescent="0.25">
      <c r="A360" s="62">
        <f t="shared" si="5"/>
        <v>46321</v>
      </c>
      <c r="B360" s="33"/>
      <c r="C360" s="69">
        <f ca="1">IF(TODAY()&gt;=$A360,SUMIFS(Tabla1[Avance_km],Tabla1[Fecha],"&lt;="&amp;'Grafico %'!$A360,Tabla1[nombre_actividad],'Grafico %'!C$1)/(200),NA())</f>
        <v>0.92833249999999989</v>
      </c>
      <c r="D360" s="70">
        <f ca="1">IF(TODAY()&gt;=$A360,SUMIFS(Tabla1[Avance_km],Tabla1[Fecha],"&lt;="&amp;'Grafico %'!$A360,Tabla1[nombre_actividad],'Grafico %'!D$1)/(200),NA())</f>
        <v>0.90212749999999942</v>
      </c>
      <c r="E360" s="70">
        <f ca="1">IF(TODAY()&gt;=$A360,SUMIFS(Tabla1[Avance_km],Tabla1[Fecha],"&lt;="&amp;'Grafico %'!$A360,Tabla1[nombre_actividad],'Grafico %'!E$1,Tabla1[Avance_km],"&gt;0")/(200),NA())</f>
        <v>0.7516225000000003</v>
      </c>
      <c r="F360" s="68">
        <f ca="1">IF(TODAY()&gt;=$A360,SUMIFS(Tabla1[Avance_Med],Tabla1[Fecha],"&lt;="&amp;'Grafico %'!$A360,Tabla1[nombre_actividad],'Grafico %'!F$1)/500,NA())</f>
        <v>0.79200000000000004</v>
      </c>
      <c r="G360" s="70">
        <f ca="1">IF(TODAY()&gt;=$A360,SUMIFS(Tabla1[Avance_km],Tabla1[Fecha],"&lt;="&amp;'Grafico %'!$A360,Tabla1[nombre_actividad],'Grafico %'!G$1)/(200),NA())</f>
        <v>0</v>
      </c>
      <c r="H360" s="70">
        <f ca="1">IF(TODAY()&gt;=$A360,SUMIFS(Tabla1[Avance_km],Tabla1[Fecha],"&lt;="&amp;'Grafico %'!$A360,Tabla1[nombre_actividad],'Grafico %'!H$1)/(200),NA())</f>
        <v>0.59395839600241851</v>
      </c>
    </row>
    <row r="361" spans="1:8" x14ac:dyDescent="0.25">
      <c r="A361" s="62">
        <f t="shared" si="5"/>
        <v>46322</v>
      </c>
      <c r="B361" s="33"/>
      <c r="C361" s="69">
        <f ca="1">IF(TODAY()&gt;=$A361,SUMIFS(Tabla1[Avance_km],Tabla1[Fecha],"&lt;="&amp;'Grafico %'!$A361,Tabla1[nombre_actividad],'Grafico %'!C$1)/(200),NA())</f>
        <v>0.92833249999999989</v>
      </c>
      <c r="D361" s="70">
        <f ca="1">IF(TODAY()&gt;=$A361,SUMIFS(Tabla1[Avance_km],Tabla1[Fecha],"&lt;="&amp;'Grafico %'!$A361,Tabla1[nombre_actividad],'Grafico %'!D$1)/(200),NA())</f>
        <v>0.91218749999999948</v>
      </c>
      <c r="E361" s="70">
        <f ca="1">IF(TODAY()&gt;=$A361,SUMIFS(Tabla1[Avance_km],Tabla1[Fecha],"&lt;="&amp;'Grafico %'!$A361,Tabla1[nombre_actividad],'Grafico %'!E$1,Tabla1[Avance_km],"&gt;0")/(200),NA())</f>
        <v>0.7516225000000003</v>
      </c>
      <c r="F361" s="68">
        <f ca="1">IF(TODAY()&gt;=$A361,SUMIFS(Tabla1[Avance_Med],Tabla1[Fecha],"&lt;="&amp;'Grafico %'!$A361,Tabla1[nombre_actividad],'Grafico %'!F$1)/500,NA())</f>
        <v>0.79200000000000004</v>
      </c>
      <c r="G361" s="70">
        <f ca="1">IF(TODAY()&gt;=$A361,SUMIFS(Tabla1[Avance_km],Tabla1[Fecha],"&lt;="&amp;'Grafico %'!$A361,Tabla1[nombre_actividad],'Grafico %'!G$1)/(200),NA())</f>
        <v>0</v>
      </c>
      <c r="H361" s="70">
        <f ca="1">IF(TODAY()&gt;=$A361,SUMIFS(Tabla1[Avance_km],Tabla1[Fecha],"&lt;="&amp;'Grafico %'!$A361,Tabla1[nombre_actividad],'Grafico %'!H$1)/(200),NA())</f>
        <v>0.59395839600241851</v>
      </c>
    </row>
    <row r="362" spans="1:8" x14ac:dyDescent="0.25">
      <c r="A362" s="62">
        <f t="shared" si="5"/>
        <v>46323</v>
      </c>
      <c r="B362" s="33"/>
      <c r="C362" s="69">
        <f ca="1">IF(TODAY()&gt;=$A362,SUMIFS(Tabla1[Avance_km],Tabla1[Fecha],"&lt;="&amp;'Grafico %'!$A362,Tabla1[nombre_actividad],'Grafico %'!C$1)/(200),NA())</f>
        <v>0.9333324999999999</v>
      </c>
      <c r="D362" s="70">
        <f ca="1">IF(TODAY()&gt;=$A362,SUMIFS(Tabla1[Avance_km],Tabla1[Fecha],"&lt;="&amp;'Grafico %'!$A362,Tabla1[nombre_actividad],'Grafico %'!D$1)/(200),NA())</f>
        <v>0.91218749999999948</v>
      </c>
      <c r="E362" s="70">
        <f ca="1">IF(TODAY()&gt;=$A362,SUMIFS(Tabla1[Avance_km],Tabla1[Fecha],"&lt;="&amp;'Grafico %'!$A362,Tabla1[nombre_actividad],'Grafico %'!E$1,Tabla1[Avance_km],"&gt;0")/(200),NA())</f>
        <v>0.7516225000000003</v>
      </c>
      <c r="F362" s="68">
        <f ca="1">IF(TODAY()&gt;=$A362,SUMIFS(Tabla1[Avance_Med],Tabla1[Fecha],"&lt;="&amp;'Grafico %'!$A362,Tabla1[nombre_actividad],'Grafico %'!F$1)/500,NA())</f>
        <v>0.79200000000000004</v>
      </c>
      <c r="G362" s="70">
        <f ca="1">IF(TODAY()&gt;=$A362,SUMIFS(Tabla1[Avance_km],Tabla1[Fecha],"&lt;="&amp;'Grafico %'!$A362,Tabla1[nombre_actividad],'Grafico %'!G$1)/(200),NA())</f>
        <v>0</v>
      </c>
      <c r="H362" s="70">
        <f ca="1">IF(TODAY()&gt;=$A362,SUMIFS(Tabla1[Avance_km],Tabla1[Fecha],"&lt;="&amp;'Grafico %'!$A362,Tabla1[nombre_actividad],'Grafico %'!H$1)/(200),NA())</f>
        <v>0.59395839600241851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42" priority="1">
      <formula>C2=0</formula>
    </cfRule>
    <cfRule type="expression" dxfId="4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1" zoomScaleNormal="100" workbookViewId="0">
      <selection activeCell="AC11" sqref="AC11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08" hidden="1" customWidth="1" outlineLevel="1"/>
    <col min="4" max="5" width="11.42578125" style="108" hidden="1" customWidth="1" outlineLevel="1"/>
    <col min="6" max="7" width="27.7109375" style="96" hidden="1" customWidth="1" outlineLevel="1"/>
    <col min="8" max="8" width="27.7109375" style="108" hidden="1" customWidth="1" outlineLevel="1"/>
    <col min="9" max="9" width="15.7109375" style="225" hidden="1" customWidth="1" outlineLevel="1"/>
    <col min="10" max="10" width="17.28515625" style="225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hidden="1" customWidth="1" outlineLevel="1"/>
    <col min="31" max="32" width="12.28515625" style="61" hidden="1" customWidth="1" outlineLevel="1"/>
    <col min="33" max="33" width="12.28515625" style="61" bestFit="1" customWidth="1" collapsed="1"/>
    <col min="34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0" t="s">
        <v>78</v>
      </c>
      <c r="D1" s="110" t="s">
        <v>79</v>
      </c>
      <c r="E1" s="110" t="s">
        <v>80</v>
      </c>
      <c r="F1" s="67" t="s">
        <v>81</v>
      </c>
      <c r="G1" s="67" t="s">
        <v>82</v>
      </c>
      <c r="H1" s="110" t="s">
        <v>83</v>
      </c>
      <c r="I1" s="224" t="s">
        <v>414</v>
      </c>
      <c r="J1" s="224" t="s">
        <v>343</v>
      </c>
    </row>
    <row r="2" spans="1:31" x14ac:dyDescent="0.25">
      <c r="A2" s="62">
        <v>45962</v>
      </c>
      <c r="B2" s="62"/>
      <c r="C2" s="110">
        <f ca="1">IF(TODAY()&gt;=$A2,SUMIFS(Tabla1[Avance_km],Tabla1[Fecha],"&lt;="&amp;EV!$A2-1,Tabla1[nombre_actividad],EV!C$1),NA())</f>
        <v>0</v>
      </c>
      <c r="D2" s="110"/>
      <c r="E2" s="110"/>
      <c r="F2" s="67"/>
      <c r="G2" s="67"/>
      <c r="H2" s="110"/>
      <c r="I2" s="224">
        <f ca="1">+C2*Catalogo!$F$19+EV!D2*Catalogo!$F$14+EV!E2*Catalogo!$F$16+EV!F2*Catalogo!$F$18</f>
        <v>0</v>
      </c>
      <c r="J2" s="224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0">
        <f ca="1">IF(TODAY()&gt;=$A3,SUMIFS(Tabla1[Avance_km],Tabla1[Fecha],"&lt;="&amp;EV!$A3-1,Tabla1[nombre_actividad],EV!C$1),NA())</f>
        <v>0</v>
      </c>
      <c r="D3" s="110"/>
      <c r="E3" s="110"/>
      <c r="F3" s="67"/>
      <c r="G3" s="67"/>
      <c r="H3" s="110"/>
      <c r="I3" s="224">
        <f ca="1">+C3*Catalogo!$F$19+EV!D3*Catalogo!$F$14+EV!E3*Catalogo!$F$16+EV!F3*Catalogo!$F$18</f>
        <v>0</v>
      </c>
      <c r="J3" s="224">
        <f ca="1">IF(TODAY()&gt;=$A3,SUMIFS(Tabla1[EV],Tabla1[Fecha],"&lt;="&amp;A3,Tabla1[EV],"&gt;0"),NA())</f>
        <v>0</v>
      </c>
      <c r="O3" s="64"/>
      <c r="Y3" s="64"/>
      <c r="AD3" s="64">
        <f ca="1">+TODAY()</f>
        <v>46323</v>
      </c>
      <c r="AE3" s="61">
        <v>0</v>
      </c>
    </row>
    <row r="4" spans="1:31" x14ac:dyDescent="0.25">
      <c r="A4" s="62">
        <f>+A3+1</f>
        <v>45964</v>
      </c>
      <c r="B4" s="62"/>
      <c r="C4" s="110">
        <f ca="1">IF(TODAY()&gt;=$A4,SUMIFS(Tabla1[Avance_km],Tabla1[Fecha],"&lt;="&amp;EV!$A4,Tabla1[nombre_actividad],EV!C$1),NA())</f>
        <v>1.1000000000000001</v>
      </c>
      <c r="D4" s="110"/>
      <c r="E4" s="110"/>
      <c r="F4" s="67"/>
      <c r="G4" s="67"/>
      <c r="H4" s="110"/>
      <c r="I4" s="224">
        <f ca="1">+C4*Catalogo!$F$19+EV!D4*Catalogo!$F$14+EV!E4*Catalogo!$F$16+EV!F4*Catalogo!$F$18</f>
        <v>2483.1620000000003</v>
      </c>
      <c r="J4" s="224">
        <f ca="1">IF(TODAY()&gt;=$A4,SUMIFS(Tabla1[EV],Tabla1[Fecha],"&lt;="&amp;A4,Tabla1[EV],"&gt;0"),NA())</f>
        <v>2483.1620000000003</v>
      </c>
      <c r="AD4" s="64">
        <f ca="1">+TODAY()</f>
        <v>46323</v>
      </c>
      <c r="AE4" s="340">
        <f ca="1">100*AC35/12000000</f>
        <v>93.769103243666535</v>
      </c>
    </row>
    <row r="5" spans="1:31" x14ac:dyDescent="0.25">
      <c r="A5" s="62">
        <f t="shared" ref="A5:A68" si="0">+A4+1</f>
        <v>45965</v>
      </c>
      <c r="B5" s="62"/>
      <c r="C5" s="110">
        <f ca="1">IF(TODAY()&gt;=$A5,SUMIFS(Tabla1[Avance_km],Tabla1[Fecha],"&lt;="&amp;EV!$A5,Tabla1[nombre_actividad],EV!C$1),NA())</f>
        <v>4</v>
      </c>
      <c r="D5" s="110"/>
      <c r="E5" s="110"/>
      <c r="F5" s="67"/>
      <c r="G5" s="67"/>
      <c r="H5" s="110"/>
      <c r="I5" s="224">
        <f ca="1">+C5*Catalogo!$F$19+EV!D5*Catalogo!$F$14+EV!E5*Catalogo!$F$16+EV!F5*Catalogo!$F$18</f>
        <v>9029.68</v>
      </c>
      <c r="J5" s="224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0">
        <f ca="1">IF(TODAY()&gt;=$A6,SUMIFS(Tabla1[Avance_km],Tabla1[Fecha],"&lt;="&amp;EV!$A6,Tabla1[nombre_actividad],EV!C$1),NA())</f>
        <v>8</v>
      </c>
      <c r="D6" s="110"/>
      <c r="E6" s="110"/>
      <c r="F6" s="67"/>
      <c r="G6" s="67"/>
      <c r="H6" s="110"/>
      <c r="I6" s="224">
        <f ca="1">+C6*Catalogo!$F$19+EV!D6*Catalogo!$F$14+EV!E6*Catalogo!$F$16+EV!F6*Catalogo!$F$18</f>
        <v>18059.36</v>
      </c>
      <c r="J6" s="224">
        <f ca="1">IF(TODAY()&gt;=$A6,SUMIFS(Tabla1[EV],Tabla1[Fecha],"&lt;="&amp;A6,Tabla1[EV],"&gt;0"),NA())</f>
        <v>18059.36</v>
      </c>
      <c r="Y6" s="64"/>
      <c r="AD6" s="64">
        <f>+MIN(A:A)</f>
        <v>45962</v>
      </c>
      <c r="AE6" s="61">
        <v>11162921.84</v>
      </c>
    </row>
    <row r="7" spans="1:31" x14ac:dyDescent="0.25">
      <c r="A7" s="62">
        <f t="shared" si="0"/>
        <v>45967</v>
      </c>
      <c r="B7" s="62"/>
      <c r="C7" s="110">
        <f ca="1">IF(TODAY()&gt;=$A7,SUMIFS(Tabla1[Avance_km],Tabla1[Fecha],"&lt;="&amp;EV!$A7,Tabla1[nombre_actividad],EV!C$1),NA())</f>
        <v>13.5</v>
      </c>
      <c r="D7" s="110"/>
      <c r="E7" s="110"/>
      <c r="F7" s="67"/>
      <c r="G7" s="67"/>
      <c r="H7" s="110"/>
      <c r="I7" s="224">
        <f ca="1">+C7*Catalogo!$F$19+EV!D7*Catalogo!$F$14+EV!E7*Catalogo!$F$16+EV!F7*Catalogo!$F$18</f>
        <v>30475.170000000002</v>
      </c>
      <c r="J7" s="224">
        <f ca="1">IF(TODAY()&gt;=$A7,SUMIFS(Tabla1[EV],Tabla1[Fecha],"&lt;="&amp;A7,Tabla1[EV],"&gt;0"),NA())</f>
        <v>30475.170000000002</v>
      </c>
      <c r="AD7" s="64">
        <f>+MAX(A:A)</f>
        <v>46460</v>
      </c>
      <c r="AE7" s="61">
        <v>11162921.84</v>
      </c>
    </row>
    <row r="8" spans="1:31" x14ac:dyDescent="0.25">
      <c r="A8" s="62">
        <f t="shared" si="0"/>
        <v>45968</v>
      </c>
      <c r="B8" s="62"/>
      <c r="C8" s="110">
        <f ca="1">IF(TODAY()&gt;=$A8,SUMIFS(Tabla1[Avance_km],Tabla1[Fecha],"&lt;="&amp;EV!$A8,Tabla1[nombre_actividad],EV!C$1),NA())</f>
        <v>17.5</v>
      </c>
      <c r="D8" s="110"/>
      <c r="E8" s="110"/>
      <c r="F8" s="67"/>
      <c r="G8" s="67"/>
      <c r="H8" s="110"/>
      <c r="I8" s="224">
        <f ca="1">+C8*Catalogo!$F$19+EV!D8*Catalogo!$F$14+EV!E8*Catalogo!$F$16+EV!F8*Catalogo!$F$18</f>
        <v>39504.85</v>
      </c>
      <c r="J8" s="224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0">
        <f ca="1">IF(TODAY()&gt;=$A9,SUMIFS(Tabla1[Avance_km],Tabla1[Fecha],"&lt;="&amp;EV!$A9,Tabla1[nombre_actividad],EV!C$1),NA())</f>
        <v>20.5</v>
      </c>
      <c r="D9" s="110"/>
      <c r="E9" s="110"/>
      <c r="F9" s="67"/>
      <c r="G9" s="67"/>
      <c r="H9" s="110"/>
      <c r="I9" s="224">
        <f ca="1">+C9*Catalogo!$F$19+EV!D9*Catalogo!$F$14+EV!E9*Catalogo!$F$16+EV!F9*Catalogo!$F$18</f>
        <v>46277.11</v>
      </c>
      <c r="J9" s="224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0">
        <f ca="1">IF(TODAY()&gt;=$A10,SUMIFS(Tabla1[Avance_km],Tabla1[Fecha],"&lt;="&amp;EV!$A10,Tabla1[nombre_actividad],EV!C$1),NA())</f>
        <v>20.5</v>
      </c>
      <c r="D10" s="110"/>
      <c r="E10" s="110"/>
      <c r="F10" s="67"/>
      <c r="G10" s="67"/>
      <c r="H10" s="110"/>
      <c r="I10" s="224">
        <f ca="1">+C10*Catalogo!$F$19+EV!D10*Catalogo!$F$14+EV!E10*Catalogo!$F$16+EV!F10*Catalogo!$F$18</f>
        <v>46277.11</v>
      </c>
      <c r="J10" s="224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0">
        <f ca="1">IF(TODAY()&gt;=$A11,SUMIFS(Tabla1[Avance_km],Tabla1[Fecha],"&lt;="&amp;EV!$A11,Tabla1[nombre_actividad],EV!C$1),NA())</f>
        <v>26</v>
      </c>
      <c r="D11" s="110"/>
      <c r="E11" s="110"/>
      <c r="F11" s="67"/>
      <c r="G11" s="67"/>
      <c r="H11" s="110"/>
      <c r="I11" s="224">
        <f ca="1">+C11*Catalogo!$F$19+EV!D11*Catalogo!$F$14+EV!E11*Catalogo!$F$16+EV!F11*Catalogo!$F$18</f>
        <v>58692.92</v>
      </c>
      <c r="J11" s="224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0">
        <f ca="1">IF(TODAY()&gt;=$A12,SUMIFS(Tabla1[Avance_km],Tabla1[Fecha],"&lt;="&amp;EV!$A12,Tabla1[nombre_actividad],EV!C$1),NA())</f>
        <v>31.54</v>
      </c>
      <c r="D12" s="110"/>
      <c r="E12" s="110"/>
      <c r="F12" s="67"/>
      <c r="G12" s="67"/>
      <c r="H12" s="110"/>
      <c r="I12" s="224">
        <f ca="1">+C12*Catalogo!$F$19+EV!D12*Catalogo!$F$14+EV!E12*Catalogo!$F$16+EV!F12*Catalogo!$F$18</f>
        <v>71199.026800000007</v>
      </c>
      <c r="J12" s="224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0">
        <f ca="1">IF(TODAY()&gt;=$A13,SUMIFS(Tabla1[Avance_km],Tabla1[Fecha],"&lt;="&amp;EV!$A13,Tabla1[nombre_actividad],EV!C$1),NA())</f>
        <v>35.786999999999999</v>
      </c>
      <c r="D13" s="110"/>
      <c r="E13" s="110"/>
      <c r="F13" s="67"/>
      <c r="G13" s="67"/>
      <c r="H13" s="110"/>
      <c r="I13" s="224">
        <f ca="1">+C13*Catalogo!$F$19+EV!D13*Catalogo!$F$14+EV!E13*Catalogo!$F$16+EV!F13*Catalogo!$F$18</f>
        <v>80786.289539999998</v>
      </c>
      <c r="J13" s="224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0">
        <f ca="1">IF(TODAY()&gt;=$A14,SUMIFS(Tabla1[Avance_km],Tabla1[Fecha],"&lt;="&amp;EV!$A14,Tabla1[nombre_actividad],EV!C$1),NA())</f>
        <v>41.429000000000002</v>
      </c>
      <c r="D14" s="110"/>
      <c r="E14" s="110"/>
      <c r="F14" s="67"/>
      <c r="G14" s="67"/>
      <c r="H14" s="110"/>
      <c r="I14" s="224">
        <f ca="1">+C14*Catalogo!$F$19+EV!D14*Catalogo!$F$14+EV!E14*Catalogo!$F$16+EV!F14*Catalogo!$F$18</f>
        <v>93522.653180000008</v>
      </c>
      <c r="J14" s="224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0">
        <f ca="1">IF(TODAY()&gt;=$A15,SUMIFS(Tabla1[Avance_km],Tabla1[Fecha],"&lt;="&amp;EV!$A15,Tabla1[nombre_actividad],EV!C$1),NA())</f>
        <v>47.429000000000002</v>
      </c>
      <c r="D15" s="110"/>
      <c r="E15" s="110"/>
      <c r="F15" s="67"/>
      <c r="G15" s="67"/>
      <c r="H15" s="110"/>
      <c r="I15" s="224">
        <f ca="1">+C15*Catalogo!$F$19+EV!D15*Catalogo!$F$14+EV!E15*Catalogo!$F$16+EV!F15*Catalogo!$F$18</f>
        <v>107067.17318000001</v>
      </c>
      <c r="J15" s="224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0">
        <f ca="1">IF(TODAY()&gt;=$A16,SUMIFS(Tabla1[Avance_km],Tabla1[Fecha],"&lt;="&amp;EV!$A16,Tabla1[nombre_actividad],EV!C$1),NA())</f>
        <v>52.429000000000002</v>
      </c>
      <c r="D16" s="110"/>
      <c r="E16" s="110"/>
      <c r="F16" s="67"/>
      <c r="G16" s="67"/>
      <c r="H16" s="110"/>
      <c r="I16" s="224">
        <f ca="1">+C16*Catalogo!$F$19+EV!D16*Catalogo!$F$14+EV!E16*Catalogo!$F$16+EV!F16*Catalogo!$F$18</f>
        <v>118354.27318</v>
      </c>
      <c r="J16" s="224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0">
        <f ca="1">IF(TODAY()&gt;=$A17,SUMIFS(Tabla1[Avance_km],Tabla1[Fecha],"&lt;="&amp;EV!$A17,Tabla1[nombre_actividad],EV!C$1),NA())</f>
        <v>56.429000000000002</v>
      </c>
      <c r="D17" s="110">
        <f ca="1">IF(TODAY()&gt;=$A17,SUMIFS(Tabla1[Avance_km],Tabla1[Fecha],"&lt;="&amp;EV!$A17,Tabla1[nombre_actividad],EV!D$1),NA())</f>
        <v>0</v>
      </c>
      <c r="E17" s="110"/>
      <c r="F17" s="67"/>
      <c r="G17" s="67"/>
      <c r="H17" s="110"/>
      <c r="I17" s="224">
        <f ca="1">+C17*Catalogo!$F$19+EV!D17*Catalogo!$F$14+EV!E17*Catalogo!$F$16+EV!F17*Catalogo!$F$18</f>
        <v>127383.95318000001</v>
      </c>
      <c r="J17" s="224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0">
        <f ca="1">IF(TODAY()&gt;=$A18,SUMIFS(Tabla1[Avance_km],Tabla1[Fecha],"&lt;="&amp;EV!$A18,Tabla1[nombre_actividad],EV!C$1),NA())</f>
        <v>56.429000000000002</v>
      </c>
      <c r="D18" s="110">
        <f ca="1">IF(TODAY()&gt;=$A18,SUMIFS(Tabla1[Avance_km],Tabla1[Fecha],"&lt;="&amp;EV!$A18,Tabla1[nombre_actividad],EV!D$1),NA())</f>
        <v>5</v>
      </c>
      <c r="E18" s="110"/>
      <c r="F18" s="67"/>
      <c r="G18" s="67"/>
      <c r="H18" s="110"/>
      <c r="I18" s="224">
        <f ca="1">+C18*Catalogo!$F$19+EV!D18*Catalogo!$F$14+EV!E18*Catalogo!$F$16+EV!F18*Catalogo!$F$18</f>
        <v>199991.00318</v>
      </c>
      <c r="J18" s="224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0">
        <f ca="1">IF(TODAY()&gt;=$A19,SUMIFS(Tabla1[Avance_km],Tabla1[Fecha],"&lt;="&amp;EV!$A19,Tabla1[nombre_actividad],EV!C$1),NA())</f>
        <v>56.429000000000002</v>
      </c>
      <c r="D19" s="110">
        <f ca="1">IF(TODAY()&gt;=$A19,SUMIFS(Tabla1[Avance_km],Tabla1[Fecha],"&lt;="&amp;EV!$A19,Tabla1[nombre_actividad],EV!D$1),NA())</f>
        <v>9</v>
      </c>
      <c r="E19" s="110"/>
      <c r="F19" s="67">
        <f ca="1">IF(TODAY()&gt;=$A19,SUMIFS(Tabla1[Avance_Med],Tabla1[Fecha],"&lt;="&amp;EV!$A19,Tabla1[nombre_actividad],EV!F$1),NA())</f>
        <v>0</v>
      </c>
      <c r="G19" s="67"/>
      <c r="H19" s="110"/>
      <c r="I19" s="224">
        <f ca="1">+C19*Catalogo!$F$19+EV!D19*Catalogo!$F$14+EV!E19*Catalogo!$F$16+EV!F19*Catalogo!$F$18</f>
        <v>258076.64318000001</v>
      </c>
      <c r="J19" s="224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0">
        <f ca="1">IF(TODAY()&gt;=$A20,SUMIFS(Tabla1[Avance_km],Tabla1[Fecha],"&lt;="&amp;EV!$A20,Tabla1[nombre_actividad],EV!C$1),NA())</f>
        <v>59.728999999999999</v>
      </c>
      <c r="D20" s="110">
        <f ca="1">IF(TODAY()&gt;=$A20,SUMIFS(Tabla1[Avance_km],Tabla1[Fecha],"&lt;="&amp;EV!$A20,Tabla1[nombre_actividad],EV!D$1),NA())</f>
        <v>15</v>
      </c>
      <c r="E20" s="110"/>
      <c r="F20" s="67">
        <f ca="1">IF(TODAY()&gt;=$A20,SUMIFS(Tabla1[Avance_Med],Tabla1[Fecha],"&lt;="&amp;EV!$A20,Tabla1[nombre_actividad],EV!F$1),NA())</f>
        <v>9</v>
      </c>
      <c r="G20" s="67"/>
      <c r="H20" s="110"/>
      <c r="I20" s="224">
        <f ca="1">+C20*Catalogo!$F$19+EV!D20*Catalogo!$F$14+EV!E20*Catalogo!$F$16+EV!F20*Catalogo!$F$18</f>
        <v>394576.58918000001</v>
      </c>
      <c r="J20" s="224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0">
        <f ca="1">IF(TODAY()&gt;=$A21,SUMIFS(Tabla1[Avance_km],Tabla1[Fecha],"&lt;="&amp;EV!$A21,Tabla1[nombre_actividad],EV!C$1),NA())</f>
        <v>66.429000000000002</v>
      </c>
      <c r="D21" s="110">
        <f ca="1">IF(TODAY()&gt;=$A21,SUMIFS(Tabla1[Avance_km],Tabla1[Fecha],"&lt;="&amp;EV!$A21,Tabla1[nombre_actividad],EV!D$1),NA())</f>
        <v>18.5</v>
      </c>
      <c r="E21" s="110"/>
      <c r="F21" s="67">
        <f ca="1">IF(TODAY()&gt;=$A21,SUMIFS(Tabla1[Avance_Med],Tabla1[Fecha],"&lt;="&amp;EV!$A21,Tabla1[nombre_actividad],EV!F$1),NA())</f>
        <v>21</v>
      </c>
      <c r="G21" s="67"/>
      <c r="H21" s="110"/>
      <c r="I21" s="224">
        <f ca="1">+C21*Catalogo!$F$19+EV!D21*Catalogo!$F$14+EV!E21*Catalogo!$F$16+EV!F21*Catalogo!$F$18</f>
        <v>516422.23818000004</v>
      </c>
      <c r="J21" s="224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0">
        <f ca="1">IF(TODAY()&gt;=$A22,SUMIFS(Tabla1[Avance_km],Tabla1[Fecha],"&lt;="&amp;EV!$A22,Tabla1[nombre_actividad],EV!C$1),NA())</f>
        <v>67.317000000000007</v>
      </c>
      <c r="D22" s="110">
        <f ca="1">IF(TODAY()&gt;=$A22,SUMIFS(Tabla1[Avance_km],Tabla1[Fecha],"&lt;="&amp;EV!$A22,Tabla1[nombre_actividad],EV!D$1),NA())</f>
        <v>24.009</v>
      </c>
      <c r="E22" s="110"/>
      <c r="F22" s="67">
        <f ca="1">IF(TODAY()&gt;=$A22,SUMIFS(Tabla1[Avance_Med],Tabla1[Fecha],"&lt;="&amp;EV!$A22,Tabla1[nombre_actividad],EV!F$1),NA())</f>
        <v>32</v>
      </c>
      <c r="G22" s="67"/>
      <c r="H22" s="110"/>
      <c r="I22" s="224">
        <f ca="1">+C22*Catalogo!$F$19+EV!D22*Catalogo!$F$14+EV!E22*Catalogo!$F$16+EV!F22*Catalogo!$F$18</f>
        <v>649663.27483000001</v>
      </c>
      <c r="J22" s="224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0">
        <f ca="1">IF(TODAY()&gt;=$A23,SUMIFS(Tabla1[Avance_km],Tabla1[Fecha],"&lt;="&amp;EV!$A23,Tabla1[nombre_actividad],EV!C$1),NA())</f>
        <v>68.672000000000011</v>
      </c>
      <c r="D23" s="110">
        <f ca="1">IF(TODAY()&gt;=$A23,SUMIFS(Tabla1[Avance_km],Tabla1[Fecha],"&lt;="&amp;EV!$A23,Tabla1[nombre_actividad],EV!D$1),NA())</f>
        <v>28.509</v>
      </c>
      <c r="E23" s="110"/>
      <c r="F23" s="67">
        <f ca="1">IF(TODAY()&gt;=$A23,SUMIFS(Tabla1[Avance_Med],Tabla1[Fecha],"&lt;="&amp;EV!$A23,Tabla1[nombre_actividad],EV!F$1),NA())</f>
        <v>32</v>
      </c>
      <c r="G23" s="67"/>
      <c r="H23" s="110"/>
      <c r="I23" s="224">
        <f ca="1">+C23*Catalogo!$F$19+EV!D23*Catalogo!$F$14+EV!E23*Catalogo!$F$16+EV!F23*Catalogo!$F$18</f>
        <v>718068.42393000005</v>
      </c>
      <c r="J23" s="224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0">
        <f ca="1">IF(TODAY()&gt;=$A24,SUMIFS(Tabla1[Avance_km],Tabla1[Fecha],"&lt;="&amp;EV!$A24,Tabla1[nombre_actividad],EV!C$1),NA())</f>
        <v>68.672000000000011</v>
      </c>
      <c r="D24" s="110">
        <f ca="1">IF(TODAY()&gt;=$A24,SUMIFS(Tabla1[Avance_km],Tabla1[Fecha],"&lt;="&amp;EV!$A24,Tabla1[nombre_actividad],EV!D$1),NA())</f>
        <v>31.548999999999999</v>
      </c>
      <c r="E24" s="110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0"/>
      <c r="I24" s="224">
        <f ca="1">+C24*Catalogo!$F$19+EV!D24*Catalogo!$F$14+EV!E24*Catalogo!$F$16+EV!F24*Catalogo!$F$18</f>
        <v>762335.51099999994</v>
      </c>
      <c r="J24" s="224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0">
        <f ca="1">IF(TODAY()&gt;=$A25,SUMIFS(Tabla1[Avance_km],Tabla1[Fecha],"&lt;="&amp;EV!$A25,Tabla1[nombre_actividad],EV!C$1),NA())</f>
        <v>72.02200000000002</v>
      </c>
      <c r="D25" s="110">
        <f ca="1">IF(TODAY()&gt;=$A25,SUMIFS(Tabla1[Avance_km],Tabla1[Fecha],"&lt;="&amp;EV!$A25,Tabla1[nombre_actividad],EV!D$1),NA())</f>
        <v>31.548999999999999</v>
      </c>
      <c r="E25" s="110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0"/>
      <c r="I25" s="224">
        <f ca="1">+C25*Catalogo!$F$19+EV!D25*Catalogo!$F$14+EV!E25*Catalogo!$F$16+EV!F25*Catalogo!$F$18</f>
        <v>838512.75800000003</v>
      </c>
      <c r="J25" s="224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0">
        <f ca="1">IF(TODAY()&gt;=$A26,SUMIFS(Tabla1[Avance_km],Tabla1[Fecha],"&lt;="&amp;EV!$A26,Tabla1[nombre_actividad],EV!C$1),NA())</f>
        <v>72.02200000000002</v>
      </c>
      <c r="D26" s="110">
        <f ca="1">IF(TODAY()&gt;=$A26,SUMIFS(Tabla1[Avance_km],Tabla1[Fecha],"&lt;="&amp;EV!$A26,Tabla1[nombre_actividad],EV!D$1),NA())</f>
        <v>31.548999999999999</v>
      </c>
      <c r="E26" s="110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0"/>
      <c r="I26" s="224">
        <f ca="1">+C26*Catalogo!$F$19+EV!D26*Catalogo!$F$14+EV!E26*Catalogo!$F$16+EV!F26*Catalogo!$F$18</f>
        <v>1007093.4280000001</v>
      </c>
      <c r="J26" s="224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0">
        <f ca="1">IF(TODAY()&gt;=$A27,SUMIFS(Tabla1[Avance_km],Tabla1[Fecha],"&lt;="&amp;EV!$A27,Tabla1[nombre_actividad],EV!C$1),NA())</f>
        <v>72.02200000000002</v>
      </c>
      <c r="D27" s="110">
        <f ca="1">IF(TODAY()&gt;=$A27,SUMIFS(Tabla1[Avance_km],Tabla1[Fecha],"&lt;="&amp;EV!$A27,Tabla1[nombre_actividad],EV!D$1),NA())</f>
        <v>31.548999999999999</v>
      </c>
      <c r="E27" s="110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0"/>
      <c r="I27" s="224">
        <f ca="1">+C27*Catalogo!$F$19+EV!D27*Catalogo!$F$14+EV!E27*Catalogo!$F$16+EV!F27*Catalogo!$F$18</f>
        <v>1225656.9879999999</v>
      </c>
      <c r="J27" s="224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0">
        <f ca="1">IF(TODAY()&gt;=$A28,SUMIFS(Tabla1[Avance_km],Tabla1[Fecha],"&lt;="&amp;EV!$A28,Tabla1[nombre_actividad],EV!C$1),NA())</f>
        <v>72.02200000000002</v>
      </c>
      <c r="D28" s="110">
        <f ca="1">IF(TODAY()&gt;=$A28,SUMIFS(Tabla1[Avance_km],Tabla1[Fecha],"&lt;="&amp;EV!$A28,Tabla1[nombre_actividad],EV!D$1),NA())</f>
        <v>31.548999999999999</v>
      </c>
      <c r="E28" s="110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0"/>
      <c r="I28" s="224">
        <f ca="1">+C28*Catalogo!$F$19+EV!D28*Catalogo!$F$14+EV!E28*Catalogo!$F$16+EV!F28*Catalogo!$F$18</f>
        <v>1355814.4382</v>
      </c>
      <c r="J28" s="224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0">
        <f ca="1">IF(TODAY()&gt;=$A29,SUMIFS(Tabla1[Avance_km],Tabla1[Fecha],"&lt;="&amp;EV!$A29,Tabla1[nombre_actividad],EV!C$1),NA())</f>
        <v>72.02200000000002</v>
      </c>
      <c r="D29" s="110">
        <f ca="1">IF(TODAY()&gt;=$A29,SUMIFS(Tabla1[Avance_km],Tabla1[Fecha],"&lt;="&amp;EV!$A29,Tabla1[nombre_actividad],EV!D$1),NA())</f>
        <v>31.548999999999999</v>
      </c>
      <c r="E29" s="110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0"/>
      <c r="I29" s="224">
        <f ca="1">+C29*Catalogo!$F$19+EV!D29*Catalogo!$F$14+EV!E29*Catalogo!$F$16+EV!F29*Catalogo!$F$18</f>
        <v>1584530.7382</v>
      </c>
      <c r="J29" s="224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0">
        <f ca="1">IF(TODAY()&gt;=$A30,SUMIFS(Tabla1[Avance_km],Tabla1[Fecha],"&lt;="&amp;EV!$A30,Tabla1[nombre_actividad],EV!C$1),NA())</f>
        <v>72.02200000000002</v>
      </c>
      <c r="D30" s="110">
        <f ca="1">IF(TODAY()&gt;=$A30,SUMIFS(Tabla1[Avance_km],Tabla1[Fecha],"&lt;="&amp;EV!$A30,Tabla1[nombre_actividad],EV!D$1),NA())</f>
        <v>31.548999999999999</v>
      </c>
      <c r="E30" s="110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0"/>
      <c r="I30" s="224">
        <f ca="1">+C30*Catalogo!$F$19+EV!D30*Catalogo!$F$14+EV!E30*Catalogo!$F$16+EV!F30*Catalogo!$F$18</f>
        <v>1796316.4832000001</v>
      </c>
      <c r="J30" s="224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0">
        <f ca="1">IF(TODAY()&gt;=$A31,SUMIFS(Tabla1[Avance_km],Tabla1[Fecha],"&lt;="&amp;EV!$A31,Tabla1[nombre_actividad],EV!C$1),NA())</f>
        <v>72.02200000000002</v>
      </c>
      <c r="D31" s="110">
        <f ca="1">IF(TODAY()&gt;=$A31,SUMIFS(Tabla1[Avance_km],Tabla1[Fecha],"&lt;="&amp;EV!$A31,Tabla1[nombre_actividad],EV!D$1),NA())</f>
        <v>31.548999999999999</v>
      </c>
      <c r="E31" s="110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0"/>
      <c r="I31" s="224">
        <f ca="1">+C31*Catalogo!$F$19+EV!D31*Catalogo!$F$14+EV!E31*Catalogo!$F$16+EV!F31*Catalogo!$F$18</f>
        <v>1796316.4832000001</v>
      </c>
      <c r="J31" s="224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0">
        <f ca="1">IF(TODAY()&gt;=$A32,SUMIFS(Tabla1[Avance_km],Tabla1[Fecha],"&lt;="&amp;EV!$A32,Tabla1[nombre_actividad],EV!C$1),NA())</f>
        <v>72.042000000000016</v>
      </c>
      <c r="D32" s="110">
        <f ca="1">IF(TODAY()&gt;=$A32,SUMIFS(Tabla1[Avance_km],Tabla1[Fecha],"&lt;="&amp;EV!$A32,Tabla1[nombre_actividad],EV!D$1),NA())</f>
        <v>31.548999999999999</v>
      </c>
      <c r="E32" s="110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0"/>
      <c r="I32" s="224">
        <f ca="1">+C32*Catalogo!$F$19+EV!D32*Catalogo!$F$14+EV!E32*Catalogo!$F$16+EV!F32*Catalogo!$F$18</f>
        <v>2018486.6132299998</v>
      </c>
      <c r="J32" s="224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0">
        <f ca="1">IF(TODAY()&gt;=$A33,SUMIFS(Tabla1[Avance_km],Tabla1[Fecha],"&lt;="&amp;EV!$A33,Tabla1[nombre_actividad],EV!C$1),NA())</f>
        <v>72.535000000000011</v>
      </c>
      <c r="D33" s="110">
        <f ca="1">IF(TODAY()&gt;=$A33,SUMIFS(Tabla1[Avance_km],Tabla1[Fecha],"&lt;="&amp;EV!$A33,Tabla1[nombre_actividad],EV!D$1),NA())</f>
        <v>31.548999999999999</v>
      </c>
      <c r="E33" s="110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0"/>
      <c r="I33" s="224">
        <f ca="1">+C33*Catalogo!$F$19+EV!D33*Catalogo!$F$14+EV!E33*Catalogo!$F$16+EV!F33*Catalogo!$F$18</f>
        <v>2180836.3220200003</v>
      </c>
      <c r="J33" s="224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0">
        <f ca="1">IF(TODAY()&gt;=$A34,SUMIFS(Tabla1[Avance_km],Tabla1[Fecha],"&lt;="&amp;EV!$A34,Tabla1[nombre_actividad],EV!C$1),NA())</f>
        <v>73.64400000000002</v>
      </c>
      <c r="D34" s="110">
        <f ca="1">IF(TODAY()&gt;=$A34,SUMIFS(Tabla1[Avance_km],Tabla1[Fecha],"&lt;="&amp;EV!$A34,Tabla1[nombre_actividad],EV!D$1),NA())</f>
        <v>31.548999999999999</v>
      </c>
      <c r="E34" s="110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0"/>
      <c r="I34" s="224">
        <f ca="1">+C34*Catalogo!$F$19+EV!D34*Catalogo!$F$14+EV!E34*Catalogo!$F$16+EV!F34*Catalogo!$F$18</f>
        <v>2265476.2182900002</v>
      </c>
      <c r="J34" s="224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0">
        <f ca="1">IF(TODAY()&gt;=$A35,SUMIFS(Tabla1[Avance_km],Tabla1[Fecha],"&lt;="&amp;EV!$A35,Tabla1[nombre_actividad],EV!C$1),NA())</f>
        <v>77.136000000000038</v>
      </c>
      <c r="D35" s="110">
        <f ca="1">IF(TODAY()&gt;=$A35,SUMIFS(Tabla1[Avance_km],Tabla1[Fecha],"&lt;="&amp;EV!$A35,Tabla1[nombre_actividad],EV!D$1),NA())</f>
        <v>31.548999999999999</v>
      </c>
      <c r="E35" s="110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0"/>
      <c r="I35" s="224">
        <f ca="1">+C35*Catalogo!$F$19+EV!D35*Catalogo!$F$14+EV!E35*Catalogo!$F$16+EV!F35*Catalogo!$F$18</f>
        <v>2368530.4988900009</v>
      </c>
      <c r="J35" s="224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186.66649999999998</v>
      </c>
      <c r="N35" s="61" t="s">
        <v>175</v>
      </c>
      <c r="O35" s="74">
        <f ca="1">+$M$35*Catalogo!F19</f>
        <v>421384.69042999996</v>
      </c>
      <c r="P35" s="109">
        <f ca="1">+$M$42-M35*1000</f>
        <v>-86825.499999999956</v>
      </c>
      <c r="Q35" s="74">
        <f ca="1">+$M$35*Catalogo!J19</f>
        <v>298666.39999999997</v>
      </c>
      <c r="R35" s="117"/>
      <c r="S35"/>
      <c r="T35" s="113"/>
      <c r="U35"/>
      <c r="V35"/>
      <c r="W35"/>
      <c r="X35"/>
      <c r="Y35"/>
      <c r="Z35"/>
      <c r="AA35"/>
      <c r="AB35"/>
      <c r="AC35" s="431">
        <f ca="1">+_xlfn.XLOOKUP(TODAY(),A:A,J:J)</f>
        <v>11252292.389239984</v>
      </c>
    </row>
    <row r="36" spans="1:29" x14ac:dyDescent="0.25">
      <c r="A36" s="62">
        <f t="shared" si="0"/>
        <v>45996</v>
      </c>
      <c r="B36" s="62"/>
      <c r="C36" s="110">
        <f ca="1">IF(TODAY()&gt;=$A36,SUMIFS(Tabla1[Avance_km],Tabla1[Fecha],"&lt;="&amp;EV!$A36,Tabla1[nombre_actividad],EV!C$1),NA())</f>
        <v>83.786000000000044</v>
      </c>
      <c r="D36" s="110">
        <f ca="1">IF(TODAY()&gt;=$A36,SUMIFS(Tabla1[Avance_km],Tabla1[Fecha],"&lt;="&amp;EV!$A36,Tabla1[nombre_actividad],EV!D$1),NA())</f>
        <v>31.548999999999999</v>
      </c>
      <c r="E36" s="110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0"/>
      <c r="I36" s="224">
        <f ca="1">+C36*Catalogo!$F$19+EV!D36*Catalogo!$F$14+EV!E36*Catalogo!$F$16+EV!F36*Catalogo!$F$18</f>
        <v>2448754.3418900007</v>
      </c>
      <c r="J36" s="224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182.43749999999989</v>
      </c>
      <c r="N36" s="61" t="s">
        <v>175</v>
      </c>
      <c r="O36" s="74">
        <f ca="1">+$M$36*Catalogo!F14</f>
        <v>2649249.7368749985</v>
      </c>
      <c r="P36" s="109">
        <f ca="1">+$M$42-M36*1000</f>
        <v>-82596.499999999869</v>
      </c>
      <c r="Q36" s="74">
        <f ca="1">+$M$36*Catalogo!J14</f>
        <v>1423012.4999999991</v>
      </c>
      <c r="R36" s="117"/>
      <c r="S36"/>
      <c r="T36"/>
      <c r="U36"/>
      <c r="V36"/>
      <c r="W36"/>
      <c r="X36"/>
      <c r="Y36" s="117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0">
        <f ca="1">IF(TODAY()&gt;=$A37,SUMIFS(Tabla1[Avance_km],Tabla1[Fecha],"&lt;="&amp;EV!$A37,Tabla1[nombre_actividad],EV!C$1),NA())</f>
        <v>83.799000000000035</v>
      </c>
      <c r="D37" s="110">
        <f ca="1">IF(TODAY()&gt;=$A37,SUMIFS(Tabla1[Avance_km],Tabla1[Fecha],"&lt;="&amp;EV!$A37,Tabla1[nombre_actividad],EV!D$1),NA())</f>
        <v>31.548999999999999</v>
      </c>
      <c r="E37" s="110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0"/>
      <c r="I37" s="224">
        <f ca="1">+C37*Catalogo!$F$19+EV!D37*Catalogo!$F$14+EV!E37*Catalogo!$F$16+EV!F37*Catalogo!$F$18</f>
        <v>2481565.9115400007</v>
      </c>
      <c r="J37" s="224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09">
        <f t="shared" ref="P37" ca="1" si="1">+$M$42-M37*1000</f>
        <v>-50483.500000000044</v>
      </c>
      <c r="Q37" s="74">
        <f ca="1">+$M$37*Catalogo!J16</f>
        <v>1232660.9000000004</v>
      </c>
      <c r="R37" s="117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0">
        <f ca="1">IF(TODAY()&gt;=$A38,SUMIFS(Tabla1[Avance_km],Tabla1[Fecha],"&lt;="&amp;EV!$A38,Tabla1[nombre_actividad],EV!C$1),NA())</f>
        <v>83.799000000000035</v>
      </c>
      <c r="D38" s="110">
        <f ca="1">IF(TODAY()&gt;=$A38,SUMIFS(Tabla1[Avance_km],Tabla1[Fecha],"&lt;="&amp;EV!$A38,Tabla1[nombre_actividad],EV!D$1),NA())</f>
        <v>31.548999999999999</v>
      </c>
      <c r="E38" s="110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0"/>
      <c r="I38" s="224">
        <f ca="1">+C38*Catalogo!$F$19+EV!D38*Catalogo!$F$14+EV!E38*Catalogo!$F$16+EV!F38*Catalogo!$F$18</f>
        <v>2481565.9115400007</v>
      </c>
      <c r="J38" s="224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2">
        <f ca="1">O52-M38</f>
        <v>-396</v>
      </c>
      <c r="Q38" s="74">
        <v>0</v>
      </c>
      <c r="R38" s="117"/>
      <c r="S38"/>
      <c r="T38"/>
      <c r="U38"/>
      <c r="V38"/>
      <c r="W38" s="111"/>
      <c r="X38" s="111"/>
      <c r="Y38"/>
      <c r="Z38"/>
      <c r="AA38"/>
      <c r="AB38" s="111"/>
      <c r="AC38"/>
    </row>
    <row r="39" spans="1:29" x14ac:dyDescent="0.25">
      <c r="A39" s="62">
        <f t="shared" si="0"/>
        <v>45999</v>
      </c>
      <c r="B39" s="62"/>
      <c r="C39" s="110">
        <f ca="1">IF(TODAY()&gt;=$A39,SUMIFS(Tabla1[Avance_km],Tabla1[Fecha],"&lt;="&amp;EV!$A39,Tabla1[nombre_actividad],EV!C$1),NA())</f>
        <v>84.593000000000032</v>
      </c>
      <c r="D39" s="110">
        <f ca="1">IF(TODAY()&gt;=$A39,SUMIFS(Tabla1[Avance_km],Tabla1[Fecha],"&lt;="&amp;EV!$A39,Tabla1[nombre_actividad],EV!D$1),NA())</f>
        <v>31.548999999999999</v>
      </c>
      <c r="E39" s="110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0"/>
      <c r="I39" s="224">
        <f ca="1">+C39*Catalogo!$F$19+EV!D39*Catalogo!$F$14+EV!E39*Catalogo!$F$16+EV!F39*Catalogo!$F$18</f>
        <v>2548570.3030200005</v>
      </c>
      <c r="J39" s="224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7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0">
        <f ca="1">IF(TODAY()&gt;=$A40,SUMIFS(Tabla1[Avance_km],Tabla1[Fecha],"&lt;="&amp;EV!$A40,Tabla1[nombre_actividad],EV!C$1),NA())</f>
        <v>84.593000000000032</v>
      </c>
      <c r="D40" s="110">
        <f ca="1">IF(TODAY()&gt;=$A40,SUMIFS(Tabla1[Avance_km],Tabla1[Fecha],"&lt;="&amp;EV!$A40,Tabla1[nombre_actividad],EV!D$1),NA())</f>
        <v>35.848999999999997</v>
      </c>
      <c r="E40" s="110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0"/>
      <c r="I40" s="224">
        <f ca="1">+C40*Catalogo!$F$19+EV!D40*Catalogo!$F$14+EV!E40*Catalogo!$F$16+EV!F40*Catalogo!$F$18</f>
        <v>2694856.3660200005</v>
      </c>
      <c r="J40" s="224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118.7916792004837</v>
      </c>
      <c r="N40" s="61" t="s">
        <v>175</v>
      </c>
      <c r="O40" s="74"/>
      <c r="Q40" s="74"/>
      <c r="R40" s="117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0">
        <f ca="1">IF(TODAY()&gt;=$A41,SUMIFS(Tabla1[Avance_km],Tabla1[Fecha],"&lt;="&amp;EV!$A41,Tabla1[nombre_actividad],EV!C$1),NA())</f>
        <v>84.593000000000032</v>
      </c>
      <c r="D41" s="110">
        <f ca="1">IF(TODAY()&gt;=$A41,SUMIFS(Tabla1[Avance_km],Tabla1[Fecha],"&lt;="&amp;EV!$A41,Tabla1[nombre_actividad],EV!D$1),NA())</f>
        <v>40.148999999999994</v>
      </c>
      <c r="E41" s="110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0"/>
      <c r="I41" s="224">
        <f ca="1">+C41*Catalogo!$F$19+EV!D41*Catalogo!$F$14+EV!E41*Catalogo!$F$16+EV!F41*Catalogo!$F$18</f>
        <v>2841142.4290200006</v>
      </c>
      <c r="J41" s="224">
        <f ca="1">IF(TODAY()&gt;=$A41,SUMIFS(Tabla1[EV],Tabla1[Fecha],"&lt;="&amp;A41,Tabla1[EV],"&gt;0"),NA())</f>
        <v>2841142.4290199997</v>
      </c>
      <c r="O41" s="75">
        <f ca="1">SUM(O35:O40)</f>
        <v>6952945.7292399993</v>
      </c>
      <c r="Q41" s="75">
        <f t="shared" ref="Q41" ca="1" si="2">SUM(Q35:Q40)</f>
        <v>2954339.7999999993</v>
      </c>
      <c r="R41" s="135"/>
      <c r="S41" s="113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0">
        <f ca="1">IF(TODAY()&gt;=$A42,SUMIFS(Tabla1[Avance_km],Tabla1[Fecha],"&lt;="&amp;EV!$A42,Tabla1[nombre_actividad],EV!C$1),NA())</f>
        <v>84.593000000000032</v>
      </c>
      <c r="D42" s="110">
        <f ca="1">IF(TODAY()&gt;=$A42,SUMIFS(Tabla1[Avance_km],Tabla1[Fecha],"&lt;="&amp;EV!$A42,Tabla1[nombre_actividad],EV!D$1),NA())</f>
        <v>44.848999999999997</v>
      </c>
      <c r="E42" s="110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0"/>
      <c r="I42" s="224">
        <f ca="1">+C42*Catalogo!$F$19+EV!D42*Catalogo!$F$14+EV!E42*Catalogo!$F$16+EV!F42*Catalogo!$F$18</f>
        <v>2909393.0560200005</v>
      </c>
      <c r="J42" s="224">
        <f ca="1">IF(TODAY()&gt;=$A42,SUMIFS(Tabla1[EV],Tabla1[Fecha],"&lt;="&amp;A42,Tabla1[EV],"&gt;0"),NA())</f>
        <v>2909393.0560199996</v>
      </c>
      <c r="L42" s="61" t="s">
        <v>177</v>
      </c>
      <c r="M42" s="107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0">
        <f ca="1">IF(TODAY()&gt;=$A43,SUMIFS(Tabla1[Avance_km],Tabla1[Fecha],"&lt;="&amp;EV!$A43,Tabla1[nombre_actividad],EV!C$1),NA())</f>
        <v>84.593000000000032</v>
      </c>
      <c r="D43" s="110">
        <f ca="1">IF(TODAY()&gt;=$A43,SUMIFS(Tabla1[Avance_km],Tabla1[Fecha],"&lt;="&amp;EV!$A43,Tabla1[nombre_actividad],EV!D$1),NA())</f>
        <v>49.573999999999998</v>
      </c>
      <c r="E43" s="110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0"/>
      <c r="I43" s="224">
        <f ca="1">+C43*Catalogo!$F$19+EV!D43*Catalogo!$F$14+EV!E43*Catalogo!$F$16+EV!F43*Catalogo!$F$18</f>
        <v>2978006.7182700005</v>
      </c>
      <c r="J43" s="224">
        <f ca="1">IF(TODAY()&gt;=$A43,SUMIFS(Tabla1[EV],Tabla1[Fecha],"&lt;="&amp;A43,Tabla1[EV],"&gt;0"),NA())</f>
        <v>2978006.7182699996</v>
      </c>
      <c r="O43" s="74">
        <f ca="1">+O41-Q41</f>
        <v>3998605.92924</v>
      </c>
      <c r="Q43" s="135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0">
        <f ca="1">IF(TODAY()&gt;=$A44,SUMIFS(Tabla1[Avance_km],Tabla1[Fecha],"&lt;="&amp;EV!$A44,Tabla1[nombre_actividad],EV!C$1),NA())</f>
        <v>84.593000000000032</v>
      </c>
      <c r="D44" s="110">
        <f ca="1">IF(TODAY()&gt;=$A44,SUMIFS(Tabla1[Avance_km],Tabla1[Fecha],"&lt;="&amp;EV!$A44,Tabla1[nombre_actividad],EV!D$1),NA())</f>
        <v>51.923000000000002</v>
      </c>
      <c r="E44" s="110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0"/>
      <c r="I44" s="224">
        <f ca="1">+C44*Catalogo!$F$19+EV!D44*Catalogo!$F$14+EV!E44*Catalogo!$F$16+EV!F44*Catalogo!$F$18</f>
        <v>3012117.5103600007</v>
      </c>
      <c r="J44" s="224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0">
        <f ca="1">IF(TODAY()&gt;=$A45,SUMIFS(Tabla1[Avance_km],Tabla1[Fecha],"&lt;="&amp;EV!$A45,Tabla1[nombre_actividad],EV!C$1),NA())</f>
        <v>84.593000000000032</v>
      </c>
      <c r="D45" s="110">
        <f ca="1">IF(TODAY()&gt;=$A45,SUMIFS(Tabla1[Avance_km],Tabla1[Fecha],"&lt;="&amp;EV!$A45,Tabla1[nombre_actividad],EV!D$1),NA())</f>
        <v>51.923000000000002</v>
      </c>
      <c r="E45" s="110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0"/>
      <c r="I45" s="224">
        <f ca="1">+C45*Catalogo!$F$19+EV!D45*Catalogo!$F$14+EV!E45*Catalogo!$F$16+EV!F45*Catalogo!$F$18</f>
        <v>3012117.5103600007</v>
      </c>
      <c r="J45" s="224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0">
        <f ca="1">IF(TODAY()&gt;=$A46,SUMIFS(Tabla1[Avance_km],Tabla1[Fecha],"&lt;="&amp;EV!$A46,Tabla1[nombre_actividad],EV!C$1),NA())</f>
        <v>84.593000000000032</v>
      </c>
      <c r="D46" s="110">
        <f ca="1">IF(TODAY()&gt;=$A46,SUMIFS(Tabla1[Avance_km],Tabla1[Fecha],"&lt;="&amp;EV!$A46,Tabla1[nombre_actividad],EV!D$1),NA())</f>
        <v>51.923000000000002</v>
      </c>
      <c r="E46" s="110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0"/>
      <c r="I46" s="224">
        <f ca="1">+C46*Catalogo!$F$19+EV!D46*Catalogo!$F$14+EV!E46*Catalogo!$F$16+EV!F46*Catalogo!$F$18</f>
        <v>3153692.5100800004</v>
      </c>
      <c r="J46" s="224">
        <f ca="1">IF(TODAY()&gt;=$A46,SUMIFS(Tabla1[EV],Tabla1[Fecha],"&lt;="&amp;A46,Tabla1[EV],"&gt;0"),NA())</f>
        <v>3153692.5100799999</v>
      </c>
      <c r="L46" s="475" t="s">
        <v>567</v>
      </c>
      <c r="M46" t="s">
        <v>584</v>
      </c>
      <c r="N46"/>
    </row>
    <row r="47" spans="1:29" x14ac:dyDescent="0.25">
      <c r="A47" s="62">
        <f t="shared" si="0"/>
        <v>46007</v>
      </c>
      <c r="B47" s="62"/>
      <c r="C47" s="110">
        <f ca="1">IF(TODAY()&gt;=$A47,SUMIFS(Tabla1[Avance_km],Tabla1[Fecha],"&lt;="&amp;EV!$A47,Tabla1[nombre_actividad],EV!C$1),NA())</f>
        <v>84.593000000000032</v>
      </c>
      <c r="D47" s="110">
        <f ca="1">IF(TODAY()&gt;=$A47,SUMIFS(Tabla1[Avance_km],Tabla1[Fecha],"&lt;="&amp;EV!$A47,Tabla1[nombre_actividad],EV!D$1),NA())</f>
        <v>52.207999999999998</v>
      </c>
      <c r="E47" s="110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0"/>
      <c r="I47" s="224">
        <f ca="1">+C47*Catalogo!$F$19+EV!D47*Catalogo!$F$14+EV!E47*Catalogo!$F$16+EV!F47*Catalogo!$F$18</f>
        <v>3157831.1119300006</v>
      </c>
      <c r="J47" s="224">
        <f ca="1">IF(TODAY()&gt;=$A47,SUMIFS(Tabla1[EV],Tabla1[Fecha],"&lt;="&amp;A47,Tabla1[EV],"&gt;0"),NA())</f>
        <v>3157831.1119299997</v>
      </c>
      <c r="L47" s="95" t="s">
        <v>569</v>
      </c>
      <c r="M47" s="223">
        <v>3334945.4827499995</v>
      </c>
      <c r="N47"/>
    </row>
    <row r="48" spans="1:29" x14ac:dyDescent="0.25">
      <c r="A48" s="62">
        <f t="shared" si="0"/>
        <v>46008</v>
      </c>
      <c r="B48" s="62"/>
      <c r="C48" s="110">
        <f ca="1">IF(TODAY()&gt;=$A48,SUMIFS(Tabla1[Avance_km],Tabla1[Fecha],"&lt;="&amp;EV!$A48,Tabla1[nombre_actividad],EV!C$1),NA())</f>
        <v>88.205000000000027</v>
      </c>
      <c r="D48" s="110">
        <f ca="1">IF(TODAY()&gt;=$A48,SUMIFS(Tabla1[Avance_km],Tabla1[Fecha],"&lt;="&amp;EV!$A48,Tabla1[nombre_actividad],EV!D$1),NA())</f>
        <v>52.572000000000003</v>
      </c>
      <c r="E48" s="110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0"/>
      <c r="I48" s="224">
        <f ca="1">+C48*Catalogo!$F$19+EV!D48*Catalogo!$F$14+EV!E48*Catalogo!$F$16+EV!F48*Catalogo!$F$18</f>
        <v>3171270.7062100004</v>
      </c>
      <c r="J48" s="224">
        <f ca="1">IF(TODAY()&gt;=$A48,SUMIFS(Tabla1[EV],Tabla1[Fecha],"&lt;="&amp;A48,Tabla1[EV],"&gt;0"),NA())</f>
        <v>3171270.706209999</v>
      </c>
      <c r="L48" s="476" t="s">
        <v>582</v>
      </c>
      <c r="M48" s="223">
        <v>1796316.4831999999</v>
      </c>
      <c r="N48"/>
    </row>
    <row r="49" spans="1:97" x14ac:dyDescent="0.25">
      <c r="A49" s="62">
        <f t="shared" si="0"/>
        <v>46009</v>
      </c>
      <c r="B49" s="62"/>
      <c r="C49" s="110">
        <f ca="1">IF(TODAY()&gt;=$A49,SUMIFS(Tabla1[Avance_km],Tabla1[Fecha],"&lt;="&amp;EV!$A49,Tabla1[nombre_actividad],EV!C$1),NA())</f>
        <v>93.205000000000027</v>
      </c>
      <c r="D49" s="110">
        <f ca="1">IF(TODAY()&gt;=$A49,SUMIFS(Tabla1[Avance_km],Tabla1[Fecha],"&lt;="&amp;EV!$A49,Tabla1[nombre_actividad],EV!D$1),NA())</f>
        <v>52.572000000000003</v>
      </c>
      <c r="E49" s="110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0"/>
      <c r="I49" s="224">
        <f ca="1">+C49*Catalogo!$F$19+EV!D49*Catalogo!$F$14+EV!E49*Catalogo!$F$16+EV!F49*Catalogo!$F$18</f>
        <v>3182557.8062100005</v>
      </c>
      <c r="J49" s="224">
        <f ca="1">IF(TODAY()&gt;=$A49,SUMIFS(Tabla1[EV],Tabla1[Fecha],"&lt;="&amp;A49,Tabla1[EV],"&gt;0"),NA())</f>
        <v>3182557.8062099991</v>
      </c>
      <c r="L49" s="476" t="s">
        <v>583</v>
      </c>
      <c r="M49" s="223">
        <v>3334945.4827499995</v>
      </c>
      <c r="N49"/>
    </row>
    <row r="50" spans="1:97" x14ac:dyDescent="0.25">
      <c r="A50" s="62">
        <f t="shared" si="0"/>
        <v>46010</v>
      </c>
      <c r="B50" s="62"/>
      <c r="C50" s="110">
        <f ca="1">IF(TODAY()&gt;=$A50,SUMIFS(Tabla1[Avance_km],Tabla1[Fecha],"&lt;="&amp;EV!$A50,Tabla1[nombre_actividad],EV!C$1),NA())</f>
        <v>93.205000000000027</v>
      </c>
      <c r="D50" s="110">
        <f ca="1">IF(TODAY()&gt;=$A50,SUMIFS(Tabla1[Avance_km],Tabla1[Fecha],"&lt;="&amp;EV!$A50,Tabla1[nombre_actividad],EV!D$1),NA())</f>
        <v>58.344000000000001</v>
      </c>
      <c r="E50" s="110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0"/>
      <c r="I50" s="224">
        <f ca="1">+C50*Catalogo!$F$19+EV!D50*Catalogo!$F$14+EV!E50*Catalogo!$F$16+EV!F50*Catalogo!$F$18</f>
        <v>3266375.3847300005</v>
      </c>
      <c r="J50" s="224">
        <f ca="1">IF(TODAY()&gt;=$A50,SUMIFS(Tabla1[EV],Tabla1[Fecha],"&lt;="&amp;A50,Tabla1[EV],"&gt;0"),NA())</f>
        <v>3266375.3847299996</v>
      </c>
      <c r="L50" s="95" t="s">
        <v>570</v>
      </c>
      <c r="M50" s="223" t="e">
        <v>#N/A</v>
      </c>
      <c r="N50"/>
    </row>
    <row r="51" spans="1:97" x14ac:dyDescent="0.25">
      <c r="A51" s="62">
        <f t="shared" si="0"/>
        <v>46011</v>
      </c>
      <c r="B51" s="62"/>
      <c r="C51" s="110">
        <f ca="1">IF(TODAY()&gt;=$A51,SUMIFS(Tabla1[Avance_km],Tabla1[Fecha],"&lt;="&amp;EV!$A51,Tabla1[nombre_actividad],EV!C$1),NA())</f>
        <v>93.205000000000027</v>
      </c>
      <c r="D51" s="110">
        <f ca="1">IF(TODAY()&gt;=$A51,SUMIFS(Tabla1[Avance_km],Tabla1[Fecha],"&lt;="&amp;EV!$A51,Tabla1[nombre_actividad],EV!D$1),NA())</f>
        <v>60.515999999999998</v>
      </c>
      <c r="E51" s="110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0"/>
      <c r="I51" s="224">
        <f ca="1">+C51*Catalogo!$F$19+EV!D51*Catalogo!$F$14+EV!E51*Catalogo!$F$16+EV!F51*Catalogo!$F$18</f>
        <v>3297915.8872500006</v>
      </c>
      <c r="J51" s="224">
        <f ca="1">IF(TODAY()&gt;=$A51,SUMIFS(Tabla1[EV],Tabla1[Fecha],"&lt;="&amp;A51,Tabla1[EV],"&gt;0"),NA())</f>
        <v>3297915.8872499997</v>
      </c>
      <c r="L51" s="476" t="s">
        <v>572</v>
      </c>
      <c r="M51" s="223">
        <v>4698158.5607600007</v>
      </c>
      <c r="N51"/>
    </row>
    <row r="52" spans="1:97" x14ac:dyDescent="0.25">
      <c r="A52" s="62">
        <f t="shared" si="0"/>
        <v>46012</v>
      </c>
      <c r="B52" s="62"/>
      <c r="C52" s="110">
        <f ca="1">IF(TODAY()&gt;=$A52,SUMIFS(Tabla1[Avance_km],Tabla1[Fecha],"&lt;="&amp;EV!$A52,Tabla1[nombre_actividad],EV!C$1),NA())</f>
        <v>93.205000000000027</v>
      </c>
      <c r="D52" s="110">
        <f ca="1">IF(TODAY()&gt;=$A52,SUMIFS(Tabla1[Avance_km],Tabla1[Fecha],"&lt;="&amp;EV!$A52,Tabla1[nombre_actividad],EV!D$1),NA())</f>
        <v>60.515999999999998</v>
      </c>
      <c r="E52" s="110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0"/>
      <c r="I52" s="224">
        <f ca="1">+C52*Catalogo!$F$19+EV!D52*Catalogo!$F$14+EV!E52*Catalogo!$F$16+EV!F52*Catalogo!$F$18</f>
        <v>3297915.8872500006</v>
      </c>
      <c r="J52" s="224">
        <f ca="1">IF(TODAY()&gt;=$A52,SUMIFS(Tabla1[EV],Tabla1[Fecha],"&lt;="&amp;A52,Tabla1[EV],"&gt;0"),NA())</f>
        <v>3297915.8872499997</v>
      </c>
      <c r="L52" s="476" t="s">
        <v>573</v>
      </c>
      <c r="M52" s="223">
        <v>4782002.5607600007</v>
      </c>
      <c r="N52"/>
    </row>
    <row r="53" spans="1:97" x14ac:dyDescent="0.25">
      <c r="A53" s="62">
        <f t="shared" si="0"/>
        <v>46013</v>
      </c>
      <c r="B53" s="322">
        <v>12000000</v>
      </c>
      <c r="C53" s="110">
        <f ca="1">IF(TODAY()&gt;=$A53,SUMIFS(Tabla1[Avance_km],Tabla1[Fecha],"&lt;="&amp;EV!$A53,Tabla1[nombre_actividad],EV!C$1),NA())</f>
        <v>93.205000000000027</v>
      </c>
      <c r="D53" s="110">
        <f ca="1">IF(TODAY()&gt;=$A53,SUMIFS(Tabla1[Avance_km],Tabla1[Fecha],"&lt;="&amp;EV!$A53,Tabla1[nombre_actividad],EV!D$1),NA())</f>
        <v>63.065999999999995</v>
      </c>
      <c r="E53" s="110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0"/>
      <c r="I53" s="224">
        <f ca="1">+C53*Catalogo!$F$19+EV!D53*Catalogo!$F$14+EV!E53*Catalogo!$F$16+EV!F53*Catalogo!$F$18</f>
        <v>3334945.4827500004</v>
      </c>
      <c r="J53" s="224">
        <f ca="1">IF(TODAY()&gt;=$A53,SUMIFS(Tabla1[EV],Tabla1[Fecha],"&lt;="&amp;A53,Tabla1[EV],"&gt;0"),NA())</f>
        <v>3334945.4827499995</v>
      </c>
      <c r="L53" s="476" t="s">
        <v>574</v>
      </c>
      <c r="M53" s="223">
        <v>6294812.4527599998</v>
      </c>
      <c r="N53"/>
    </row>
    <row r="54" spans="1:97" x14ac:dyDescent="0.25">
      <c r="A54" s="62">
        <f t="shared" si="0"/>
        <v>46014</v>
      </c>
      <c r="B54" s="322">
        <v>12000000</v>
      </c>
      <c r="C54" s="110">
        <f ca="1">IF(TODAY()&gt;=$A54,SUMIFS(Tabla1[Avance_km],Tabla1[Fecha],"&lt;="&amp;EV!$A54,Tabla1[nombre_actividad],EV!C$1),NA())</f>
        <v>93.205000000000027</v>
      </c>
      <c r="D54" s="110">
        <f ca="1">IF(TODAY()&gt;=$A54,SUMIFS(Tabla1[Avance_km],Tabla1[Fecha],"&lt;="&amp;EV!$A54,Tabla1[nombre_actividad],EV!D$1),NA())</f>
        <v>63.065999999999995</v>
      </c>
      <c r="E54" s="110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0"/>
      <c r="I54" s="224">
        <f ca="1">+C54*Catalogo!$F$19+EV!D54*Catalogo!$F$14+EV!E54*Catalogo!$F$16+EV!F54*Catalogo!$F$18</f>
        <v>3334945.4827500004</v>
      </c>
      <c r="J54" s="224">
        <f ca="1">IF(TODAY()&gt;=$A54,SUMIFS(Tabla1[EV],Tabla1[Fecha],"&lt;="&amp;A54,Tabla1[EV],"&gt;0"),NA())</f>
        <v>3334945.4827499995</v>
      </c>
      <c r="L54" s="476" t="s">
        <v>575</v>
      </c>
      <c r="M54" s="223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2">
        <v>12000000</v>
      </c>
      <c r="C55" s="110">
        <f ca="1">IF(TODAY()&gt;=$A55,SUMIFS(Tabla1[Avance_km],Tabla1[Fecha],"&lt;="&amp;EV!$A55,Tabla1[nombre_actividad],EV!C$1),NA())</f>
        <v>93.205000000000027</v>
      </c>
      <c r="D55" s="110">
        <f ca="1">IF(TODAY()&gt;=$A55,SUMIFS(Tabla1[Avance_km],Tabla1[Fecha],"&lt;="&amp;EV!$A55,Tabla1[nombre_actividad],EV!D$1),NA())</f>
        <v>63.065999999999995</v>
      </c>
      <c r="E55" s="110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0"/>
      <c r="I55" s="224">
        <f ca="1">+C55*Catalogo!$F$19+EV!D55*Catalogo!$F$14+EV!E55*Catalogo!$F$16+EV!F55*Catalogo!$F$18</f>
        <v>3334945.4827500004</v>
      </c>
      <c r="J55" s="224">
        <f ca="1">IF(TODAY()&gt;=$A55,SUMIFS(Tabla1[EV],Tabla1[Fecha],"&lt;="&amp;A55,Tabla1[EV],"&gt;0"),NA())</f>
        <v>3334945.4827499995</v>
      </c>
      <c r="L55" s="476" t="s">
        <v>576</v>
      </c>
      <c r="M55" s="223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2">
        <v>12000000</v>
      </c>
      <c r="C56" s="110">
        <f ca="1">IF(TODAY()&gt;=$A56,SUMIFS(Tabla1[Avance_km],Tabla1[Fecha],"&lt;="&amp;EV!$A56,Tabla1[nombre_actividad],EV!C$1),NA())</f>
        <v>93.205000000000027</v>
      </c>
      <c r="D56" s="110">
        <f ca="1">IF(TODAY()&gt;=$A56,SUMIFS(Tabla1[Avance_km],Tabla1[Fecha],"&lt;="&amp;EV!$A56,Tabla1[nombre_actividad],EV!D$1),NA())</f>
        <v>63.065999999999995</v>
      </c>
      <c r="E56" s="110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0"/>
      <c r="I56" s="224">
        <f ca="1">+C56*Catalogo!$F$19+EV!D56*Catalogo!$F$14+EV!E56*Catalogo!$F$16+EV!F56*Catalogo!$F$18</f>
        <v>3334945.4827500004</v>
      </c>
      <c r="J56" s="224">
        <f ca="1">IF(TODAY()&gt;=$A56,SUMIFS(Tabla1[EV],Tabla1[Fecha],"&lt;="&amp;A56,Tabla1[EV],"&gt;0"),NA())</f>
        <v>3334945.4827499995</v>
      </c>
      <c r="L56" s="476" t="s">
        <v>577</v>
      </c>
      <c r="M56" s="223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2">
        <v>12000000</v>
      </c>
      <c r="C57" s="110">
        <f ca="1">IF(TODAY()&gt;=$A57,SUMIFS(Tabla1[Avance_km],Tabla1[Fecha],"&lt;="&amp;EV!$A57,Tabla1[nombre_actividad],EV!C$1),NA())</f>
        <v>93.205000000000027</v>
      </c>
      <c r="D57" s="110">
        <f ca="1">IF(TODAY()&gt;=$A57,SUMIFS(Tabla1[Avance_km],Tabla1[Fecha],"&lt;="&amp;EV!$A57,Tabla1[nombre_actividad],EV!D$1),NA())</f>
        <v>63.065999999999995</v>
      </c>
      <c r="E57" s="110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0"/>
      <c r="I57" s="224">
        <f ca="1">+C57*Catalogo!$F$19+EV!D57*Catalogo!$F$14+EV!E57*Catalogo!$F$16+EV!F57*Catalogo!$F$18</f>
        <v>3334945.4827500004</v>
      </c>
      <c r="J57" s="224">
        <f ca="1">IF(TODAY()&gt;=$A57,SUMIFS(Tabla1[EV],Tabla1[Fecha],"&lt;="&amp;A57,Tabla1[EV],"&gt;0"),NA())</f>
        <v>3334945.4827499995</v>
      </c>
      <c r="L57" s="476" t="s">
        <v>578</v>
      </c>
      <c r="M57" s="223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2">
        <v>12000000</v>
      </c>
      <c r="C58" s="110">
        <f ca="1">IF(TODAY()&gt;=$A58,SUMIFS(Tabla1[Avance_km],Tabla1[Fecha],"&lt;="&amp;EV!$A58,Tabla1[nombre_actividad],EV!C$1),NA())</f>
        <v>93.205000000000027</v>
      </c>
      <c r="D58" s="110">
        <f ca="1">IF(TODAY()&gt;=$A58,SUMIFS(Tabla1[Avance_km],Tabla1[Fecha],"&lt;="&amp;EV!$A58,Tabla1[nombre_actividad],EV!D$1),NA())</f>
        <v>63.065999999999995</v>
      </c>
      <c r="E58" s="110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0"/>
      <c r="I58" s="224">
        <f ca="1">+C58*Catalogo!$F$19+EV!D58*Catalogo!$F$14+EV!E58*Catalogo!$F$16+EV!F58*Catalogo!$F$18</f>
        <v>3334945.4827500004</v>
      </c>
      <c r="J58" s="224">
        <f ca="1">IF(TODAY()&gt;=$A58,SUMIFS(Tabla1[EV],Tabla1[Fecha],"&lt;="&amp;A58,Tabla1[EV],"&gt;0"),NA())</f>
        <v>3334945.4827499995</v>
      </c>
      <c r="L58" s="476" t="s">
        <v>579</v>
      </c>
      <c r="M58" s="223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2">
        <v>12000000</v>
      </c>
      <c r="C59" s="110">
        <f ca="1">IF(TODAY()&gt;=$A59,SUMIFS(Tabla1[Avance_km],Tabla1[Fecha],"&lt;="&amp;EV!$A59,Tabla1[nombre_actividad],EV!C$1),NA())</f>
        <v>93.205000000000027</v>
      </c>
      <c r="D59" s="110">
        <f ca="1">IF(TODAY()&gt;=$A59,SUMIFS(Tabla1[Avance_km],Tabla1[Fecha],"&lt;="&amp;EV!$A59,Tabla1[nombre_actividad],EV!D$1),NA())</f>
        <v>63.065999999999995</v>
      </c>
      <c r="E59" s="110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0"/>
      <c r="I59" s="224">
        <f ca="1">+C59*Catalogo!$F$19+EV!D59*Catalogo!$F$14+EV!E59*Catalogo!$F$16+EV!F59*Catalogo!$F$18</f>
        <v>3334945.4827500004</v>
      </c>
      <c r="J59" s="224">
        <f ca="1">IF(TODAY()&gt;=$A59,SUMIFS(Tabla1[EV],Tabla1[Fecha],"&lt;="&amp;A59,Tabla1[EV],"&gt;0"),NA())</f>
        <v>3334945.4827499995</v>
      </c>
      <c r="L59" s="476" t="s">
        <v>580</v>
      </c>
      <c r="M59" s="223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2">
        <v>12000000</v>
      </c>
      <c r="C60" s="110">
        <f ca="1">IF(TODAY()&gt;=$A60,SUMIFS(Tabla1[Avance_km],Tabla1[Fecha],"&lt;="&amp;EV!$A60,Tabla1[nombre_actividad],EV!C$1),NA())</f>
        <v>93.205000000000027</v>
      </c>
      <c r="D60" s="110">
        <f ca="1">IF(TODAY()&gt;=$A60,SUMIFS(Tabla1[Avance_km],Tabla1[Fecha],"&lt;="&amp;EV!$A60,Tabla1[nombre_actividad],EV!D$1),NA())</f>
        <v>63.065999999999995</v>
      </c>
      <c r="E60" s="110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0"/>
      <c r="I60" s="224">
        <f ca="1">+C60*Catalogo!$F$19+EV!D60*Catalogo!$F$14+EV!E60*Catalogo!$F$16+EV!F60*Catalogo!$F$18</f>
        <v>3334945.4827500004</v>
      </c>
      <c r="J60" s="224">
        <f ca="1">IF(TODAY()&gt;=$A60,SUMIFS(Tabla1[EV],Tabla1[Fecha],"&lt;="&amp;A60,Tabla1[EV],"&gt;0"),NA())</f>
        <v>3334945.4827499995</v>
      </c>
      <c r="L60" s="476" t="s">
        <v>581</v>
      </c>
      <c r="M60" s="223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2">
        <v>12000000</v>
      </c>
      <c r="C61" s="110">
        <f ca="1">IF(TODAY()&gt;=$A61,SUMIFS(Tabla1[Avance_km],Tabla1[Fecha],"&lt;="&amp;EV!$A61,Tabla1[nombre_actividad],EV!C$1),NA())</f>
        <v>93.205000000000027</v>
      </c>
      <c r="D61" s="110">
        <f ca="1">IF(TODAY()&gt;=$A61,SUMIFS(Tabla1[Avance_km],Tabla1[Fecha],"&lt;="&amp;EV!$A61,Tabla1[nombre_actividad],EV!D$1),NA())</f>
        <v>63.065999999999995</v>
      </c>
      <c r="E61" s="110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0"/>
      <c r="I61" s="224">
        <f ca="1">+C61*Catalogo!$F$19+EV!D61*Catalogo!$F$14+EV!E61*Catalogo!$F$16+EV!F61*Catalogo!$F$18</f>
        <v>3334945.4827500004</v>
      </c>
      <c r="J61" s="224">
        <f ca="1">IF(TODAY()&gt;=$A61,SUMIFS(Tabla1[EV],Tabla1[Fecha],"&lt;="&amp;A61,Tabla1[EV],"&gt;0"),NA())</f>
        <v>3334945.4827499995</v>
      </c>
      <c r="L61" s="476" t="s">
        <v>582</v>
      </c>
      <c r="M61" s="223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2">
        <v>12000000</v>
      </c>
      <c r="C62" s="110">
        <f ca="1">IF(TODAY()&gt;=$A62,SUMIFS(Tabla1[Avance_km],Tabla1[Fecha],"&lt;="&amp;EV!$A62,Tabla1[nombre_actividad],EV!C$1),NA())</f>
        <v>93.205000000000027</v>
      </c>
      <c r="D62" s="110">
        <f ca="1">IF(TODAY()&gt;=$A62,SUMIFS(Tabla1[Avance_km],Tabla1[Fecha],"&lt;="&amp;EV!$A62,Tabla1[nombre_actividad],EV!D$1),NA())</f>
        <v>63.065999999999995</v>
      </c>
      <c r="E62" s="110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0"/>
      <c r="I62" s="224">
        <f ca="1">+C62*Catalogo!$F$19+EV!D62*Catalogo!$F$14+EV!E62*Catalogo!$F$16+EV!F62*Catalogo!$F$18</f>
        <v>3334945.4827500004</v>
      </c>
      <c r="J62" s="224">
        <f ca="1">IF(TODAY()&gt;=$A62,SUMIFS(Tabla1[EV],Tabla1[Fecha],"&lt;="&amp;A62,Tabla1[EV],"&gt;0"),NA())</f>
        <v>3334945.4827499995</v>
      </c>
      <c r="L62" s="476" t="s">
        <v>583</v>
      </c>
      <c r="M62" s="223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2">
        <v>12000000</v>
      </c>
      <c r="C63" s="110">
        <f ca="1">IF(TODAY()&gt;=$A63,SUMIFS(Tabla1[Avance_km],Tabla1[Fecha],"&lt;="&amp;EV!$A63,Tabla1[nombre_actividad],EV!C$1),NA())</f>
        <v>93.205000000000027</v>
      </c>
      <c r="D63" s="110">
        <f ca="1">IF(TODAY()&gt;=$A63,SUMIFS(Tabla1[Avance_km],Tabla1[Fecha],"&lt;="&amp;EV!$A63,Tabla1[nombre_actividad],EV!D$1),NA())</f>
        <v>63.065999999999995</v>
      </c>
      <c r="E63" s="110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0"/>
      <c r="I63" s="224">
        <f ca="1">+C63*Catalogo!$F$19+EV!D63*Catalogo!$F$14+EV!E63*Catalogo!$F$16+EV!F63*Catalogo!$F$18</f>
        <v>3334945.4827500004</v>
      </c>
      <c r="J63" s="224">
        <f ca="1">IF(TODAY()&gt;=$A63,SUMIFS(Tabla1[EV],Tabla1[Fecha],"&lt;="&amp;A63,Tabla1[EV],"&gt;0"),NA())</f>
        <v>3334945.4827499995</v>
      </c>
      <c r="L63" s="95" t="s">
        <v>571</v>
      </c>
      <c r="M63" s="223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2">
        <v>12000000</v>
      </c>
      <c r="C64" s="110">
        <f ca="1">IF(TODAY()&gt;=$A64,SUMIFS(Tabla1[Avance_km],Tabla1[Fecha],"&lt;="&amp;EV!$A64,Tabla1[nombre_actividad],EV!C$1),NA())</f>
        <v>93.205000000000027</v>
      </c>
      <c r="D64" s="110">
        <f ca="1">IF(TODAY()&gt;=$A64,SUMIFS(Tabla1[Avance_km],Tabla1[Fecha],"&lt;="&amp;EV!$A64,Tabla1[nombre_actividad],EV!D$1),NA())</f>
        <v>63.065999999999995</v>
      </c>
      <c r="E64" s="110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0"/>
      <c r="I64" s="224">
        <f ca="1">+C64*Catalogo!$F$19+EV!D64*Catalogo!$F$14+EV!E64*Catalogo!$F$16+EV!F64*Catalogo!$F$18</f>
        <v>3334945.4827500004</v>
      </c>
      <c r="J64" s="224">
        <f ca="1">IF(TODAY()&gt;=$A64,SUMIFS(Tabla1[EV],Tabla1[Fecha],"&lt;="&amp;A64,Tabla1[EV],"&gt;0"),NA())</f>
        <v>3334945.4827499995</v>
      </c>
      <c r="L64" s="95" t="s">
        <v>568</v>
      </c>
      <c r="M64" s="223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2">
        <v>12000000</v>
      </c>
      <c r="C65" s="110">
        <f ca="1">IF(TODAY()&gt;=$A65,SUMIFS(Tabla1[Avance_km],Tabla1[Fecha],"&lt;="&amp;EV!$A65,Tabla1[nombre_actividad],EV!C$1),NA())</f>
        <v>93.205000000000027</v>
      </c>
      <c r="D65" s="110">
        <f ca="1">IF(TODAY()&gt;=$A65,SUMIFS(Tabla1[Avance_km],Tabla1[Fecha],"&lt;="&amp;EV!$A65,Tabla1[nombre_actividad],EV!D$1),NA())</f>
        <v>63.065999999999995</v>
      </c>
      <c r="E65" s="110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0"/>
      <c r="I65" s="224">
        <f ca="1">+C65*Catalogo!$F$19+EV!D65*Catalogo!$F$14+EV!E65*Catalogo!$F$16+EV!F65*Catalogo!$F$18</f>
        <v>3334945.4827500004</v>
      </c>
      <c r="J65" s="224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2">
        <v>12000000</v>
      </c>
      <c r="C66" s="110">
        <f ca="1">IF(TODAY()&gt;=$A66,SUMIFS(Tabla1[Avance_km],Tabla1[Fecha],"&lt;="&amp;EV!$A66,Tabla1[nombre_actividad],EV!C$1),NA())</f>
        <v>93.205000000000027</v>
      </c>
      <c r="D66" s="110">
        <f ca="1">IF(TODAY()&gt;=$A66,SUMIFS(Tabla1[Avance_km],Tabla1[Fecha],"&lt;="&amp;EV!$A66,Tabla1[nombre_actividad],EV!D$1),NA())</f>
        <v>63.065999999999995</v>
      </c>
      <c r="E66" s="110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0"/>
      <c r="I66" s="224">
        <f ca="1">+C66*Catalogo!$F$19+EV!D66*Catalogo!$F$14+EV!E66*Catalogo!$F$16+EV!F66*Catalogo!$F$18</f>
        <v>3334945.4827500004</v>
      </c>
      <c r="J66" s="224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2">
        <v>12000000</v>
      </c>
      <c r="C67" s="110">
        <f ca="1">IF(TODAY()&gt;=$A67,SUMIFS(Tabla1[Avance_km],Tabla1[Fecha],"&lt;="&amp;EV!$A67,Tabla1[nombre_actividad],EV!C$1),NA())</f>
        <v>95.355000000000032</v>
      </c>
      <c r="D67" s="110">
        <f ca="1">IF(TODAY()&gt;=$A67,SUMIFS(Tabla1[Avance_km],Tabla1[Fecha],"&lt;="&amp;EV!$A67,Tabla1[nombre_actividad],EV!D$1),NA())</f>
        <v>63.506</v>
      </c>
      <c r="E67" s="110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0"/>
      <c r="I67" s="224">
        <f ca="1">+C67*Catalogo!$F$19+EV!D67*Catalogo!$F$14+EV!E67*Catalogo!$F$16+EV!F67*Catalogo!$F$18</f>
        <v>3346188.3561500004</v>
      </c>
      <c r="J67" s="224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0">
        <f ca="1">IF(TODAY()&gt;=$A68,SUMIFS(Tabla1[Avance_km],Tabla1[Fecha],"&lt;="&amp;EV!$A68,Tabla1[nombre_actividad],EV!C$1),NA())</f>
        <v>99.53900000000003</v>
      </c>
      <c r="D68" s="110">
        <f ca="1">IF(TODAY()&gt;=$A68,SUMIFS(Tabla1[Avance_km],Tabla1[Fecha],"&lt;="&amp;EV!$A68,Tabla1[nombre_actividad],EV!D$1),NA())</f>
        <v>68.281999999999996</v>
      </c>
      <c r="E68" s="110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0"/>
      <c r="I68" s="224">
        <f ca="1">+C68*Catalogo!$F$19+EV!D68*Catalogo!$F$14+EV!E68*Catalogo!$F$16+EV!F68*Catalogo!$F$18</f>
        <v>3424987.6555900006</v>
      </c>
      <c r="J68" s="224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0">
        <f ca="1">IF(TODAY()&gt;=$A69,SUMIFS(Tabla1[Avance_km],Tabla1[Fecha],"&lt;="&amp;EV!$A69,Tabla1[nombre_actividad],EV!C$1),NA())</f>
        <v>99.53900000000003</v>
      </c>
      <c r="D69" s="110">
        <f ca="1">IF(TODAY()&gt;=$A69,SUMIFS(Tabla1[Avance_km],Tabla1[Fecha],"&lt;="&amp;EV!$A69,Tabla1[nombre_actividad],EV!D$1),NA())</f>
        <v>68.281999999999996</v>
      </c>
      <c r="E69" s="110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0"/>
      <c r="I69" s="224">
        <f ca="1">+C69*Catalogo!$F$19+EV!D69*Catalogo!$F$14+EV!E69*Catalogo!$F$16+EV!F69*Catalogo!$F$18</f>
        <v>3578411.7035900005</v>
      </c>
      <c r="J69" s="224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0">
        <f ca="1">IF(TODAY()&gt;=$A70,SUMIFS(Tabla1[Avance_km],Tabla1[Fecha],"&lt;="&amp;EV!$A70,Tabla1[nombre_actividad],EV!C$1),NA())</f>
        <v>99.53900000000003</v>
      </c>
      <c r="D70" s="110">
        <f ca="1">IF(TODAY()&gt;=$A70,SUMIFS(Tabla1[Avance_km],Tabla1[Fecha],"&lt;="&amp;EV!$A70,Tabla1[nombre_actividad],EV!D$1),NA())</f>
        <v>68.281999999999996</v>
      </c>
      <c r="E70" s="110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0"/>
      <c r="I70" s="224">
        <f ca="1">+C70*Catalogo!$F$19+EV!D70*Catalogo!$F$14+EV!E70*Catalogo!$F$16+EV!F70*Catalogo!$F$18</f>
        <v>3692639.4340100004</v>
      </c>
      <c r="J70" s="224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0">
        <f ca="1">IF(TODAY()&gt;=$A71,SUMIFS(Tabla1[Avance_km],Tabla1[Fecha],"&lt;="&amp;EV!$A71,Tabla1[nombre_actividad],EV!C$1),NA())</f>
        <v>99.826000000000036</v>
      </c>
      <c r="D71" s="110">
        <f ca="1">IF(TODAY()&gt;=$A71,SUMIFS(Tabla1[Avance_km],Tabla1[Fecha],"&lt;="&amp;EV!$A71,Tabla1[nombre_actividad],EV!D$1),NA())</f>
        <v>70.242999999999995</v>
      </c>
      <c r="E71" s="110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0"/>
      <c r="I71" s="224">
        <f ca="1">+C71*Catalogo!$F$19+EV!D71*Catalogo!$F$14+EV!E71*Catalogo!$F$16+EV!F71*Catalogo!$F$18</f>
        <v>3759027.7985600005</v>
      </c>
      <c r="J71" s="224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0">
        <f ca="1">IF(TODAY()&gt;=$A72,SUMIFS(Tabla1[Avance_km],Tabla1[Fecha],"&lt;="&amp;EV!$A72,Tabla1[nombre_actividad],EV!C$1),NA())</f>
        <v>99.826000000000036</v>
      </c>
      <c r="D72" s="110">
        <f ca="1">IF(TODAY()&gt;=$A72,SUMIFS(Tabla1[Avance_km],Tabla1[Fecha],"&lt;="&amp;EV!$A72,Tabla1[nombre_actividad],EV!D$1),NA())</f>
        <v>71.438999999999993</v>
      </c>
      <c r="E72" s="110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0"/>
      <c r="I72" s="224">
        <f ca="1">+C72*Catalogo!$F$19+EV!D72*Catalogo!$F$14+EV!E72*Catalogo!$F$16+EV!F72*Catalogo!$F$18</f>
        <v>3776395.4049200006</v>
      </c>
      <c r="J72" s="224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0">
        <f ca="1">IF(TODAY()&gt;=$A73,SUMIFS(Tabla1[Avance_km],Tabla1[Fecha],"&lt;="&amp;EV!$A73,Tabla1[nombre_actividad],EV!C$1),NA())</f>
        <v>99.826000000000036</v>
      </c>
      <c r="D73" s="110">
        <f ca="1">IF(TODAY()&gt;=$A73,SUMIFS(Tabla1[Avance_km],Tabla1[Fecha],"&lt;="&amp;EV!$A73,Tabla1[nombre_actividad],EV!D$1),NA())</f>
        <v>72.580999999999989</v>
      </c>
      <c r="E73" s="110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0"/>
      <c r="I73" s="224">
        <f ca="1">+C73*Catalogo!$F$19+EV!D73*Catalogo!$F$14+EV!E73*Catalogo!$F$16+EV!F73*Catalogo!$F$18</f>
        <v>3792978.8551400006</v>
      </c>
      <c r="J73" s="224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0">
        <f ca="1">IF(TODAY()&gt;=$A74,SUMIFS(Tabla1[Avance_km],Tabla1[Fecha],"&lt;="&amp;EV!$A74,Tabla1[nombre_actividad],EV!C$1),NA())</f>
        <v>99.826000000000036</v>
      </c>
      <c r="D74" s="110">
        <f ca="1">IF(TODAY()&gt;=$A74,SUMIFS(Tabla1[Avance_km],Tabla1[Fecha],"&lt;="&amp;EV!$A74,Tabla1[nombre_actividad],EV!D$1),NA())</f>
        <v>76.180999999999983</v>
      </c>
      <c r="E74" s="110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0"/>
      <c r="I74" s="224">
        <f ca="1">+C74*Catalogo!$F$19+EV!D74*Catalogo!$F$14+EV!E74*Catalogo!$F$16+EV!F74*Catalogo!$F$18</f>
        <v>3882519.93114</v>
      </c>
      <c r="J74" s="224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0">
        <f ca="1">IF(TODAY()&gt;=$A75,SUMIFS(Tabla1[Avance_km],Tabla1[Fecha],"&lt;="&amp;EV!$A75,Tabla1[nombre_actividad],EV!C$1),NA())</f>
        <v>99.869000000000042</v>
      </c>
      <c r="D75" s="110">
        <f ca="1">IF(TODAY()&gt;=$A75,SUMIFS(Tabla1[Avance_km],Tabla1[Fecha],"&lt;="&amp;EV!$A75,Tabla1[nombre_actividad],EV!D$1),NA())</f>
        <v>76.23599999999999</v>
      </c>
      <c r="E75" s="110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0"/>
      <c r="I75" s="224">
        <f ca="1">+C75*Catalogo!$F$19+EV!D75*Catalogo!$F$14+EV!E75*Catalogo!$F$16+EV!F75*Catalogo!$F$18</f>
        <v>3925315.7032100004</v>
      </c>
      <c r="J75" s="224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0">
        <f ca="1">IF(TODAY()&gt;=$A76,SUMIFS(Tabla1[Avance_km],Tabla1[Fecha],"&lt;="&amp;EV!$A76,Tabla1[nombre_actividad],EV!C$1),NA())</f>
        <v>99.869000000000042</v>
      </c>
      <c r="D76" s="110">
        <f ca="1">IF(TODAY()&gt;=$A76,SUMIFS(Tabla1[Avance_km],Tabla1[Fecha],"&lt;="&amp;EV!$A76,Tabla1[nombre_actividad],EV!D$1),NA())</f>
        <v>80.73599999999999</v>
      </c>
      <c r="E76" s="110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0"/>
      <c r="I76" s="224">
        <f ca="1">+C76*Catalogo!$F$19+EV!D76*Catalogo!$F$14+EV!E76*Catalogo!$F$16+EV!F76*Catalogo!$F$18</f>
        <v>4013952.0482100006</v>
      </c>
      <c r="J76" s="224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0">
        <f ca="1">IF(TODAY()&gt;=$A77,SUMIFS(Tabla1[Avance_km],Tabla1[Fecha],"&lt;="&amp;EV!$A77,Tabla1[nombre_actividad],EV!C$1),NA())</f>
        <v>99.869000000000042</v>
      </c>
      <c r="D77" s="110">
        <f ca="1">IF(TODAY()&gt;=$A77,SUMIFS(Tabla1[Avance_km],Tabla1[Fecha],"&lt;="&amp;EV!$A77,Tabla1[nombre_actividad],EV!D$1),NA())</f>
        <v>82.785999999999987</v>
      </c>
      <c r="E77" s="110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0"/>
      <c r="I77" s="224">
        <f ca="1">+C77*Catalogo!$F$19+EV!D77*Catalogo!$F$14+EV!E77*Catalogo!$F$16+EV!F77*Catalogo!$F$18</f>
        <v>4080984.9387100004</v>
      </c>
      <c r="J77" s="224">
        <f ca="1">IF(TODAY()&gt;=$A77,SUMIFS(Tabla1[EV],Tabla1[Fecha],"&lt;="&amp;A77,Tabla1[EV],"&gt;0"),NA())</f>
        <v>4080984.9387099999</v>
      </c>
      <c r="L77"/>
      <c r="M77" s="221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0">
        <f ca="1">IF(TODAY()&gt;=$A78,SUMIFS(Tabla1[Avance_km],Tabla1[Fecha],"&lt;="&amp;EV!$A78,Tabla1[nombre_actividad],EV!C$1),NA())</f>
        <v>99.869000000000042</v>
      </c>
      <c r="D78" s="110">
        <f ca="1">IF(TODAY()&gt;=$A78,SUMIFS(Tabla1[Avance_km],Tabla1[Fecha],"&lt;="&amp;EV!$A78,Tabla1[nombre_actividad],EV!D$1),NA())</f>
        <v>87.57</v>
      </c>
      <c r="E78" s="110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0"/>
      <c r="I78" s="224">
        <f ca="1">+C78*Catalogo!$F$19+EV!D78*Catalogo!$F$14+EV!E78*Catalogo!$F$16+EV!F78*Catalogo!$F$18</f>
        <v>4183061.3641500007</v>
      </c>
      <c r="J78" s="224">
        <f ca="1">IF(TODAY()&gt;=$A78,SUMIFS(Tabla1[EV],Tabla1[Fecha],"&lt;="&amp;A78,Tabla1[EV],"&gt;0"),NA())</f>
        <v>4183061.3641500003</v>
      </c>
      <c r="L78"/>
      <c r="M78" s="221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0">
        <f ca="1">IF(TODAY()&gt;=$A79,SUMIFS(Tabla1[Avance_km],Tabla1[Fecha],"&lt;="&amp;EV!$A79,Tabla1[nombre_actividad],EV!C$1),NA())</f>
        <v>99.869000000000042</v>
      </c>
      <c r="D79" s="110">
        <f ca="1">IF(TODAY()&gt;=$A79,SUMIFS(Tabla1[Avance_km],Tabla1[Fecha],"&lt;="&amp;EV!$A79,Tabla1[nombre_actividad],EV!D$1),NA())</f>
        <v>89.424999999999997</v>
      </c>
      <c r="E79" s="110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0"/>
      <c r="I79" s="224">
        <f ca="1">+C79*Catalogo!$F$19+EV!D79*Catalogo!$F$14+EV!E79*Catalogo!$F$16+EV!F79*Catalogo!$F$18</f>
        <v>4237946.5797000006</v>
      </c>
      <c r="J79" s="224">
        <f ca="1">IF(TODAY()&gt;=$A79,SUMIFS(Tabla1[EV],Tabla1[Fecha],"&lt;="&amp;A79,Tabla1[EV],"&gt;0"),NA())</f>
        <v>4237946.5797000006</v>
      </c>
      <c r="L79"/>
      <c r="M79" s="221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0">
        <f ca="1">IF(TODAY()&gt;=$A80,SUMIFS(Tabla1[Avance_km],Tabla1[Fecha],"&lt;="&amp;EV!$A80,Tabla1[nombre_actividad],EV!C$1),NA())</f>
        <v>99.869000000000042</v>
      </c>
      <c r="D80" s="110">
        <f ca="1">IF(TODAY()&gt;=$A80,SUMIFS(Tabla1[Avance_km],Tabla1[Fecha],"&lt;="&amp;EV!$A80,Tabla1[nombre_actividad],EV!D$1),NA())</f>
        <v>93.064999999999998</v>
      </c>
      <c r="E80" s="110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0"/>
      <c r="I80" s="224">
        <f ca="1">+C80*Catalogo!$F$19+EV!D80*Catalogo!$F$14+EV!E80*Catalogo!$F$16+EV!F80*Catalogo!$F$18</f>
        <v>4290804.5121000009</v>
      </c>
      <c r="J80" s="224">
        <f ca="1">IF(TODAY()&gt;=$A80,SUMIFS(Tabla1[EV],Tabla1[Fecha],"&lt;="&amp;A80,Tabla1[EV],"&gt;0"),NA())</f>
        <v>4290804.5121000009</v>
      </c>
      <c r="L80"/>
      <c r="M80" s="221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0">
        <f ca="1">IF(TODAY()&gt;=$A81,SUMIFS(Tabla1[Avance_km],Tabla1[Fecha],"&lt;="&amp;EV!$A81,Tabla1[nombre_actividad],EV!C$1),NA())</f>
        <v>99.869000000000042</v>
      </c>
      <c r="D81" s="110">
        <f ca="1">IF(TODAY()&gt;=$A81,SUMIFS(Tabla1[Avance_km],Tabla1[Fecha],"&lt;="&amp;EV!$A81,Tabla1[nombre_actividad],EV!D$1),NA())</f>
        <v>98.064999999999998</v>
      </c>
      <c r="E81" s="110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0"/>
      <c r="I81" s="224">
        <f ca="1">+C81*Catalogo!$F$19+EV!D81*Catalogo!$F$14+EV!E81*Catalogo!$F$16+EV!F81*Catalogo!$F$18</f>
        <v>4391359.5621000007</v>
      </c>
      <c r="J81" s="224">
        <f ca="1">IF(TODAY()&gt;=$A81,SUMIFS(Tabla1[EV],Tabla1[Fecha],"&lt;="&amp;A81,Tabla1[EV],"&gt;0"),NA())</f>
        <v>4391359.5621000007</v>
      </c>
      <c r="L81"/>
      <c r="M81" s="221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0">
        <f ca="1">IF(TODAY()&gt;=$A82,SUMIFS(Tabla1[Avance_km],Tabla1[Fecha],"&lt;="&amp;EV!$A82,Tabla1[nombre_actividad],EV!C$1),NA())</f>
        <v>99.906000000000049</v>
      </c>
      <c r="D82" s="110">
        <f ca="1">IF(TODAY()&gt;=$A82,SUMIFS(Tabla1[Avance_km],Tabla1[Fecha],"&lt;="&amp;EV!$A82,Tabla1[nombre_actividad],EV!D$1),NA())</f>
        <v>99.906000000000006</v>
      </c>
      <c r="E82" s="110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0"/>
      <c r="I82" s="224">
        <f ca="1">+C82*Catalogo!$F$19+EV!D82*Catalogo!$F$14+EV!E82*Catalogo!$F$16+EV!F82*Catalogo!$F$18</f>
        <v>4460600.5607600007</v>
      </c>
      <c r="J82" s="224">
        <f ca="1">IF(TODAY()&gt;=$A82,SUMIFS(Tabla1[EV],Tabla1[Fecha],"&lt;="&amp;A82,Tabla1[EV],"&gt;0"),NA())</f>
        <v>4460600.5607600007</v>
      </c>
      <c r="L82"/>
      <c r="M82" s="221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0">
        <f ca="1">IF(TODAY()&gt;=$A83,SUMIFS(Tabla1[Avance_km],Tabla1[Fecha],"&lt;="&amp;EV!$A83,Tabla1[nombre_actividad],EV!C$1),NA())</f>
        <v>99.906000000000049</v>
      </c>
      <c r="D83" s="110">
        <f ca="1">IF(TODAY()&gt;=$A83,SUMIFS(Tabla1[Avance_km],Tabla1[Fecha],"&lt;="&amp;EV!$A83,Tabla1[nombre_actividad],EV!D$1),NA())</f>
        <v>99.906000000000006</v>
      </c>
      <c r="E83" s="110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0"/>
      <c r="I83" s="224">
        <f ca="1">+C83*Catalogo!$F$19+EV!D83*Catalogo!$F$14+EV!E83*Catalogo!$F$16+EV!F83*Catalogo!$F$18</f>
        <v>4469916.5607600007</v>
      </c>
      <c r="J83" s="224">
        <f ca="1">IF(TODAY()&gt;=$A83,SUMIFS(Tabla1[EV],Tabla1[Fecha],"&lt;="&amp;A83,Tabla1[EV],"&gt;0"),NA())</f>
        <v>4469916.5607600007</v>
      </c>
      <c r="L83"/>
      <c r="M83" s="221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0">
        <f ca="1">IF(TODAY()&gt;=$A84,SUMIFS(Tabla1[Avance_km],Tabla1[Fecha],"&lt;="&amp;EV!$A84,Tabla1[nombre_actividad],EV!C$1),NA())</f>
        <v>99.906000000000049</v>
      </c>
      <c r="D84" s="110">
        <f ca="1">IF(TODAY()&gt;=$A84,SUMIFS(Tabla1[Avance_km],Tabla1[Fecha],"&lt;="&amp;EV!$A84,Tabla1[nombre_actividad],EV!D$1),NA())</f>
        <v>99.906000000000006</v>
      </c>
      <c r="E84" s="110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0"/>
      <c r="I84" s="224">
        <f ca="1">+C84*Catalogo!$F$19+EV!D84*Catalogo!$F$14+EV!E84*Catalogo!$F$16+EV!F84*Catalogo!$F$18</f>
        <v>4497864.5607600007</v>
      </c>
      <c r="J84" s="224">
        <f ca="1">IF(TODAY()&gt;=$A84,SUMIFS(Tabla1[EV],Tabla1[Fecha],"&lt;="&amp;A84,Tabla1[EV],"&gt;0"),NA())</f>
        <v>4497864.5607600007</v>
      </c>
      <c r="L84"/>
      <c r="M84" s="221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0">
        <f ca="1">IF(TODAY()&gt;=$A85,SUMIFS(Tabla1[Avance_km],Tabla1[Fecha],"&lt;="&amp;EV!$A85,Tabla1[nombre_actividad],EV!C$1),NA())</f>
        <v>99.906000000000049</v>
      </c>
      <c r="D85" s="110">
        <f ca="1">IF(TODAY()&gt;=$A85,SUMIFS(Tabla1[Avance_km],Tabla1[Fecha],"&lt;="&amp;EV!$A85,Tabla1[nombre_actividad],EV!D$1),NA())</f>
        <v>99.906000000000006</v>
      </c>
      <c r="E85" s="110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0"/>
      <c r="I85" s="224">
        <f ca="1">+C85*Catalogo!$F$19+EV!D85*Catalogo!$F$14+EV!E85*Catalogo!$F$16+EV!F85*Catalogo!$F$18</f>
        <v>4539786.5607600007</v>
      </c>
      <c r="J85" s="224">
        <f ca="1">IF(TODAY()&gt;=$A85,SUMIFS(Tabla1[EV],Tabla1[Fecha],"&lt;="&amp;A85,Tabla1[EV],"&gt;0"),NA())</f>
        <v>4539786.5607600007</v>
      </c>
      <c r="L85"/>
      <c r="M85" s="221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0">
        <f ca="1">IF(TODAY()&gt;=$A86,SUMIFS(Tabla1[Avance_km],Tabla1[Fecha],"&lt;="&amp;EV!$A86,Tabla1[nombre_actividad],EV!C$1),NA())</f>
        <v>99.906000000000049</v>
      </c>
      <c r="D86" s="110">
        <f ca="1">IF(TODAY()&gt;=$A86,SUMIFS(Tabla1[Avance_km],Tabla1[Fecha],"&lt;="&amp;EV!$A86,Tabla1[nombre_actividad],EV!D$1),NA())</f>
        <v>99.906000000000006</v>
      </c>
      <c r="E86" s="110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0"/>
      <c r="I86" s="224">
        <f ca="1">+C86*Catalogo!$F$19+EV!D86*Catalogo!$F$14+EV!E86*Catalogo!$F$16+EV!F86*Catalogo!$F$18</f>
        <v>4539786.5607600007</v>
      </c>
      <c r="J86" s="224">
        <f ca="1">IF(TODAY()&gt;=$A86,SUMIFS(Tabla1[EV],Tabla1[Fecha],"&lt;="&amp;A86,Tabla1[EV],"&gt;0"),NA())</f>
        <v>4539786.5607600007</v>
      </c>
      <c r="L86"/>
      <c r="M86" s="221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0">
        <f ca="1">IF(TODAY()&gt;=$A87,SUMIFS(Tabla1[Avance_km],Tabla1[Fecha],"&lt;="&amp;EV!$A87,Tabla1[nombre_actividad],EV!C$1),NA())</f>
        <v>99.906000000000049</v>
      </c>
      <c r="D87" s="110">
        <f ca="1">IF(TODAY()&gt;=$A87,SUMIFS(Tabla1[Avance_km],Tabla1[Fecha],"&lt;="&amp;EV!$A87,Tabla1[nombre_actividad],EV!D$1),NA())</f>
        <v>99.906000000000006</v>
      </c>
      <c r="E87" s="110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0"/>
      <c r="I87" s="224">
        <f ca="1">+C87*Catalogo!$F$19+EV!D87*Catalogo!$F$14+EV!E87*Catalogo!$F$16+EV!F87*Catalogo!$F$18</f>
        <v>4539786.5607600007</v>
      </c>
      <c r="J87" s="224">
        <f ca="1">IF(TODAY()&gt;=$A87,SUMIFS(Tabla1[EV],Tabla1[Fecha],"&lt;="&amp;A87,Tabla1[EV],"&gt;0"),NA())</f>
        <v>4539786.5607600007</v>
      </c>
      <c r="L87"/>
      <c r="M87" s="221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0">
        <f ca="1">IF(TODAY()&gt;=$A88,SUMIFS(Tabla1[Avance_km],Tabla1[Fecha],"&lt;="&amp;EV!$A88,Tabla1[nombre_actividad],EV!C$1),NA())</f>
        <v>99.906000000000049</v>
      </c>
      <c r="D88" s="110">
        <f ca="1">IF(TODAY()&gt;=$A88,SUMIFS(Tabla1[Avance_km],Tabla1[Fecha],"&lt;="&amp;EV!$A88,Tabla1[nombre_actividad],EV!D$1),NA())</f>
        <v>99.906000000000006</v>
      </c>
      <c r="E88" s="110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0"/>
      <c r="I88" s="224">
        <f ca="1">+C88*Catalogo!$F$19+EV!D88*Catalogo!$F$14+EV!E88*Catalogo!$F$16+EV!F88*Catalogo!$F$18</f>
        <v>4577050.5607600007</v>
      </c>
      <c r="J88" s="224">
        <f ca="1">IF(TODAY()&gt;=$A88,SUMIFS(Tabla1[EV],Tabla1[Fecha],"&lt;="&amp;A88,Tabla1[EV],"&gt;0"),NA())</f>
        <v>4577050.5607600007</v>
      </c>
      <c r="L88"/>
      <c r="M88" s="221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0">
        <f ca="1">IF(TODAY()&gt;=$A89,SUMIFS(Tabla1[Avance_km],Tabla1[Fecha],"&lt;="&amp;EV!$A89,Tabla1[nombre_actividad],EV!C$1),NA())</f>
        <v>99.906000000000049</v>
      </c>
      <c r="D89" s="110">
        <f ca="1">IF(TODAY()&gt;=$A89,SUMIFS(Tabla1[Avance_km],Tabla1[Fecha],"&lt;="&amp;EV!$A89,Tabla1[nombre_actividad],EV!D$1),NA())</f>
        <v>99.906000000000006</v>
      </c>
      <c r="E89" s="110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0"/>
      <c r="I89" s="224">
        <f ca="1">+C89*Catalogo!$F$19+EV!D89*Catalogo!$F$14+EV!E89*Catalogo!$F$16+EV!F89*Catalogo!$F$18</f>
        <v>4623630.5607600007</v>
      </c>
      <c r="J89" s="224">
        <f ca="1">IF(TODAY()&gt;=$A89,SUMIFS(Tabla1[EV],Tabla1[Fecha],"&lt;="&amp;A89,Tabla1[EV],"&gt;0"),NA())</f>
        <v>4623630.5607600007</v>
      </c>
      <c r="L89"/>
      <c r="M89" s="221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0">
        <f ca="1">IF(TODAY()&gt;=$A90,SUMIFS(Tabla1[Avance_km],Tabla1[Fecha],"&lt;="&amp;EV!$A90,Tabla1[nombre_actividad],EV!C$1),NA())</f>
        <v>99.906000000000049</v>
      </c>
      <c r="D90" s="110">
        <f ca="1">IF(TODAY()&gt;=$A90,SUMIFS(Tabla1[Avance_km],Tabla1[Fecha],"&lt;="&amp;EV!$A90,Tabla1[nombre_actividad],EV!D$1),NA())</f>
        <v>99.906000000000006</v>
      </c>
      <c r="E90" s="110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0"/>
      <c r="I90" s="224">
        <f ca="1">+C90*Catalogo!$F$19+EV!D90*Catalogo!$F$14+EV!E90*Catalogo!$F$16+EV!F90*Catalogo!$F$18</f>
        <v>4656236.5607600007</v>
      </c>
      <c r="J90" s="224">
        <f ca="1">IF(TODAY()&gt;=$A90,SUMIFS(Tabla1[EV],Tabla1[Fecha],"&lt;="&amp;A90,Tabla1[EV],"&gt;0"),NA())</f>
        <v>4656236.5607600007</v>
      </c>
      <c r="L90"/>
      <c r="M90" s="221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0">
        <f ca="1">IF(TODAY()&gt;=$A91,SUMIFS(Tabla1[Avance_km],Tabla1[Fecha],"&lt;="&amp;EV!$A91,Tabla1[nombre_actividad],EV!C$1),NA())</f>
        <v>99.906000000000049</v>
      </c>
      <c r="D91" s="110">
        <f ca="1">IF(TODAY()&gt;=$A91,SUMIFS(Tabla1[Avance_km],Tabla1[Fecha],"&lt;="&amp;EV!$A91,Tabla1[nombre_actividad],EV!D$1),NA())</f>
        <v>99.906000000000006</v>
      </c>
      <c r="E91" s="110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0"/>
      <c r="I91" s="224">
        <f ca="1">+C91*Catalogo!$F$19+EV!D91*Catalogo!$F$14+EV!E91*Catalogo!$F$16+EV!F91*Catalogo!$F$18</f>
        <v>4698158.5607600007</v>
      </c>
      <c r="J91" s="224">
        <f ca="1">IF(TODAY()&gt;=$A91,SUMIFS(Tabla1[EV],Tabla1[Fecha],"&lt;="&amp;A91,Tabla1[EV],"&gt;0"),NA())</f>
        <v>4698158.5607600007</v>
      </c>
      <c r="L91"/>
      <c r="M91" s="221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0">
        <f ca="1">IF(TODAY()&gt;=$A92,SUMIFS(Tabla1[Avance_km],Tabla1[Fecha],"&lt;="&amp;EV!$A92,Tabla1[nombre_actividad],EV!C$1),NA())</f>
        <v>99.906000000000049</v>
      </c>
      <c r="D92" s="110">
        <f ca="1">IF(TODAY()&gt;=$A92,SUMIFS(Tabla1[Avance_km],Tabla1[Fecha],"&lt;="&amp;EV!$A92,Tabla1[nombre_actividad],EV!D$1),NA())</f>
        <v>99.906000000000006</v>
      </c>
      <c r="E92" s="110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0"/>
      <c r="I92" s="224">
        <f ca="1">+C92*Catalogo!$F$19+EV!D92*Catalogo!$F$14+EV!E92*Catalogo!$F$16+EV!F92*Catalogo!$F$18</f>
        <v>4698158.5607600007</v>
      </c>
      <c r="J92" s="224">
        <f ca="1">IF(TODAY()&gt;=$A92,SUMIFS(Tabla1[EV],Tabla1[Fecha],"&lt;="&amp;A92,Tabla1[EV],"&gt;0"),NA())</f>
        <v>4698158.5607600007</v>
      </c>
      <c r="L92"/>
      <c r="M92" s="221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0">
        <f ca="1">IF(TODAY()&gt;=$A93,SUMIFS(Tabla1[Avance_km],Tabla1[Fecha],"&lt;="&amp;EV!$A93,Tabla1[nombre_actividad],EV!C$1),NA())</f>
        <v>99.906000000000049</v>
      </c>
      <c r="D93" s="110">
        <f ca="1">IF(TODAY()&gt;=$A93,SUMIFS(Tabla1[Avance_km],Tabla1[Fecha],"&lt;="&amp;EV!$A93,Tabla1[nombre_actividad],EV!D$1),NA())</f>
        <v>99.906000000000006</v>
      </c>
      <c r="E93" s="110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0"/>
      <c r="I93" s="224">
        <f ca="1">+C93*Catalogo!$F$19+EV!D93*Catalogo!$F$14+EV!E93*Catalogo!$F$16+EV!F93*Catalogo!$F$18</f>
        <v>4698158.5607600007</v>
      </c>
      <c r="J93" s="224">
        <f ca="1">IF(TODAY()&gt;=$A93,SUMIFS(Tabla1[EV],Tabla1[Fecha],"&lt;="&amp;A93,Tabla1[EV],"&gt;0"),NA())</f>
        <v>4698158.5607600007</v>
      </c>
      <c r="L93"/>
      <c r="M93" s="221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0">
        <f ca="1">IF(TODAY()&gt;=$A94,SUMIFS(Tabla1[Avance_km],Tabla1[Fecha],"&lt;="&amp;EV!$A94,Tabla1[nombre_actividad],EV!C$1),NA())</f>
        <v>99.906000000000049</v>
      </c>
      <c r="D94" s="110">
        <f ca="1">IF(TODAY()&gt;=$A94,SUMIFS(Tabla1[Avance_km],Tabla1[Fecha],"&lt;="&amp;EV!$A94,Tabla1[nombre_actividad],EV!D$1),NA())</f>
        <v>99.906000000000006</v>
      </c>
      <c r="E94" s="110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0"/>
      <c r="I94" s="224">
        <f ca="1">+C94*Catalogo!$F$19+EV!D94*Catalogo!$F$14+EV!E94*Catalogo!$F$16+EV!F94*Catalogo!$F$18</f>
        <v>4698158.5607600007</v>
      </c>
      <c r="J94" s="224">
        <f ca="1">IF(TODAY()&gt;=$A94,SUMIFS(Tabla1[EV],Tabla1[Fecha],"&lt;="&amp;A94,Tabla1[EV],"&gt;0"),NA())</f>
        <v>4698158.5607600007</v>
      </c>
      <c r="L94"/>
      <c r="M94" s="221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0">
        <f ca="1">IF(TODAY()&gt;=$A95,SUMIFS(Tabla1[Avance_km],Tabla1[Fecha],"&lt;="&amp;EV!$A95,Tabla1[nombre_actividad],EV!C$1),NA())</f>
        <v>99.906000000000049</v>
      </c>
      <c r="D95" s="110">
        <f ca="1">IF(TODAY()&gt;=$A95,SUMIFS(Tabla1[Avance_km],Tabla1[Fecha],"&lt;="&amp;EV!$A95,Tabla1[nombre_actividad],EV!D$1),NA())</f>
        <v>99.906000000000006</v>
      </c>
      <c r="E95" s="110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0"/>
      <c r="I95" s="224">
        <f ca="1">+C95*Catalogo!$F$19+EV!D95*Catalogo!$F$14+EV!E95*Catalogo!$F$16+EV!F95*Catalogo!$F$18</f>
        <v>4698158.5607600007</v>
      </c>
      <c r="J95" s="224">
        <f ca="1">IF(TODAY()&gt;=$A95,SUMIFS(Tabla1[EV],Tabla1[Fecha],"&lt;="&amp;A95,Tabla1[EV],"&gt;0"),NA())</f>
        <v>4698158.5607600007</v>
      </c>
      <c r="L95"/>
      <c r="M95" s="221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0">
        <f ca="1">IF(TODAY()&gt;=$A96,SUMIFS(Tabla1[Avance_km],Tabla1[Fecha],"&lt;="&amp;EV!$A96,Tabla1[nombre_actividad],EV!C$1),NA())</f>
        <v>99.906000000000049</v>
      </c>
      <c r="D96" s="110">
        <f ca="1">IF(TODAY()&gt;=$A96,SUMIFS(Tabla1[Avance_km],Tabla1[Fecha],"&lt;="&amp;EV!$A96,Tabla1[nombre_actividad],EV!D$1),NA())</f>
        <v>99.906000000000006</v>
      </c>
      <c r="E96" s="110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0"/>
      <c r="I96" s="224">
        <f ca="1">+C96*Catalogo!$F$19+EV!D96*Catalogo!$F$14+EV!E96*Catalogo!$F$16+EV!F96*Catalogo!$F$18</f>
        <v>4698158.5607600007</v>
      </c>
      <c r="J96" s="224">
        <f ca="1">IF(TODAY()&gt;=$A96,SUMIFS(Tabla1[EV],Tabla1[Fecha],"&lt;="&amp;A96,Tabla1[EV],"&gt;0"),NA())</f>
        <v>4698158.5607600007</v>
      </c>
      <c r="L96"/>
      <c r="M96" s="221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0">
        <f ca="1">IF(TODAY()&gt;=$A97,SUMIFS(Tabla1[Avance_km],Tabla1[Fecha],"&lt;="&amp;EV!$A97,Tabla1[nombre_actividad],EV!C$1),NA())</f>
        <v>99.906000000000049</v>
      </c>
      <c r="D97" s="110">
        <f ca="1">IF(TODAY()&gt;=$A97,SUMIFS(Tabla1[Avance_km],Tabla1[Fecha],"&lt;="&amp;EV!$A97,Tabla1[nombre_actividad],EV!D$1),NA())</f>
        <v>99.906000000000006</v>
      </c>
      <c r="E97" s="110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0"/>
      <c r="I97" s="224">
        <f ca="1">+C97*Catalogo!$F$19+EV!D97*Catalogo!$F$14+EV!E97*Catalogo!$F$16+EV!F97*Catalogo!$F$18</f>
        <v>4707474.5607600007</v>
      </c>
      <c r="J97" s="224">
        <f ca="1">IF(TODAY()&gt;=$A97,SUMIFS(Tabla1[EV],Tabla1[Fecha],"&lt;="&amp;A97,Tabla1[EV],"&gt;0"),NA())</f>
        <v>4707474.5607600007</v>
      </c>
      <c r="L97"/>
      <c r="M97" s="221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0">
        <f ca="1">IF(TODAY()&gt;=$A98,SUMIFS(Tabla1[Avance_km],Tabla1[Fecha],"&lt;="&amp;EV!$A98,Tabla1[nombre_actividad],EV!C$1),NA())</f>
        <v>99.906000000000049</v>
      </c>
      <c r="D98" s="110">
        <f ca="1">IF(TODAY()&gt;=$A98,SUMIFS(Tabla1[Avance_km],Tabla1[Fecha],"&lt;="&amp;EV!$A98,Tabla1[nombre_actividad],EV!D$1),NA())</f>
        <v>99.906000000000006</v>
      </c>
      <c r="E98" s="110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0"/>
      <c r="I98" s="224">
        <f ca="1">+C98*Catalogo!$F$19+EV!D98*Catalogo!$F$14+EV!E98*Catalogo!$F$16+EV!F98*Catalogo!$F$18</f>
        <v>4716790.5607600007</v>
      </c>
      <c r="J98" s="224">
        <f ca="1">IF(TODAY()&gt;=$A98,SUMIFS(Tabla1[EV],Tabla1[Fecha],"&lt;="&amp;A98,Tabla1[EV],"&gt;0"),NA())</f>
        <v>4716790.5607600007</v>
      </c>
      <c r="L98"/>
      <c r="M98" s="221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0">
        <f ca="1">IF(TODAY()&gt;=$A99,SUMIFS(Tabla1[Avance_km],Tabla1[Fecha],"&lt;="&amp;EV!$A99,Tabla1[nombre_actividad],EV!C$1),NA())</f>
        <v>99.906000000000049</v>
      </c>
      <c r="D99" s="110">
        <f ca="1">IF(TODAY()&gt;=$A99,SUMIFS(Tabla1[Avance_km],Tabla1[Fecha],"&lt;="&amp;EV!$A99,Tabla1[nombre_actividad],EV!D$1),NA())</f>
        <v>99.906000000000006</v>
      </c>
      <c r="E99" s="110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0"/>
      <c r="I99" s="224">
        <f ca="1">+C99*Catalogo!$F$19+EV!D99*Catalogo!$F$14+EV!E99*Catalogo!$F$16+EV!F99*Catalogo!$F$18</f>
        <v>4716790.5607600007</v>
      </c>
      <c r="J99" s="224">
        <f ca="1">IF(TODAY()&gt;=$A99,SUMIFS(Tabla1[EV],Tabla1[Fecha],"&lt;="&amp;A99,Tabla1[EV],"&gt;0"),NA())</f>
        <v>4716790.5607600007</v>
      </c>
      <c r="L99"/>
      <c r="M99" s="221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0">
        <f ca="1">IF(TODAY()&gt;=$A100,SUMIFS(Tabla1[Avance_km],Tabla1[Fecha],"&lt;="&amp;EV!$A100,Tabla1[nombre_actividad],EV!C$1),NA())</f>
        <v>99.906000000000049</v>
      </c>
      <c r="D100" s="110">
        <f ca="1">IF(TODAY()&gt;=$A100,SUMIFS(Tabla1[Avance_km],Tabla1[Fecha],"&lt;="&amp;EV!$A100,Tabla1[nombre_actividad],EV!D$1),NA())</f>
        <v>99.906000000000006</v>
      </c>
      <c r="E100" s="110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0"/>
      <c r="I100" s="224">
        <f ca="1">+C100*Catalogo!$F$19+EV!D100*Catalogo!$F$14+EV!E100*Catalogo!$F$16+EV!F100*Catalogo!$F$18</f>
        <v>4716790.5607600007</v>
      </c>
      <c r="J100" s="224">
        <f ca="1">IF(TODAY()&gt;=$A100,SUMIFS(Tabla1[EV],Tabla1[Fecha],"&lt;="&amp;A100,Tabla1[EV],"&gt;0"),NA())</f>
        <v>4716790.5607600007</v>
      </c>
      <c r="L100"/>
      <c r="M100" s="221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0">
        <f ca="1">IF(TODAY()&gt;=$A101,SUMIFS(Tabla1[Avance_km],Tabla1[Fecha],"&lt;="&amp;EV!$A101,Tabla1[nombre_actividad],EV!C$1),NA())</f>
        <v>99.906000000000049</v>
      </c>
      <c r="D101" s="110">
        <f ca="1">IF(TODAY()&gt;=$A101,SUMIFS(Tabla1[Avance_km],Tabla1[Fecha],"&lt;="&amp;EV!$A101,Tabla1[nombre_actividad],EV!D$1),NA())</f>
        <v>99.906000000000006</v>
      </c>
      <c r="E101" s="110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0"/>
      <c r="I101" s="224">
        <f ca="1">+C101*Catalogo!$F$19+EV!D101*Catalogo!$F$14+EV!E101*Catalogo!$F$16+EV!F101*Catalogo!$F$18</f>
        <v>4716790.5607600007</v>
      </c>
      <c r="J101" s="224">
        <f ca="1">IF(TODAY()&gt;=$A101,SUMIFS(Tabla1[EV],Tabla1[Fecha],"&lt;="&amp;A101,Tabla1[EV],"&gt;0"),NA())</f>
        <v>4716790.5607600007</v>
      </c>
      <c r="L101"/>
      <c r="M101" s="221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0">
        <f ca="1">IF(TODAY()&gt;=$A102,SUMIFS(Tabla1[Avance_km],Tabla1[Fecha],"&lt;="&amp;EV!$A102,Tabla1[nombre_actividad],EV!C$1),NA())</f>
        <v>99.906000000000049</v>
      </c>
      <c r="D102" s="110">
        <f ca="1">IF(TODAY()&gt;=$A102,SUMIFS(Tabla1[Avance_km],Tabla1[Fecha],"&lt;="&amp;EV!$A102,Tabla1[nombre_actividad],EV!D$1),NA())</f>
        <v>99.906000000000006</v>
      </c>
      <c r="E102" s="110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0"/>
      <c r="I102" s="224">
        <f ca="1">+C102*Catalogo!$F$19+EV!D102*Catalogo!$F$14+EV!E102*Catalogo!$F$16+EV!F102*Catalogo!$F$18</f>
        <v>4721448.5607600007</v>
      </c>
      <c r="J102" s="224">
        <f ca="1">IF(TODAY()&gt;=$A102,SUMIFS(Tabla1[EV],Tabla1[Fecha],"&lt;="&amp;A102,Tabla1[EV],"&gt;0"),NA())</f>
        <v>4721448.5607600007</v>
      </c>
      <c r="L102"/>
      <c r="M102" s="221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0">
        <f ca="1">IF(TODAY()&gt;=$A103,SUMIFS(Tabla1[Avance_km],Tabla1[Fecha],"&lt;="&amp;EV!$A103,Tabla1[nombre_actividad],EV!C$1),NA())</f>
        <v>99.906000000000049</v>
      </c>
      <c r="D103" s="110">
        <f ca="1">IF(TODAY()&gt;=$A103,SUMIFS(Tabla1[Avance_km],Tabla1[Fecha],"&lt;="&amp;EV!$A103,Tabla1[nombre_actividad],EV!D$1),NA())</f>
        <v>99.906000000000006</v>
      </c>
      <c r="E103" s="110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0"/>
      <c r="I103" s="224">
        <f ca="1">+C103*Catalogo!$F$19+EV!D103*Catalogo!$F$14+EV!E103*Catalogo!$F$16+EV!F103*Catalogo!$F$18</f>
        <v>4740080.5607600007</v>
      </c>
      <c r="J103" s="224">
        <f ca="1">IF(TODAY()&gt;=$A103,SUMIFS(Tabla1[EV],Tabla1[Fecha],"&lt;="&amp;A103,Tabla1[EV],"&gt;0"),NA())</f>
        <v>4740080.5607600007</v>
      </c>
      <c r="L103"/>
      <c r="M103" s="221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0">
        <f ca="1">IF(TODAY()&gt;=$A104,SUMIFS(Tabla1[Avance_km],Tabla1[Fecha],"&lt;="&amp;EV!$A104,Tabla1[nombre_actividad],EV!C$1),NA())</f>
        <v>99.906000000000049</v>
      </c>
      <c r="D104" s="110">
        <f ca="1">IF(TODAY()&gt;=$A104,SUMIFS(Tabla1[Avance_km],Tabla1[Fecha],"&lt;="&amp;EV!$A104,Tabla1[nombre_actividad],EV!D$1),NA())</f>
        <v>99.906000000000006</v>
      </c>
      <c r="E104" s="110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0"/>
      <c r="I104" s="224">
        <f ca="1">+C104*Catalogo!$F$19+EV!D104*Catalogo!$F$14+EV!E104*Catalogo!$F$16+EV!F104*Catalogo!$F$18</f>
        <v>4758712.5607600007</v>
      </c>
      <c r="J104" s="224">
        <f ca="1">IF(TODAY()&gt;=$A104,SUMIFS(Tabla1[EV],Tabla1[Fecha],"&lt;="&amp;A104,Tabla1[EV],"&gt;0"),NA())</f>
        <v>4758712.5607600007</v>
      </c>
      <c r="L104"/>
      <c r="M104" s="221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0">
        <f ca="1">IF(TODAY()&gt;=$A105,SUMIFS(Tabla1[Avance_km],Tabla1[Fecha],"&lt;="&amp;EV!$A105,Tabla1[nombre_actividad],EV!C$1),NA())</f>
        <v>99.906000000000049</v>
      </c>
      <c r="D105" s="110">
        <f ca="1">IF(TODAY()&gt;=$A105,SUMIFS(Tabla1[Avance_km],Tabla1[Fecha],"&lt;="&amp;EV!$A105,Tabla1[nombre_actividad],EV!D$1),NA())</f>
        <v>99.906000000000006</v>
      </c>
      <c r="E105" s="110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0"/>
      <c r="I105" s="224">
        <f ca="1">+C105*Catalogo!$F$19+EV!D105*Catalogo!$F$14+EV!E105*Catalogo!$F$16+EV!F105*Catalogo!$F$18</f>
        <v>4782002.5607600007</v>
      </c>
      <c r="J105" s="224">
        <f ca="1">IF(TODAY()&gt;=$A105,SUMIFS(Tabla1[EV],Tabla1[Fecha],"&lt;="&amp;A105,Tabla1[EV],"&gt;0"),NA())</f>
        <v>4782002.5607600007</v>
      </c>
      <c r="L105"/>
      <c r="M105" s="221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2">
        <v>12000000</v>
      </c>
      <c r="C106" s="110">
        <f ca="1">IF(TODAY()&gt;=$A106,SUMIFS(Tabla1[Avance_km],Tabla1[Fecha],"&lt;="&amp;EV!$A106,Tabla1[nombre_actividad],EV!C$1),NA())</f>
        <v>99.906000000000049</v>
      </c>
      <c r="D106" s="110">
        <f ca="1">IF(TODAY()&gt;=$A106,SUMIFS(Tabla1[Avance_km],Tabla1[Fecha],"&lt;="&amp;EV!$A106,Tabla1[nombre_actividad],EV!D$1),NA())</f>
        <v>99.906000000000006</v>
      </c>
      <c r="E106" s="110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0"/>
      <c r="I106" s="224">
        <f ca="1">+C106*Catalogo!$F$19+EV!D106*Catalogo!$F$14+EV!E106*Catalogo!$F$16+EV!F106*Catalogo!$F$18</f>
        <v>4782002.5607600007</v>
      </c>
      <c r="J106" s="224">
        <f ca="1">IF(TODAY()&gt;=$A106,SUMIFS(Tabla1[EV],Tabla1[Fecha],"&lt;="&amp;A106,Tabla1[EV],"&gt;0"),NA())</f>
        <v>4782002.5607600007</v>
      </c>
      <c r="L106"/>
      <c r="M106" s="221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2">
        <v>12000000</v>
      </c>
      <c r="C107" s="110">
        <f ca="1">IF(TODAY()&gt;=$A107,SUMIFS(Tabla1[Avance_km],Tabla1[Fecha],"&lt;="&amp;EV!$A107,Tabla1[nombre_actividad],EV!C$1),NA())</f>
        <v>99.906000000000049</v>
      </c>
      <c r="D107" s="110">
        <f ca="1">IF(TODAY()&gt;=$A107,SUMIFS(Tabla1[Avance_km],Tabla1[Fecha],"&lt;="&amp;EV!$A107,Tabla1[nombre_actividad],EV!D$1),NA())</f>
        <v>99.906000000000006</v>
      </c>
      <c r="E107" s="110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0"/>
      <c r="I107" s="224">
        <f ca="1">+C107*Catalogo!$F$19+EV!D107*Catalogo!$F$14+EV!E107*Catalogo!$F$16+EV!F107*Catalogo!$F$18</f>
        <v>4782002.5607600007</v>
      </c>
      <c r="J107" s="224">
        <f ca="1">IF(TODAY()&gt;=$A107,SUMIFS(Tabla1[EV],Tabla1[Fecha],"&lt;="&amp;A107,Tabla1[EV],"&gt;0"),NA())</f>
        <v>4782002.5607600007</v>
      </c>
      <c r="L107"/>
      <c r="M107" s="221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2">
        <v>12000000</v>
      </c>
      <c r="C108" s="110">
        <f ca="1">IF(TODAY()&gt;=$A108,SUMIFS(Tabla1[Avance_km],Tabla1[Fecha],"&lt;="&amp;EV!$A108,Tabla1[nombre_actividad],EV!C$1),NA())</f>
        <v>99.906000000000049</v>
      </c>
      <c r="D108" s="110">
        <f ca="1">IF(TODAY()&gt;=$A108,SUMIFS(Tabla1[Avance_km],Tabla1[Fecha],"&lt;="&amp;EV!$A108,Tabla1[nombre_actividad],EV!D$1),NA())</f>
        <v>99.906000000000006</v>
      </c>
      <c r="E108" s="110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0"/>
      <c r="I108" s="224">
        <f ca="1">+C108*Catalogo!$F$19+EV!D108*Catalogo!$F$14+EV!E108*Catalogo!$F$16+EV!F108*Catalogo!$F$18</f>
        <v>4782002.5607600007</v>
      </c>
      <c r="J108" s="224">
        <f ca="1">IF(TODAY()&gt;=$A108,SUMIFS(Tabla1[EV],Tabla1[Fecha],"&lt;="&amp;A108,Tabla1[EV],"&gt;0"),NA())</f>
        <v>4782002.5607600007</v>
      </c>
      <c r="L108"/>
      <c r="M108" s="221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2">
        <v>12000000</v>
      </c>
      <c r="C109" s="110">
        <f ca="1">IF(TODAY()&gt;=$A109,SUMIFS(Tabla1[Avance_km],Tabla1[Fecha],"&lt;="&amp;EV!$A109,Tabla1[nombre_actividad],EV!C$1),NA())</f>
        <v>99.906000000000049</v>
      </c>
      <c r="D109" s="110">
        <f ca="1">IF(TODAY()&gt;=$A109,SUMIFS(Tabla1[Avance_km],Tabla1[Fecha],"&lt;="&amp;EV!$A109,Tabla1[nombre_actividad],EV!D$1),NA())</f>
        <v>99.906000000000006</v>
      </c>
      <c r="E109" s="110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0"/>
      <c r="I109" s="224">
        <f ca="1">+C109*Catalogo!$F$19+EV!D109*Catalogo!$F$14+EV!E109*Catalogo!$F$16+EV!F109*Catalogo!$F$18</f>
        <v>4782002.5607600007</v>
      </c>
      <c r="J109" s="224">
        <f ca="1">IF(TODAY()&gt;=$A109,SUMIFS(Tabla1[EV],Tabla1[Fecha],"&lt;="&amp;A109,Tabla1[EV],"&gt;0"),NA())</f>
        <v>4782002.5607600007</v>
      </c>
      <c r="L109"/>
      <c r="M109" s="221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2">
        <v>12000000</v>
      </c>
      <c r="C110" s="110">
        <f ca="1">IF(TODAY()&gt;=$A110,SUMIFS(Tabla1[Avance_km],Tabla1[Fecha],"&lt;="&amp;EV!$A110,Tabla1[nombre_actividad],EV!C$1),NA())</f>
        <v>99.906000000000049</v>
      </c>
      <c r="D110" s="110">
        <f ca="1">IF(TODAY()&gt;=$A110,SUMIFS(Tabla1[Avance_km],Tabla1[Fecha],"&lt;="&amp;EV!$A110,Tabla1[nombre_actividad],EV!D$1),NA())</f>
        <v>99.906000000000006</v>
      </c>
      <c r="E110" s="110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0"/>
      <c r="I110" s="224">
        <f ca="1">+C110*Catalogo!$F$19+EV!D110*Catalogo!$F$14+EV!E110*Catalogo!$F$16+EV!F110*Catalogo!$F$18</f>
        <v>4782002.5607600007</v>
      </c>
      <c r="J110" s="224">
        <f ca="1">IF(TODAY()&gt;=$A110,SUMIFS(Tabla1[EV],Tabla1[Fecha],"&lt;="&amp;A110,Tabla1[EV],"&gt;0"),NA())</f>
        <v>4782002.5607600007</v>
      </c>
      <c r="L110"/>
      <c r="M110" s="221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2">
        <v>12000000</v>
      </c>
      <c r="C111" s="110">
        <f ca="1">IF(TODAY()&gt;=$A111,SUMIFS(Tabla1[Avance_km],Tabla1[Fecha],"&lt;="&amp;EV!$A111,Tabla1[nombre_actividad],EV!C$1),NA())</f>
        <v>99.906000000000049</v>
      </c>
      <c r="D111" s="110">
        <f ca="1">IF(TODAY()&gt;=$A111,SUMIFS(Tabla1[Avance_km],Tabla1[Fecha],"&lt;="&amp;EV!$A111,Tabla1[nombre_actividad],EV!D$1),NA())</f>
        <v>99.906000000000006</v>
      </c>
      <c r="E111" s="110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0"/>
      <c r="I111" s="224">
        <f ca="1">+C111*Catalogo!$F$19+EV!D111*Catalogo!$F$14+EV!E111*Catalogo!$F$16+EV!F111*Catalogo!$F$18</f>
        <v>4782002.5607600007</v>
      </c>
      <c r="J111" s="224">
        <f ca="1">IF(TODAY()&gt;=$A111,SUMIFS(Tabla1[EV],Tabla1[Fecha],"&lt;="&amp;A111,Tabla1[EV],"&gt;0"),NA())</f>
        <v>4782002.5607600007</v>
      </c>
      <c r="L111"/>
      <c r="M111" s="22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2">
        <v>12000000</v>
      </c>
      <c r="C112" s="110">
        <f ca="1">IF(TODAY()&gt;=$A112,SUMIFS(Tabla1[Avance_km],Tabla1[Fecha],"&lt;="&amp;EV!$A112,Tabla1[nombre_actividad],EV!C$1),NA())</f>
        <v>99.906000000000049</v>
      </c>
      <c r="D112" s="110">
        <f ca="1">IF(TODAY()&gt;=$A112,SUMIFS(Tabla1[Avance_km],Tabla1[Fecha],"&lt;="&amp;EV!$A112,Tabla1[nombre_actividad],EV!D$1),NA())</f>
        <v>99.906000000000006</v>
      </c>
      <c r="E112" s="110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0"/>
      <c r="I112" s="224">
        <f ca="1">+C112*Catalogo!$F$19+EV!D112*Catalogo!$F$14+EV!E112*Catalogo!$F$16+EV!F112*Catalogo!$F$18</f>
        <v>4782002.5607600007</v>
      </c>
      <c r="J112" s="224">
        <f ca="1">IF(TODAY()&gt;=$A112,SUMIFS(Tabla1[EV],Tabla1[Fecha],"&lt;="&amp;A112,Tabla1[EV],"&gt;0"),NA())</f>
        <v>4782002.5607600007</v>
      </c>
      <c r="L112"/>
      <c r="M112" s="221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2">
        <v>12000000</v>
      </c>
      <c r="C113" s="110">
        <f ca="1">IF(TODAY()&gt;=$A113,SUMIFS(Tabla1[Avance_km],Tabla1[Fecha],"&lt;="&amp;EV!$A113,Tabla1[nombre_actividad],EV!C$1),NA())</f>
        <v>99.906000000000049</v>
      </c>
      <c r="D113" s="110">
        <f ca="1">IF(TODAY()&gt;=$A113,SUMIFS(Tabla1[Avance_km],Tabla1[Fecha],"&lt;="&amp;EV!$A113,Tabla1[nombre_actividad],EV!D$1),NA())</f>
        <v>99.906000000000006</v>
      </c>
      <c r="E113" s="110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0"/>
      <c r="I113" s="224">
        <f ca="1">+C113*Catalogo!$F$19+EV!D113*Catalogo!$F$14+EV!E113*Catalogo!$F$16+EV!F113*Catalogo!$F$18</f>
        <v>4782002.5607600007</v>
      </c>
      <c r="J113" s="224">
        <f ca="1">IF(TODAY()&gt;=$A113,SUMIFS(Tabla1[EV],Tabla1[Fecha],"&lt;="&amp;A113,Tabla1[EV],"&gt;0"),NA())</f>
        <v>4782002.5607600007</v>
      </c>
      <c r="L113"/>
      <c r="M113" s="221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2">
        <v>12000000</v>
      </c>
      <c r="C114" s="110">
        <f ca="1">IF(TODAY()&gt;=$A114,SUMIFS(Tabla1[Avance_km],Tabla1[Fecha],"&lt;="&amp;EV!$A114,Tabla1[nombre_actividad],EV!C$1),NA())</f>
        <v>99.906000000000049</v>
      </c>
      <c r="D114" s="110">
        <f ca="1">IF(TODAY()&gt;=$A114,SUMIFS(Tabla1[Avance_km],Tabla1[Fecha],"&lt;="&amp;EV!$A114,Tabla1[nombre_actividad],EV!D$1),NA())</f>
        <v>99.906000000000006</v>
      </c>
      <c r="E114" s="110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0"/>
      <c r="I114" s="224">
        <f ca="1">+C114*Catalogo!$F$19+EV!D114*Catalogo!$F$14+EV!E114*Catalogo!$F$16+EV!F114*Catalogo!$F$18</f>
        <v>4782002.5607600007</v>
      </c>
      <c r="J114" s="224">
        <f ca="1">IF(TODAY()&gt;=$A114,SUMIFS(Tabla1[EV],Tabla1[Fecha],"&lt;="&amp;A114,Tabla1[EV],"&gt;0"),NA())</f>
        <v>4782002.5607600007</v>
      </c>
      <c r="L114"/>
      <c r="M114" s="221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2">
        <v>12000000</v>
      </c>
      <c r="C115" s="110">
        <f ca="1">IF(TODAY()&gt;=$A115,SUMIFS(Tabla1[Avance_km],Tabla1[Fecha],"&lt;="&amp;EV!$A115,Tabla1[nombre_actividad],EV!C$1),NA())</f>
        <v>99.906000000000049</v>
      </c>
      <c r="D115" s="110">
        <f ca="1">IF(TODAY()&gt;=$A115,SUMIFS(Tabla1[Avance_km],Tabla1[Fecha],"&lt;="&amp;EV!$A115,Tabla1[nombre_actividad],EV!D$1),NA())</f>
        <v>99.906000000000006</v>
      </c>
      <c r="E115" s="110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0"/>
      <c r="I115" s="224">
        <f ca="1">+C115*Catalogo!$F$19+EV!D115*Catalogo!$F$14+EV!E115*Catalogo!$F$16+EV!F115*Catalogo!$F$18</f>
        <v>4782002.5607600007</v>
      </c>
      <c r="J115" s="224">
        <f ca="1">IF(TODAY()&gt;=$A115,SUMIFS(Tabla1[EV],Tabla1[Fecha],"&lt;="&amp;A115,Tabla1[EV],"&gt;0"),NA())</f>
        <v>4782002.5607600007</v>
      </c>
      <c r="L115"/>
      <c r="M115" s="221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2">
        <v>12000000</v>
      </c>
      <c r="C116" s="110">
        <f ca="1">IF(TODAY()&gt;=$A116,SUMIFS(Tabla1[Avance_km],Tabla1[Fecha],"&lt;="&amp;EV!$A116,Tabla1[nombre_actividad],EV!C$1),NA())</f>
        <v>99.906000000000049</v>
      </c>
      <c r="D116" s="110">
        <f ca="1">IF(TODAY()&gt;=$A116,SUMIFS(Tabla1[Avance_km],Tabla1[Fecha],"&lt;="&amp;EV!$A116,Tabla1[nombre_actividad],EV!D$1),NA())</f>
        <v>99.906000000000006</v>
      </c>
      <c r="E116" s="110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0"/>
      <c r="I116" s="224">
        <f ca="1">+C116*Catalogo!$F$19+EV!D116*Catalogo!$F$14+EV!E116*Catalogo!$F$16+EV!F116*Catalogo!$F$18</f>
        <v>4782002.5607600007</v>
      </c>
      <c r="J116" s="224">
        <f ca="1">IF(TODAY()&gt;=$A116,SUMIFS(Tabla1[EV],Tabla1[Fecha],"&lt;="&amp;A116,Tabla1[EV],"&gt;0"),NA())</f>
        <v>4782002.5607600007</v>
      </c>
      <c r="L116"/>
      <c r="M116" s="221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2">
        <v>12000000</v>
      </c>
      <c r="C117" s="110">
        <f ca="1">IF(TODAY()&gt;=$A117,SUMIFS(Tabla1[Avance_km],Tabla1[Fecha],"&lt;="&amp;EV!$A117,Tabla1[nombre_actividad],EV!C$1),NA())</f>
        <v>99.906000000000049</v>
      </c>
      <c r="D117" s="110">
        <f ca="1">IF(TODAY()&gt;=$A117,SUMIFS(Tabla1[Avance_km],Tabla1[Fecha],"&lt;="&amp;EV!$A117,Tabla1[nombre_actividad],EV!D$1),NA())</f>
        <v>99.906000000000006</v>
      </c>
      <c r="E117" s="110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0"/>
      <c r="I117" s="224">
        <f ca="1">+C117*Catalogo!$F$19+EV!D117*Catalogo!$F$14+EV!E117*Catalogo!$F$16+EV!F117*Catalogo!$F$18</f>
        <v>4782002.5607600007</v>
      </c>
      <c r="J117" s="224">
        <f ca="1">IF(TODAY()&gt;=$A117,SUMIFS(Tabla1[EV],Tabla1[Fecha],"&lt;="&amp;A117,Tabla1[EV],"&gt;0"),NA())</f>
        <v>4782002.5607600007</v>
      </c>
      <c r="L117"/>
      <c r="M117" s="221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2">
        <v>12000000</v>
      </c>
      <c r="C118" s="110">
        <f ca="1">IF(TODAY()&gt;=$A118,SUMIFS(Tabla1[Avance_km],Tabla1[Fecha],"&lt;="&amp;EV!$A118,Tabla1[nombre_actividad],EV!C$1),NA())</f>
        <v>99.906000000000049</v>
      </c>
      <c r="D118" s="110">
        <f ca="1">IF(TODAY()&gt;=$A118,SUMIFS(Tabla1[Avance_km],Tabla1[Fecha],"&lt;="&amp;EV!$A118,Tabla1[nombre_actividad],EV!D$1),NA())</f>
        <v>99.906000000000006</v>
      </c>
      <c r="E118" s="110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0"/>
      <c r="I118" s="224">
        <f ca="1">+C118*Catalogo!$F$19+EV!D118*Catalogo!$F$14+EV!E118*Catalogo!$F$16+EV!F118*Catalogo!$F$18</f>
        <v>4782002.5607600007</v>
      </c>
      <c r="J118" s="224">
        <f ca="1">IF(TODAY()&gt;=$A118,SUMIFS(Tabla1[EV],Tabla1[Fecha],"&lt;="&amp;A118,Tabla1[EV],"&gt;0"),NA())</f>
        <v>4782002.5607600007</v>
      </c>
      <c r="L118"/>
      <c r="M118" s="221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2">
        <v>12000000</v>
      </c>
      <c r="C119" s="110">
        <f ca="1">IF(TODAY()&gt;=$A119,SUMIFS(Tabla1[Avance_km],Tabla1[Fecha],"&lt;="&amp;EV!$A119,Tabla1[nombre_actividad],EV!C$1),NA())</f>
        <v>99.906000000000049</v>
      </c>
      <c r="D119" s="110">
        <f ca="1">IF(TODAY()&gt;=$A119,SUMIFS(Tabla1[Avance_km],Tabla1[Fecha],"&lt;="&amp;EV!$A119,Tabla1[nombre_actividad],EV!D$1),NA())</f>
        <v>99.906000000000006</v>
      </c>
      <c r="E119" s="110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0"/>
      <c r="I119" s="224">
        <f ca="1">+C119*Catalogo!$F$19+EV!D119*Catalogo!$F$14+EV!E119*Catalogo!$F$16+EV!F119*Catalogo!$F$18</f>
        <v>4782002.5607600007</v>
      </c>
      <c r="J119" s="224">
        <f ca="1">IF(TODAY()&gt;=$A119,SUMIFS(Tabla1[EV],Tabla1[Fecha],"&lt;="&amp;A119,Tabla1[EV],"&gt;0"),NA())</f>
        <v>4782002.5607600007</v>
      </c>
      <c r="L119"/>
      <c r="M119" s="221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2">
        <v>12000000</v>
      </c>
      <c r="C120" s="110">
        <f ca="1">IF(TODAY()&gt;=$A120,SUMIFS(Tabla1[Avance_km],Tabla1[Fecha],"&lt;="&amp;EV!$A120,Tabla1[nombre_actividad],EV!C$1),NA())</f>
        <v>99.906000000000049</v>
      </c>
      <c r="D120" s="110">
        <f ca="1">IF(TODAY()&gt;=$A120,SUMIFS(Tabla1[Avance_km],Tabla1[Fecha],"&lt;="&amp;EV!$A120,Tabla1[nombre_actividad],EV!D$1),NA())</f>
        <v>99.906000000000006</v>
      </c>
      <c r="E120" s="110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0"/>
      <c r="I120" s="224">
        <f ca="1">+C120*Catalogo!$F$19+EV!D120*Catalogo!$F$14+EV!E120*Catalogo!$F$16+EV!F120*Catalogo!$F$18</f>
        <v>4782002.5607600007</v>
      </c>
      <c r="J120" s="224">
        <f ca="1">IF(TODAY()&gt;=$A120,SUMIFS(Tabla1[EV],Tabla1[Fecha],"&lt;="&amp;A120,Tabla1[EV],"&gt;0"),NA())</f>
        <v>4782002.5607600007</v>
      </c>
      <c r="K120" s="287"/>
      <c r="L120"/>
      <c r="M120" s="221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2">
        <v>12000000</v>
      </c>
      <c r="C121" s="110">
        <f ca="1">IF(TODAY()&gt;=$A121,SUMIFS(Tabla1[Avance_km],Tabla1[Fecha],"&lt;="&amp;EV!$A121,Tabla1[nombre_actividad],EV!C$1),NA())</f>
        <v>99.906000000000049</v>
      </c>
      <c r="D121" s="110">
        <f ca="1">IF(TODAY()&gt;=$A121,SUMIFS(Tabla1[Avance_km],Tabla1[Fecha],"&lt;="&amp;EV!$A121,Tabla1[nombre_actividad],EV!D$1),NA())</f>
        <v>99.906000000000006</v>
      </c>
      <c r="E121" s="110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0"/>
      <c r="I121" s="224">
        <f ca="1">+C121*Catalogo!$F$19+EV!D121*Catalogo!$F$14+EV!E121*Catalogo!$F$16+EV!F121*Catalogo!$F$18</f>
        <v>4782002.5607600007</v>
      </c>
      <c r="J121" s="224">
        <f ca="1">IF(TODAY()&gt;=$A121,SUMIFS(Tabla1[EV],Tabla1[Fecha],"&lt;="&amp;A121,Tabla1[EV],"&gt;0"),NA())</f>
        <v>4782002.5607600007</v>
      </c>
      <c r="L121"/>
      <c r="M121" s="2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2">
        <v>12000000</v>
      </c>
      <c r="C122" s="110">
        <f ca="1">IF(TODAY()&gt;=$A122,SUMIFS(Tabla1[Avance_km],Tabla1[Fecha],"&lt;="&amp;EV!$A122,Tabla1[nombre_actividad],EV!C$1),NA())</f>
        <v>99.906000000000049</v>
      </c>
      <c r="D122" s="110">
        <f ca="1">IF(TODAY()&gt;=$A122,SUMIFS(Tabla1[Avance_km],Tabla1[Fecha],"&lt;="&amp;EV!$A122,Tabla1[nombre_actividad],EV!D$1),NA())</f>
        <v>99.906000000000006</v>
      </c>
      <c r="E122" s="110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0"/>
      <c r="I122" s="224">
        <f ca="1">+C122*Catalogo!$F$19+EV!D122*Catalogo!$F$14+EV!E122*Catalogo!$F$16+EV!F122*Catalogo!$F$18</f>
        <v>4782002.5607600007</v>
      </c>
      <c r="J122" s="224">
        <f ca="1">IF(TODAY()&gt;=$A122,SUMIFS(Tabla1[EV],Tabla1[Fecha],"&lt;="&amp;A122,Tabla1[EV],"&gt;0"),NA())</f>
        <v>4782002.5607600007</v>
      </c>
      <c r="L122"/>
      <c r="M122" s="221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2">
        <v>12000000</v>
      </c>
      <c r="C123" s="110">
        <f ca="1">IF(TODAY()&gt;=$A123,SUMIFS(Tabla1[Avance_km],Tabla1[Fecha],"&lt;="&amp;EV!$A123,Tabla1[nombre_actividad],EV!C$1),NA())</f>
        <v>99.906000000000049</v>
      </c>
      <c r="D123" s="110">
        <f ca="1">IF(TODAY()&gt;=$A123,SUMIFS(Tabla1[Avance_km],Tabla1[Fecha],"&lt;="&amp;EV!$A123,Tabla1[nombre_actividad],EV!D$1),NA())</f>
        <v>99.906000000000006</v>
      </c>
      <c r="E123" s="110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0"/>
      <c r="I123" s="224">
        <f ca="1">+C123*Catalogo!$F$19+EV!D123*Catalogo!$F$14+EV!E123*Catalogo!$F$16+EV!F123*Catalogo!$F$18</f>
        <v>4782002.5607600007</v>
      </c>
      <c r="J123" s="224">
        <f ca="1">IF(TODAY()&gt;=$A123,SUMIFS(Tabla1[EV],Tabla1[Fecha],"&lt;="&amp;A123,Tabla1[EV],"&gt;0"),NA())</f>
        <v>4782002.5607600007</v>
      </c>
      <c r="L123"/>
      <c r="M123" s="221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2">
        <v>12000000</v>
      </c>
      <c r="C124" s="110">
        <f ca="1">IF(TODAY()&gt;=$A124,SUMIFS(Tabla1[Avance_km],Tabla1[Fecha],"&lt;="&amp;EV!$A124,Tabla1[nombre_actividad],EV!C$1),NA())</f>
        <v>99.906000000000049</v>
      </c>
      <c r="D124" s="110">
        <f ca="1">IF(TODAY()&gt;=$A124,SUMIFS(Tabla1[Avance_km],Tabla1[Fecha],"&lt;="&amp;EV!$A124,Tabla1[nombre_actividad],EV!D$1),NA())</f>
        <v>99.906000000000006</v>
      </c>
      <c r="E124" s="110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0"/>
      <c r="I124" s="224">
        <f ca="1">+C124*Catalogo!$F$19+EV!D124*Catalogo!$F$14+EV!E124*Catalogo!$F$16+EV!F124*Catalogo!$F$18</f>
        <v>4782002.5607600007</v>
      </c>
      <c r="J124" s="224">
        <f ca="1">IF(TODAY()&gt;=$A124,SUMIFS(Tabla1[EV],Tabla1[Fecha],"&lt;="&amp;A124,Tabla1[EV],"&gt;0"),NA())</f>
        <v>4782002.5607600007</v>
      </c>
      <c r="L124"/>
      <c r="M124" s="221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2">
        <v>12000000</v>
      </c>
      <c r="C125" s="110">
        <f ca="1">IF(TODAY()&gt;=$A125,SUMIFS(Tabla1[Avance_km],Tabla1[Fecha],"&lt;="&amp;EV!$A125,Tabla1[nombre_actividad],EV!C$1),NA())</f>
        <v>99.906000000000049</v>
      </c>
      <c r="D125" s="110">
        <f ca="1">IF(TODAY()&gt;=$A125,SUMIFS(Tabla1[Avance_km],Tabla1[Fecha],"&lt;="&amp;EV!$A125,Tabla1[nombre_actividad],EV!D$1),NA())</f>
        <v>99.906000000000006</v>
      </c>
      <c r="E125" s="110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0"/>
      <c r="I125" s="224">
        <f ca="1">+C125*Catalogo!$F$19+EV!D125*Catalogo!$F$14+EV!E125*Catalogo!$F$16+EV!F125*Catalogo!$F$18</f>
        <v>4782002.5607600007</v>
      </c>
      <c r="J125" s="224">
        <f ca="1">IF(TODAY()&gt;=$A125,SUMIFS(Tabla1[EV],Tabla1[Fecha],"&lt;="&amp;A125,Tabla1[EV],"&gt;0"),NA())</f>
        <v>4782002.5607600007</v>
      </c>
      <c r="L125"/>
      <c r="M125" s="221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2">
        <v>12000000</v>
      </c>
      <c r="C126" s="110">
        <f ca="1">IF(TODAY()&gt;=$A126,SUMIFS(Tabla1[Avance_km],Tabla1[Fecha],"&lt;="&amp;EV!$A126,Tabla1[nombre_actividad],EV!C$1),NA())</f>
        <v>99.906000000000049</v>
      </c>
      <c r="D126" s="110">
        <f ca="1">IF(TODAY()&gt;=$A126,SUMIFS(Tabla1[Avance_km],Tabla1[Fecha],"&lt;="&amp;EV!$A126,Tabla1[nombre_actividad],EV!D$1),NA())</f>
        <v>99.906000000000006</v>
      </c>
      <c r="E126" s="110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0"/>
      <c r="I126" s="224">
        <f ca="1">+C126*Catalogo!$F$19+EV!D126*Catalogo!$F$14+EV!E126*Catalogo!$F$16+EV!F126*Catalogo!$F$18</f>
        <v>4782002.5607600007</v>
      </c>
      <c r="J126" s="224">
        <f ca="1">IF(TODAY()&gt;=$A126,SUMIFS(Tabla1[EV],Tabla1[Fecha],"&lt;="&amp;A126,Tabla1[EV],"&gt;0"),NA())</f>
        <v>4782002.5607600007</v>
      </c>
      <c r="L126"/>
      <c r="M126" s="221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2">
        <v>12000000</v>
      </c>
      <c r="C127" s="110">
        <f ca="1">IF(TODAY()&gt;=$A127,SUMIFS(Tabla1[Avance_km],Tabla1[Fecha],"&lt;="&amp;EV!$A127,Tabla1[nombre_actividad],EV!C$1),NA())</f>
        <v>99.906000000000049</v>
      </c>
      <c r="D127" s="110">
        <f ca="1">IF(TODAY()&gt;=$A127,SUMIFS(Tabla1[Avance_km],Tabla1[Fecha],"&lt;="&amp;EV!$A127,Tabla1[nombre_actividad],EV!D$1),NA())</f>
        <v>99.906000000000006</v>
      </c>
      <c r="E127" s="110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0"/>
      <c r="I127" s="224">
        <f ca="1">+C127*Catalogo!$F$19+EV!D127*Catalogo!$F$14+EV!E127*Catalogo!$F$16+EV!F127*Catalogo!$F$18</f>
        <v>4782002.5607600007</v>
      </c>
      <c r="J127" s="224">
        <f ca="1">IF(TODAY()&gt;=$A127,SUMIFS(Tabla1[EV],Tabla1[Fecha],"&lt;="&amp;A127,Tabla1[EV],"&gt;0"),NA())</f>
        <v>4782002.5607600007</v>
      </c>
      <c r="L127"/>
      <c r="M127" s="221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2">
        <v>12000000</v>
      </c>
      <c r="C128" s="110">
        <f ca="1">IF(TODAY()&gt;=$A128,SUMIFS(Tabla1[Avance_km],Tabla1[Fecha],"&lt;="&amp;EV!$A128,Tabla1[nombre_actividad],EV!C$1),NA())</f>
        <v>99.906000000000049</v>
      </c>
      <c r="D128" s="110">
        <f ca="1">IF(TODAY()&gt;=$A128,SUMIFS(Tabla1[Avance_km],Tabla1[Fecha],"&lt;="&amp;EV!$A128,Tabla1[nombre_actividad],EV!D$1),NA())</f>
        <v>99.906000000000006</v>
      </c>
      <c r="E128" s="110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0"/>
      <c r="I128" s="224">
        <f ca="1">+C128*Catalogo!$F$19+EV!D128*Catalogo!$F$14+EV!E128*Catalogo!$F$16+EV!F128*Catalogo!$F$18</f>
        <v>4782002.5607600007</v>
      </c>
      <c r="J128" s="224">
        <f ca="1">IF(TODAY()&gt;=$A128,SUMIFS(Tabla1[EV],Tabla1[Fecha],"&lt;="&amp;A128,Tabla1[EV],"&gt;0"),NA())</f>
        <v>4782002.5607600007</v>
      </c>
      <c r="L128"/>
      <c r="M128" s="221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2">
        <v>12000000</v>
      </c>
      <c r="C129" s="110">
        <f ca="1">IF(TODAY()&gt;=$A129,SUMIFS(Tabla1[Avance_km],Tabla1[Fecha],"&lt;="&amp;EV!$A129,Tabla1[nombre_actividad],EV!C$1),NA())</f>
        <v>99.906000000000049</v>
      </c>
      <c r="D129" s="110">
        <f ca="1">IF(TODAY()&gt;=$A129,SUMIFS(Tabla1[Avance_km],Tabla1[Fecha],"&lt;="&amp;EV!$A129,Tabla1[nombre_actividad],EV!D$1),NA())</f>
        <v>99.906000000000006</v>
      </c>
      <c r="E129" s="110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0"/>
      <c r="I129" s="224">
        <f ca="1">+C129*Catalogo!$F$19+EV!D129*Catalogo!$F$14+EV!E129*Catalogo!$F$16+EV!F129*Catalogo!$F$18</f>
        <v>4782002.5607600007</v>
      </c>
      <c r="J129" s="224">
        <f ca="1">IF(TODAY()&gt;=$A129,SUMIFS(Tabla1[EV],Tabla1[Fecha],"&lt;="&amp;A129,Tabla1[EV],"&gt;0"),NA())</f>
        <v>4782002.5607600007</v>
      </c>
      <c r="L129"/>
      <c r="M129" s="221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2">
        <v>12000000</v>
      </c>
      <c r="C130" s="110">
        <f ca="1">IF(TODAY()&gt;=$A130,SUMIFS(Tabla1[Avance_km],Tabla1[Fecha],"&lt;="&amp;EV!$A130,Tabla1[nombre_actividad],EV!C$1),NA())</f>
        <v>99.906000000000049</v>
      </c>
      <c r="D130" s="110">
        <f ca="1">IF(TODAY()&gt;=$A130,SUMIFS(Tabla1[Avance_km],Tabla1[Fecha],"&lt;="&amp;EV!$A130,Tabla1[nombre_actividad],EV!D$1),NA())</f>
        <v>99.906000000000006</v>
      </c>
      <c r="E130" s="110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0"/>
      <c r="I130" s="224">
        <f ca="1">+C130*Catalogo!$F$19+EV!D130*Catalogo!$F$14+EV!E130*Catalogo!$F$16+EV!F130*Catalogo!$F$18</f>
        <v>4782002.5607600007</v>
      </c>
      <c r="J130" s="224">
        <f ca="1">IF(TODAY()&gt;=$A130,SUMIFS(Tabla1[EV],Tabla1[Fecha],"&lt;="&amp;A130,Tabla1[EV],"&gt;0"),NA())</f>
        <v>4782002.5607600007</v>
      </c>
      <c r="L130"/>
      <c r="M130" s="221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2">
        <v>12000000</v>
      </c>
      <c r="C131" s="110">
        <f ca="1">IF(TODAY()&gt;=$A131,SUMIFS(Tabla1[Avance_km],Tabla1[Fecha],"&lt;="&amp;EV!$A131,Tabla1[nombre_actividad],EV!C$1),NA())</f>
        <v>99.906000000000049</v>
      </c>
      <c r="D131" s="110">
        <f ca="1">IF(TODAY()&gt;=$A131,SUMIFS(Tabla1[Avance_km],Tabla1[Fecha],"&lt;="&amp;EV!$A131,Tabla1[nombre_actividad],EV!D$1),NA())</f>
        <v>99.906000000000006</v>
      </c>
      <c r="E131" s="110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0"/>
      <c r="I131" s="224">
        <f ca="1">+C131*Catalogo!$F$19+EV!D131*Catalogo!$F$14+EV!E131*Catalogo!$F$16+EV!F131*Catalogo!$F$18</f>
        <v>4782002.5607600007</v>
      </c>
      <c r="J131" s="224">
        <f ca="1">IF(TODAY()&gt;=$A131,SUMIFS(Tabla1[EV],Tabla1[Fecha],"&lt;="&amp;A131,Tabla1[EV],"&gt;0"),NA())</f>
        <v>4782002.5607600007</v>
      </c>
      <c r="L131"/>
      <c r="M131" s="22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2">
        <v>12000000</v>
      </c>
      <c r="C132" s="110">
        <f ca="1">IF(TODAY()&gt;=$A132,SUMIFS(Tabla1[Avance_km],Tabla1[Fecha],"&lt;="&amp;EV!$A132,Tabla1[nombre_actividad],EV!C$1),NA())</f>
        <v>99.906000000000049</v>
      </c>
      <c r="D132" s="110">
        <f ca="1">IF(TODAY()&gt;=$A132,SUMIFS(Tabla1[Avance_km],Tabla1[Fecha],"&lt;="&amp;EV!$A132,Tabla1[nombre_actividad],EV!D$1),NA())</f>
        <v>99.906000000000006</v>
      </c>
      <c r="E132" s="110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0"/>
      <c r="I132" s="224">
        <f ca="1">+C132*Catalogo!$F$19+EV!D132*Catalogo!$F$14+EV!E132*Catalogo!$F$16+EV!F132*Catalogo!$F$18</f>
        <v>4782002.5607600007</v>
      </c>
      <c r="J132" s="224">
        <f ca="1">IF(TODAY()&gt;=$A132,SUMIFS(Tabla1[EV],Tabla1[Fecha],"&lt;="&amp;A132,Tabla1[EV],"&gt;0"),NA())</f>
        <v>4782002.5607600007</v>
      </c>
      <c r="L132"/>
      <c r="M132" s="221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2">
        <v>12000000</v>
      </c>
      <c r="C133" s="110">
        <f ca="1">IF(TODAY()&gt;=$A133,SUMIFS(Tabla1[Avance_km],Tabla1[Fecha],"&lt;="&amp;EV!$A133,Tabla1[nombre_actividad],EV!C$1),NA())</f>
        <v>99.906000000000049</v>
      </c>
      <c r="D133" s="110">
        <f ca="1">IF(TODAY()&gt;=$A133,SUMIFS(Tabla1[Avance_km],Tabla1[Fecha],"&lt;="&amp;EV!$A133,Tabla1[nombre_actividad],EV!D$1),NA())</f>
        <v>99.906000000000006</v>
      </c>
      <c r="E133" s="110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0"/>
      <c r="I133" s="224">
        <f ca="1">+C133*Catalogo!$F$19+EV!D133*Catalogo!$F$14+EV!E133*Catalogo!$F$16+EV!F133*Catalogo!$F$18</f>
        <v>4782002.5607600007</v>
      </c>
      <c r="J133" s="224">
        <f ca="1">IF(TODAY()&gt;=$A133,SUMIFS(Tabla1[EV],Tabla1[Fecha],"&lt;="&amp;A133,Tabla1[EV],"&gt;0"),NA())</f>
        <v>4782002.5607600007</v>
      </c>
      <c r="L133"/>
      <c r="M133" s="221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2">
        <v>12000000</v>
      </c>
      <c r="C134" s="110">
        <f ca="1">IF(TODAY()&gt;=$A134,SUMIFS(Tabla1[Avance_km],Tabla1[Fecha],"&lt;="&amp;EV!$A134,Tabla1[nombre_actividad],EV!C$1),NA())</f>
        <v>99.906000000000049</v>
      </c>
      <c r="D134" s="110">
        <f ca="1">IF(TODAY()&gt;=$A134,SUMIFS(Tabla1[Avance_km],Tabla1[Fecha],"&lt;="&amp;EV!$A134,Tabla1[nombre_actividad],EV!D$1),NA())</f>
        <v>99.906000000000006</v>
      </c>
      <c r="E134" s="110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0"/>
      <c r="I134" s="224">
        <f ca="1">+C134*Catalogo!$F$19+EV!D134*Catalogo!$F$14+EV!E134*Catalogo!$F$16+EV!F134*Catalogo!$F$18</f>
        <v>4782002.5607600007</v>
      </c>
      <c r="J134" s="224">
        <f ca="1">IF(TODAY()&gt;=$A134,SUMIFS(Tabla1[EV],Tabla1[Fecha],"&lt;="&amp;A134,Tabla1[EV],"&gt;0"),NA())</f>
        <v>4782002.5607600007</v>
      </c>
      <c r="L134"/>
      <c r="M134" s="221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2">
        <v>12000000</v>
      </c>
      <c r="C135" s="110">
        <f ca="1">IF(TODAY()&gt;=$A135,SUMIFS(Tabla1[Avance_km],Tabla1[Fecha],"&lt;="&amp;EV!$A135,Tabla1[nombre_actividad],EV!C$1),NA())</f>
        <v>99.906000000000049</v>
      </c>
      <c r="D135" s="110">
        <f ca="1">IF(TODAY()&gt;=$A135,SUMIFS(Tabla1[Avance_km],Tabla1[Fecha],"&lt;="&amp;EV!$A135,Tabla1[nombre_actividad],EV!D$1),NA())</f>
        <v>99.906000000000006</v>
      </c>
      <c r="E135" s="110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0"/>
      <c r="I135" s="224">
        <f ca="1">+C135*Catalogo!$F$19+EV!D135*Catalogo!$F$14+EV!E135*Catalogo!$F$16+EV!F135*Catalogo!$F$18</f>
        <v>4782002.5607600007</v>
      </c>
      <c r="J135" s="224">
        <f ca="1">IF(TODAY()&gt;=$A135,SUMIFS(Tabla1[EV],Tabla1[Fecha],"&lt;="&amp;A135,Tabla1[EV],"&gt;0"),NA())</f>
        <v>4782002.5607600007</v>
      </c>
      <c r="L135"/>
      <c r="M135" s="221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2">
        <v>12000000</v>
      </c>
      <c r="C136" s="110">
        <f ca="1">IF(TODAY()&gt;=$A136,SUMIFS(Tabla1[Avance_km],Tabla1[Fecha],"&lt;="&amp;EV!$A136,Tabla1[nombre_actividad],EV!C$1),NA())</f>
        <v>99.906000000000049</v>
      </c>
      <c r="D136" s="110">
        <f ca="1">IF(TODAY()&gt;=$A136,SUMIFS(Tabla1[Avance_km],Tabla1[Fecha],"&lt;="&amp;EV!$A136,Tabla1[nombre_actividad],EV!D$1),NA())</f>
        <v>99.906000000000006</v>
      </c>
      <c r="E136" s="110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0"/>
      <c r="I136" s="224">
        <f ca="1">+C136*Catalogo!$F$19+EV!D136*Catalogo!$F$14+EV!E136*Catalogo!$F$16+EV!F136*Catalogo!$F$18</f>
        <v>4782002.5607600007</v>
      </c>
      <c r="J136" s="224">
        <f ca="1">IF(TODAY()&gt;=$A136,SUMIFS(Tabla1[EV],Tabla1[Fecha],"&lt;="&amp;A136,Tabla1[EV],"&gt;0"),NA())</f>
        <v>4782002.5607600007</v>
      </c>
      <c r="L136"/>
      <c r="M136" s="221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2">
        <v>12000000</v>
      </c>
      <c r="C137" s="110">
        <f ca="1">IF(TODAY()&gt;=$A137,SUMIFS(Tabla1[Avance_km],Tabla1[Fecha],"&lt;="&amp;EV!$A137,Tabla1[nombre_actividad],EV!C$1),NA())</f>
        <v>99.906000000000049</v>
      </c>
      <c r="D137" s="110">
        <f ca="1">IF(TODAY()&gt;=$A137,SUMIFS(Tabla1[Avance_km],Tabla1[Fecha],"&lt;="&amp;EV!$A137,Tabla1[nombre_actividad],EV!D$1),NA())</f>
        <v>99.906000000000006</v>
      </c>
      <c r="E137" s="110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0"/>
      <c r="I137" s="224">
        <f ca="1">+C137*Catalogo!$F$19+EV!D137*Catalogo!$F$14+EV!E137*Catalogo!$F$16+EV!F137*Catalogo!$F$18</f>
        <v>4782002.5607600007</v>
      </c>
      <c r="J137" s="224">
        <f ca="1">IF(TODAY()&gt;=$A137,SUMIFS(Tabla1[EV],Tabla1[Fecha],"&lt;="&amp;A137,Tabla1[EV],"&gt;0"),NA())</f>
        <v>4782002.5607600007</v>
      </c>
      <c r="L137"/>
      <c r="M137" s="221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2">
        <v>12000000</v>
      </c>
      <c r="C138" s="110">
        <f ca="1">IF(TODAY()&gt;=$A138,SUMIFS(Tabla1[Avance_km],Tabla1[Fecha],"&lt;="&amp;EV!$A138,Tabla1[nombre_actividad],EV!C$1),NA())</f>
        <v>99.906000000000049</v>
      </c>
      <c r="D138" s="110">
        <f ca="1">IF(TODAY()&gt;=$A138,SUMIFS(Tabla1[Avance_km],Tabla1[Fecha],"&lt;="&amp;EV!$A138,Tabla1[nombre_actividad],EV!D$1),NA())</f>
        <v>99.906000000000006</v>
      </c>
      <c r="E138" s="110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0"/>
      <c r="I138" s="224">
        <f ca="1">+C138*Catalogo!$F$19+EV!D138*Catalogo!$F$14+EV!E138*Catalogo!$F$16+EV!F138*Catalogo!$F$18</f>
        <v>4782002.5607600007</v>
      </c>
      <c r="J138" s="224">
        <f ca="1">IF(TODAY()&gt;=$A138,SUMIFS(Tabla1[EV],Tabla1[Fecha],"&lt;="&amp;A138,Tabla1[EV],"&gt;0"),NA())</f>
        <v>4782002.5607600007</v>
      </c>
      <c r="L138"/>
      <c r="M138" s="221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2">
        <v>12000000</v>
      </c>
      <c r="C139" s="110">
        <f ca="1">IF(TODAY()&gt;=$A139,SUMIFS(Tabla1[Avance_km],Tabla1[Fecha],"&lt;="&amp;EV!$A139,Tabla1[nombre_actividad],EV!C$1),NA())</f>
        <v>99.906000000000049</v>
      </c>
      <c r="D139" s="110">
        <f ca="1">IF(TODAY()&gt;=$A139,SUMIFS(Tabla1[Avance_km],Tabla1[Fecha],"&lt;="&amp;EV!$A139,Tabla1[nombre_actividad],EV!D$1),NA())</f>
        <v>99.906000000000006</v>
      </c>
      <c r="E139" s="110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0"/>
      <c r="I139" s="224">
        <f ca="1">+C139*Catalogo!$F$19+EV!D139*Catalogo!$F$14+EV!E139*Catalogo!$F$16+EV!F139*Catalogo!$F$18</f>
        <v>4782002.5607600007</v>
      </c>
      <c r="J139" s="224">
        <f ca="1">IF(TODAY()&gt;=$A139,SUMIFS(Tabla1[EV],Tabla1[Fecha],"&lt;="&amp;A139,Tabla1[EV],"&gt;0"),NA())</f>
        <v>4782002.5607600007</v>
      </c>
      <c r="L139"/>
      <c r="M139" s="221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2">
        <v>12000000</v>
      </c>
      <c r="C140" s="110">
        <f ca="1">IF(TODAY()&gt;=$A140,SUMIFS(Tabla1[Avance_km],Tabla1[Fecha],"&lt;="&amp;EV!$A140,Tabla1[nombre_actividad],EV!C$1),NA())</f>
        <v>99.906000000000049</v>
      </c>
      <c r="D140" s="110">
        <f ca="1">IF(TODAY()&gt;=$A140,SUMIFS(Tabla1[Avance_km],Tabla1[Fecha],"&lt;="&amp;EV!$A140,Tabla1[nombre_actividad],EV!D$1),NA())</f>
        <v>99.906000000000006</v>
      </c>
      <c r="E140" s="110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0"/>
      <c r="I140" s="224">
        <f ca="1">+C140*Catalogo!$F$19+EV!D140*Catalogo!$F$14+EV!E140*Catalogo!$F$16+EV!F140*Catalogo!$F$18</f>
        <v>4782002.5607600007</v>
      </c>
      <c r="J140" s="224">
        <f ca="1">IF(TODAY()&gt;=$A140,SUMIFS(Tabla1[EV],Tabla1[Fecha],"&lt;="&amp;A140,Tabla1[EV],"&gt;0"),NA())</f>
        <v>4782002.5607600007</v>
      </c>
      <c r="L140"/>
      <c r="M140" s="221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2">
        <v>12000000</v>
      </c>
      <c r="C141" s="110">
        <f ca="1">IF(TODAY()&gt;=$A141,SUMIFS(Tabla1[Avance_km],Tabla1[Fecha],"&lt;="&amp;EV!$A141,Tabla1[nombre_actividad],EV!C$1),NA())</f>
        <v>99.906000000000049</v>
      </c>
      <c r="D141" s="110">
        <f ca="1">IF(TODAY()&gt;=$A141,SUMIFS(Tabla1[Avance_km],Tabla1[Fecha],"&lt;="&amp;EV!$A141,Tabla1[nombre_actividad],EV!D$1),NA())</f>
        <v>99.906000000000006</v>
      </c>
      <c r="E141" s="110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0"/>
      <c r="I141" s="224">
        <f ca="1">+C141*Catalogo!$F$19+EV!D141*Catalogo!$F$14+EV!E141*Catalogo!$F$16+EV!F141*Catalogo!$F$18</f>
        <v>4782002.5607600007</v>
      </c>
      <c r="J141" s="224">
        <f ca="1">IF(TODAY()&gt;=$A141,SUMIFS(Tabla1[EV],Tabla1[Fecha],"&lt;="&amp;A141,Tabla1[EV],"&gt;0"),NA())</f>
        <v>4782002.5607600007</v>
      </c>
      <c r="L141"/>
      <c r="M141" s="22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2">
        <v>12000000</v>
      </c>
      <c r="C142" s="110">
        <f ca="1">IF(TODAY()&gt;=$A142,SUMIFS(Tabla1[Avance_km],Tabla1[Fecha],"&lt;="&amp;EV!$A142,Tabla1[nombre_actividad],EV!C$1),NA())</f>
        <v>99.906000000000049</v>
      </c>
      <c r="D142" s="110">
        <f ca="1">IF(TODAY()&gt;=$A142,SUMIFS(Tabla1[Avance_km],Tabla1[Fecha],"&lt;="&amp;EV!$A142,Tabla1[nombre_actividad],EV!D$1),NA())</f>
        <v>99.906000000000006</v>
      </c>
      <c r="E142" s="110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0"/>
      <c r="I142" s="224">
        <f ca="1">+C142*Catalogo!$F$19+EV!D142*Catalogo!$F$14+EV!E142*Catalogo!$F$16+EV!F142*Catalogo!$F$18</f>
        <v>4782002.5607600007</v>
      </c>
      <c r="J142" s="224">
        <f ca="1">IF(TODAY()&gt;=$A142,SUMIFS(Tabla1[EV],Tabla1[Fecha],"&lt;="&amp;A142,Tabla1[EV],"&gt;0"),NA())</f>
        <v>4782002.5607600007</v>
      </c>
      <c r="L142"/>
      <c r="M142" s="221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2">
        <v>12000000</v>
      </c>
      <c r="C143" s="110">
        <f ca="1">IF(TODAY()&gt;=$A143,SUMIFS(Tabla1[Avance_km],Tabla1[Fecha],"&lt;="&amp;EV!$A143,Tabla1[nombre_actividad],EV!C$1),NA())</f>
        <v>99.906000000000049</v>
      </c>
      <c r="D143" s="110">
        <f ca="1">IF(TODAY()&gt;=$A143,SUMIFS(Tabla1[Avance_km],Tabla1[Fecha],"&lt;="&amp;EV!$A143,Tabla1[nombre_actividad],EV!D$1),NA())</f>
        <v>99.906000000000006</v>
      </c>
      <c r="E143" s="110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0"/>
      <c r="I143" s="224">
        <f ca="1">+C143*Catalogo!$F$19+EV!D143*Catalogo!$F$14+EV!E143*Catalogo!$F$16+EV!F143*Catalogo!$F$18</f>
        <v>4782002.5607600007</v>
      </c>
      <c r="J143" s="224">
        <f ca="1">IF(TODAY()&gt;=$A143,SUMIFS(Tabla1[EV],Tabla1[Fecha],"&lt;="&amp;A143,Tabla1[EV],"&gt;0"),NA())</f>
        <v>4782002.5607600007</v>
      </c>
      <c r="L143"/>
      <c r="M143" s="221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2">
        <v>12000000</v>
      </c>
      <c r="C144" s="110">
        <f ca="1">IF(TODAY()&gt;=$A144,SUMIFS(Tabla1[Avance_km],Tabla1[Fecha],"&lt;="&amp;EV!$A144,Tabla1[nombre_actividad],EV!C$1),NA())</f>
        <v>99.906000000000049</v>
      </c>
      <c r="D144" s="110">
        <f ca="1">IF(TODAY()&gt;=$A144,SUMIFS(Tabla1[Avance_km],Tabla1[Fecha],"&lt;="&amp;EV!$A144,Tabla1[nombre_actividad],EV!D$1),NA())</f>
        <v>99.906000000000006</v>
      </c>
      <c r="E144" s="110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0"/>
      <c r="I144" s="224">
        <f ca="1">+C144*Catalogo!$F$19+EV!D144*Catalogo!$F$14+EV!E144*Catalogo!$F$16+EV!F144*Catalogo!$F$18</f>
        <v>4782002.5607600007</v>
      </c>
      <c r="J144" s="224">
        <f ca="1">IF(TODAY()&gt;=$A144,SUMIFS(Tabla1[EV],Tabla1[Fecha],"&lt;="&amp;A144,Tabla1[EV],"&gt;0"),NA())</f>
        <v>4782002.5607600007</v>
      </c>
      <c r="L144"/>
      <c r="M144" s="221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2">
        <v>12000000</v>
      </c>
      <c r="C145" s="110">
        <f ca="1">IF(TODAY()&gt;=$A145,SUMIFS(Tabla1[Avance_km],Tabla1[Fecha],"&lt;="&amp;EV!$A145,Tabla1[nombre_actividad],EV!C$1),NA())</f>
        <v>99.906000000000049</v>
      </c>
      <c r="D145" s="110">
        <f ca="1">IF(TODAY()&gt;=$A145,SUMIFS(Tabla1[Avance_km],Tabla1[Fecha],"&lt;="&amp;EV!$A145,Tabla1[nombre_actividad],EV!D$1),NA())</f>
        <v>99.906000000000006</v>
      </c>
      <c r="E145" s="110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0"/>
      <c r="I145" s="224">
        <f ca="1">+C145*Catalogo!$F$19+EV!D145*Catalogo!$F$14+EV!E145*Catalogo!$F$16+EV!F145*Catalogo!$F$18</f>
        <v>4782002.5607600007</v>
      </c>
      <c r="J145" s="224">
        <f ca="1">IF(TODAY()&gt;=$A145,SUMIFS(Tabla1[EV],Tabla1[Fecha],"&lt;="&amp;A145,Tabla1[EV],"&gt;0"),NA())</f>
        <v>4782002.5607600007</v>
      </c>
      <c r="L145"/>
      <c r="M145" s="221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2">
        <v>12000000</v>
      </c>
      <c r="C146" s="110">
        <f ca="1">IF(TODAY()&gt;=$A146,SUMIFS(Tabla1[Avance_km],Tabla1[Fecha],"&lt;="&amp;EV!$A146,Tabla1[nombre_actividad],EV!C$1),NA())</f>
        <v>99.906000000000049</v>
      </c>
      <c r="D146" s="110">
        <f ca="1">IF(TODAY()&gt;=$A146,SUMIFS(Tabla1[Avance_km],Tabla1[Fecha],"&lt;="&amp;EV!$A146,Tabla1[nombre_actividad],EV!D$1),NA())</f>
        <v>99.906000000000006</v>
      </c>
      <c r="E146" s="110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0"/>
      <c r="I146" s="224">
        <f ca="1">+C146*Catalogo!$F$19+EV!D146*Catalogo!$F$14+EV!E146*Catalogo!$F$16+EV!F146*Catalogo!$F$18</f>
        <v>4782002.5607600007</v>
      </c>
      <c r="J146" s="224">
        <f ca="1">IF(TODAY()&gt;=$A146,SUMIFS(Tabla1[EV],Tabla1[Fecha],"&lt;="&amp;A146,Tabla1[EV],"&gt;0"),NA())</f>
        <v>4782002.5607600007</v>
      </c>
      <c r="L146"/>
      <c r="M146" s="221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2">
        <v>12000000</v>
      </c>
      <c r="C147" s="110">
        <f ca="1">IF(TODAY()&gt;=$A147,SUMIFS(Tabla1[Avance_km],Tabla1[Fecha],"&lt;="&amp;EV!$A147,Tabla1[nombre_actividad],EV!C$1),NA())</f>
        <v>99.906000000000049</v>
      </c>
      <c r="D147" s="110">
        <f ca="1">IF(TODAY()&gt;=$A147,SUMIFS(Tabla1[Avance_km],Tabla1[Fecha],"&lt;="&amp;EV!$A147,Tabla1[nombre_actividad],EV!D$1),NA())</f>
        <v>99.906000000000006</v>
      </c>
      <c r="E147" s="110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0"/>
      <c r="I147" s="224">
        <f ca="1">+C147*Catalogo!$F$19+EV!D147*Catalogo!$F$14+EV!E147*Catalogo!$F$16+EV!F147*Catalogo!$F$18</f>
        <v>4782002.5607600007</v>
      </c>
      <c r="J147" s="224">
        <f ca="1">IF(TODAY()&gt;=$A147,SUMIFS(Tabla1[EV],Tabla1[Fecha],"&lt;="&amp;A147,Tabla1[EV],"&gt;0"),NA())</f>
        <v>4782002.5607600007</v>
      </c>
      <c r="L147"/>
      <c r="M147" s="221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2">
        <v>12000000</v>
      </c>
      <c r="C148" s="110">
        <f ca="1">IF(TODAY()&gt;=$A148,SUMIFS(Tabla1[Avance_km],Tabla1[Fecha],"&lt;="&amp;EV!$A148,Tabla1[nombre_actividad],EV!C$1),NA())</f>
        <v>99.906000000000049</v>
      </c>
      <c r="D148" s="110">
        <f ca="1">IF(TODAY()&gt;=$A148,SUMIFS(Tabla1[Avance_km],Tabla1[Fecha],"&lt;="&amp;EV!$A148,Tabla1[nombre_actividad],EV!D$1),NA())</f>
        <v>99.906000000000006</v>
      </c>
      <c r="E148" s="110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0"/>
      <c r="I148" s="224">
        <f ca="1">+C148*Catalogo!$F$19+EV!D148*Catalogo!$F$14+EV!E148*Catalogo!$F$16+EV!F148*Catalogo!$F$18</f>
        <v>4782002.5607600007</v>
      </c>
      <c r="J148" s="224">
        <f ca="1">IF(TODAY()&gt;=$A148,SUMIFS(Tabla1[EV],Tabla1[Fecha],"&lt;="&amp;A148,Tabla1[EV],"&gt;0"),NA())</f>
        <v>4782002.5607600007</v>
      </c>
      <c r="L148"/>
      <c r="M148" s="221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2">
        <v>12000000</v>
      </c>
      <c r="C149" s="110">
        <f ca="1">IF(TODAY()&gt;=$A149,SUMIFS(Tabla1[Avance_km],Tabla1[Fecha],"&lt;="&amp;EV!$A149,Tabla1[nombre_actividad],EV!C$1),NA())</f>
        <v>99.906000000000049</v>
      </c>
      <c r="D149" s="110">
        <f ca="1">IF(TODAY()&gt;=$A149,SUMIFS(Tabla1[Avance_km],Tabla1[Fecha],"&lt;="&amp;EV!$A149,Tabla1[nombre_actividad],EV!D$1),NA())</f>
        <v>99.906000000000006</v>
      </c>
      <c r="E149" s="110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0"/>
      <c r="I149" s="224">
        <f ca="1">+C149*Catalogo!$F$19+EV!D149*Catalogo!$F$14+EV!E149*Catalogo!$F$16+EV!F149*Catalogo!$F$18</f>
        <v>4782002.5607600007</v>
      </c>
      <c r="J149" s="224">
        <f ca="1">IF(TODAY()&gt;=$A149,SUMIFS(Tabla1[EV],Tabla1[Fecha],"&lt;="&amp;A149,Tabla1[EV],"&gt;0"),NA())</f>
        <v>4782002.5607600007</v>
      </c>
      <c r="L149"/>
      <c r="M149" s="221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2">
        <v>12000000</v>
      </c>
      <c r="C150" s="110">
        <f ca="1">IF(TODAY()&gt;=$A150,SUMIFS(Tabla1[Avance_km],Tabla1[Fecha],"&lt;="&amp;EV!$A150,Tabla1[nombre_actividad],EV!C$1),NA())</f>
        <v>99.906000000000049</v>
      </c>
      <c r="D150" s="110">
        <f ca="1">IF(TODAY()&gt;=$A150,SUMIFS(Tabla1[Avance_km],Tabla1[Fecha],"&lt;="&amp;EV!$A150,Tabla1[nombre_actividad],EV!D$1),NA())</f>
        <v>99.906000000000006</v>
      </c>
      <c r="E150" s="110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0"/>
      <c r="I150" s="224">
        <f ca="1">+C150*Catalogo!$F$19+EV!D150*Catalogo!$F$14+EV!E150*Catalogo!$F$16+EV!F150*Catalogo!$F$18</f>
        <v>4782002.5607600007</v>
      </c>
      <c r="J150" s="224">
        <f ca="1">IF(TODAY()&gt;=$A150,SUMIFS(Tabla1[EV],Tabla1[Fecha],"&lt;="&amp;A150,Tabla1[EV],"&gt;0"),NA())</f>
        <v>4782002.5607600007</v>
      </c>
      <c r="L150"/>
      <c r="M150" s="221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57"/>
    </row>
    <row r="151" spans="1:35" x14ac:dyDescent="0.25">
      <c r="A151" s="62">
        <f t="shared" si="4"/>
        <v>46111</v>
      </c>
      <c r="B151" s="62"/>
      <c r="C151" s="110">
        <f ca="1">IF(TODAY()&gt;=$A151,SUMIFS(Tabla1[Avance_km],Tabla1[Fecha],"&lt;="&amp;EV!$A151,Tabla1[nombre_actividad],EV!C$1),NA())</f>
        <v>101.90600000000005</v>
      </c>
      <c r="D151" s="110">
        <f ca="1">IF(TODAY()&gt;=$A151,SUMIFS(Tabla1[Avance_km],Tabla1[Fecha],"&lt;="&amp;EV!$A151,Tabla1[nombre_actividad],EV!D$1),NA())</f>
        <v>99.906000000000006</v>
      </c>
      <c r="E151" s="110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0"/>
      <c r="I151" s="224">
        <f ca="1">+C151*Catalogo!$F$19+EV!D151*Catalogo!$F$14+EV!E151*Catalogo!$F$16+EV!F151*Catalogo!$F$18</f>
        <v>4786517.4007600006</v>
      </c>
      <c r="J151" s="224">
        <f ca="1">IF(TODAY()&gt;=$A151,SUMIFS(Tabla1[EV],Tabla1[Fecha],"&lt;="&amp;A151,Tabla1[EV],"&gt;0"),NA())</f>
        <v>6291200.5807599993</v>
      </c>
      <c r="K151" s="287"/>
      <c r="L151"/>
      <c r="M151" s="22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0">
        <f ca="1">IF(TODAY()&gt;=$A152,SUMIFS(Tabla1[Avance_km],Tabla1[Fecha],"&lt;="&amp;EV!$A152,Tabla1[nombre_actividad],EV!C$1),NA())</f>
        <v>103.50600000000004</v>
      </c>
      <c r="D152" s="110">
        <f ca="1">IF(TODAY()&gt;=$A152,SUMIFS(Tabla1[Avance_km],Tabla1[Fecha],"&lt;="&amp;EV!$A152,Tabla1[nombre_actividad],EV!D$1),NA())</f>
        <v>99.906000000000006</v>
      </c>
      <c r="E152" s="110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0"/>
      <c r="I152" s="224">
        <f ca="1">+C152*Catalogo!$F$19+EV!D152*Catalogo!$F$14+EV!E152*Catalogo!$F$16+EV!F152*Catalogo!$F$18</f>
        <v>4790129.272760001</v>
      </c>
      <c r="J152" s="224">
        <f ca="1">IF(TODAY()&gt;=$A152,SUMIFS(Tabla1[EV],Tabla1[Fecha],"&lt;="&amp;A152,Tabla1[EV],"&gt;0"),NA())</f>
        <v>6294812.4527599998</v>
      </c>
      <c r="L152"/>
      <c r="M152" s="221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0">
        <f ca="1">IF(TODAY()&gt;=$A153,SUMIFS(Tabla1[Avance_km],Tabla1[Fecha],"&lt;="&amp;EV!$A153,Tabla1[nombre_actividad],EV!C$1),NA())</f>
        <v>104.90600000000005</v>
      </c>
      <c r="D153" s="110">
        <f ca="1">IF(TODAY()&gt;=$A153,SUMIFS(Tabla1[Avance_km],Tabla1[Fecha],"&lt;="&amp;EV!$A153,Tabla1[nombre_actividad],EV!D$1),NA())</f>
        <v>99.906000000000006</v>
      </c>
      <c r="E153" s="110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0"/>
      <c r="I153" s="224">
        <f ca="1">+C153*Catalogo!$F$19+EV!D153*Catalogo!$F$14+EV!E153*Catalogo!$F$16+EV!F153*Catalogo!$F$18</f>
        <v>4793289.6607600003</v>
      </c>
      <c r="J153" s="224">
        <f ca="1">IF(TODAY()&gt;=$A153,SUMIFS(Tabla1[EV],Tabla1[Fecha],"&lt;="&amp;A153,Tabla1[EV],"&gt;0"),NA())</f>
        <v>6297972.8407600001</v>
      </c>
      <c r="L153"/>
      <c r="M153" s="221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0">
        <f ca="1">IF(TODAY()&gt;=$A154,SUMIFS(Tabla1[Avance_km],Tabla1[Fecha],"&lt;="&amp;EV!$A154,Tabla1[nombre_actividad],EV!C$1),NA())</f>
        <v>107.65000000000005</v>
      </c>
      <c r="D154" s="110">
        <f ca="1">IF(TODAY()&gt;=$A154,SUMIFS(Tabla1[Avance_km],Tabla1[Fecha],"&lt;="&amp;EV!$A154,Tabla1[nombre_actividad],EV!D$1),NA())</f>
        <v>99.906000000000006</v>
      </c>
      <c r="E154" s="110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0"/>
      <c r="I154" s="224">
        <f ca="1">+C154*Catalogo!$F$19+EV!D154*Catalogo!$F$14+EV!E154*Catalogo!$F$16+EV!F154*Catalogo!$F$18</f>
        <v>4799484.0212400006</v>
      </c>
      <c r="J154" s="224">
        <f ca="1">IF(TODAY()&gt;=$A154,SUMIFS(Tabla1[EV],Tabla1[Fecha],"&lt;="&amp;A154,Tabla1[EV],"&gt;0"),NA())</f>
        <v>6304167.2012400003</v>
      </c>
      <c r="L154"/>
      <c r="M154" s="221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0">
        <f ca="1">IF(TODAY()&gt;=$A155,SUMIFS(Tabla1[Avance_km],Tabla1[Fecha],"&lt;="&amp;EV!$A155,Tabla1[nombre_actividad],EV!C$1),NA())</f>
        <v>108.65000000000005</v>
      </c>
      <c r="D155" s="110">
        <f ca="1">IF(TODAY()&gt;=$A155,SUMIFS(Tabla1[Avance_km],Tabla1[Fecha],"&lt;="&amp;EV!$A155,Tabla1[nombre_actividad],EV!D$1),NA())</f>
        <v>99.906000000000006</v>
      </c>
      <c r="E155" s="110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0"/>
      <c r="I155" s="224">
        <f ca="1">+C155*Catalogo!$F$19+EV!D155*Catalogo!$F$14+EV!E155*Catalogo!$F$16+EV!F155*Catalogo!$F$18</f>
        <v>4801741.4412400015</v>
      </c>
      <c r="J155" s="224">
        <f ca="1">IF(TODAY()&gt;=$A155,SUMIFS(Tabla1[EV],Tabla1[Fecha],"&lt;="&amp;A155,Tabla1[EV],"&gt;0"),NA())</f>
        <v>6306424.6212400002</v>
      </c>
      <c r="L155"/>
      <c r="M155" s="221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0">
        <f ca="1">IF(TODAY()&gt;=$A156,SUMIFS(Tabla1[Avance_km],Tabla1[Fecha],"&lt;="&amp;EV!$A156,Tabla1[nombre_actividad],EV!C$1),NA())</f>
        <v>109.52800000000005</v>
      </c>
      <c r="D156" s="110">
        <f ca="1">IF(TODAY()&gt;=$A156,SUMIFS(Tabla1[Avance_km],Tabla1[Fecha],"&lt;="&amp;EV!$A156,Tabla1[nombre_actividad],EV!D$1),NA())</f>
        <v>99.906000000000006</v>
      </c>
      <c r="E156" s="110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0"/>
      <c r="I156" s="224">
        <f ca="1">+C156*Catalogo!$F$19+EV!D156*Catalogo!$F$14+EV!E156*Catalogo!$F$16+EV!F156*Catalogo!$F$18</f>
        <v>4803723.4560000012</v>
      </c>
      <c r="J156" s="224">
        <f ca="1">IF(TODAY()&gt;=$A156,SUMIFS(Tabla1[EV],Tabla1[Fecha],"&lt;="&amp;A156,Tabla1[EV],"&gt;0"),NA())</f>
        <v>6308406.6359999999</v>
      </c>
      <c r="L156"/>
      <c r="M156" s="221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0">
        <f ca="1">IF(TODAY()&gt;=$A157,SUMIFS(Tabla1[Avance_km],Tabla1[Fecha],"&lt;="&amp;EV!$A157,Tabla1[nombre_actividad],EV!C$1),NA())</f>
        <v>109.52800000000005</v>
      </c>
      <c r="D157" s="110">
        <f ca="1">IF(TODAY()&gt;=$A157,SUMIFS(Tabla1[Avance_km],Tabla1[Fecha],"&lt;="&amp;EV!$A157,Tabla1[nombre_actividad],EV!D$1),NA())</f>
        <v>99.906000000000006</v>
      </c>
      <c r="E157" s="110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0"/>
      <c r="I157" s="224">
        <f ca="1">+C157*Catalogo!$F$19+EV!D157*Catalogo!$F$14+EV!E157*Catalogo!$F$16+EV!F157*Catalogo!$F$18</f>
        <v>4803723.4560000012</v>
      </c>
      <c r="J157" s="224">
        <f ca="1">IF(TODAY()&gt;=$A157,SUMIFS(Tabla1[EV],Tabla1[Fecha],"&lt;="&amp;A157,Tabla1[EV],"&gt;0"),NA())</f>
        <v>6308406.6359999999</v>
      </c>
      <c r="L157"/>
      <c r="M157" s="221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0">
        <f ca="1">IF(TODAY()&gt;=$A158,SUMIFS(Tabla1[Avance_km],Tabla1[Fecha],"&lt;="&amp;EV!$A158,Tabla1[nombre_actividad],EV!C$1),NA())</f>
        <v>109.52800000000005</v>
      </c>
      <c r="D158" s="110">
        <f ca="1">IF(TODAY()&gt;=$A158,SUMIFS(Tabla1[Avance_km],Tabla1[Fecha],"&lt;="&amp;EV!$A158,Tabla1[nombre_actividad],EV!D$1),NA())</f>
        <v>99.906000000000006</v>
      </c>
      <c r="E158" s="110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0"/>
      <c r="I158" s="224">
        <f ca="1">+C158*Catalogo!$F$19+EV!D158*Catalogo!$F$14+EV!E158*Catalogo!$F$16+EV!F158*Catalogo!$F$18</f>
        <v>4803723.4560000012</v>
      </c>
      <c r="J158" s="224">
        <f ca="1">IF(TODAY()&gt;=$A158,SUMIFS(Tabla1[EV],Tabla1[Fecha],"&lt;="&amp;A158,Tabla1[EV],"&gt;0"),NA())</f>
        <v>6308406.6359999999</v>
      </c>
      <c r="L158"/>
      <c r="M158" s="221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0">
        <f ca="1">IF(TODAY()&gt;=$A159,SUMIFS(Tabla1[Avance_km],Tabla1[Fecha],"&lt;="&amp;EV!$A159,Tabla1[nombre_actividad],EV!C$1),NA())</f>
        <v>110.52800000000005</v>
      </c>
      <c r="D159" s="110">
        <f ca="1">IF(TODAY()&gt;=$A159,SUMIFS(Tabla1[Avance_km],Tabla1[Fecha],"&lt;="&amp;EV!$A159,Tabla1[nombre_actividad],EV!D$1),NA())</f>
        <v>99.906000000000006</v>
      </c>
      <c r="E159" s="110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0"/>
      <c r="I159" s="224">
        <f ca="1">+C159*Catalogo!$F$19+EV!D159*Catalogo!$F$14+EV!E159*Catalogo!$F$16+EV!F159*Catalogo!$F$18</f>
        <v>4805980.8760000011</v>
      </c>
      <c r="J159" s="224">
        <f ca="1">IF(TODAY()&gt;=$A159,SUMIFS(Tabla1[EV],Tabla1[Fecha],"&lt;="&amp;A159,Tabla1[EV],"&gt;0"),NA())</f>
        <v>6310664.0559999999</v>
      </c>
      <c r="L159"/>
      <c r="M159" s="221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0">
        <f ca="1">IF(TODAY()&gt;=$A160,SUMIFS(Tabla1[Avance_km],Tabla1[Fecha],"&lt;="&amp;EV!$A160,Tabla1[nombre_actividad],EV!C$1),NA())</f>
        <v>112.52800000000005</v>
      </c>
      <c r="D160" s="110">
        <f ca="1">IF(TODAY()&gt;=$A160,SUMIFS(Tabla1[Avance_km],Tabla1[Fecha],"&lt;="&amp;EV!$A160,Tabla1[nombre_actividad],EV!D$1),NA())</f>
        <v>99.906000000000006</v>
      </c>
      <c r="E160" s="110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0"/>
      <c r="I160" s="224">
        <f ca="1">+C160*Catalogo!$F$19+EV!D160*Catalogo!$F$14+EV!E160*Catalogo!$F$16+EV!F160*Catalogo!$F$18</f>
        <v>4810495.7160000009</v>
      </c>
      <c r="J160" s="224">
        <f ca="1">IF(TODAY()&gt;=$A160,SUMIFS(Tabla1[EV],Tabla1[Fecha],"&lt;="&amp;A160,Tabla1[EV],"&gt;0"),NA())</f>
        <v>6315178.8959999997</v>
      </c>
      <c r="L160"/>
      <c r="M160" s="221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0">
        <f ca="1">IF(TODAY()&gt;=$A161,SUMIFS(Tabla1[Avance_km],Tabla1[Fecha],"&lt;="&amp;EV!$A161,Tabla1[nombre_actividad],EV!C$1),NA())</f>
        <v>115.27800000000005</v>
      </c>
      <c r="D161" s="110">
        <f ca="1">IF(TODAY()&gt;=$A161,SUMIFS(Tabla1[Avance_km],Tabla1[Fecha],"&lt;="&amp;EV!$A161,Tabla1[nombre_actividad],EV!D$1),NA())</f>
        <v>99.906000000000006</v>
      </c>
      <c r="E161" s="110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0"/>
      <c r="I161" s="224">
        <f ca="1">+C161*Catalogo!$F$19+EV!D161*Catalogo!$F$14+EV!E161*Catalogo!$F$16+EV!F161*Catalogo!$F$18</f>
        <v>4816703.6210000012</v>
      </c>
      <c r="J161" s="224">
        <f ca="1">IF(TODAY()&gt;=$A161,SUMIFS(Tabla1[EV],Tabla1[Fecha],"&lt;="&amp;A161,Tabla1[EV],"&gt;0"),NA())</f>
        <v>6321386.801</v>
      </c>
      <c r="L161"/>
      <c r="M161" s="22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0">
        <f ca="1">IF(TODAY()&gt;=$A162,SUMIFS(Tabla1[Avance_km],Tabla1[Fecha],"&lt;="&amp;EV!$A162,Tabla1[nombre_actividad],EV!C$1),NA())</f>
        <v>118.27800000000005</v>
      </c>
      <c r="D162" s="110">
        <f ca="1">IF(TODAY()&gt;=$A162,SUMIFS(Tabla1[Avance_km],Tabla1[Fecha],"&lt;="&amp;EV!$A162,Tabla1[nombre_actividad],EV!D$1),NA())</f>
        <v>99.906000000000006</v>
      </c>
      <c r="E162" s="110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0"/>
      <c r="I162" s="224">
        <f ca="1">+C162*Catalogo!$F$19+EV!D162*Catalogo!$F$14+EV!E162*Catalogo!$F$16+EV!F162*Catalogo!$F$18</f>
        <v>4823475.881000001</v>
      </c>
      <c r="J162" s="224">
        <f ca="1">IF(TODAY()&gt;=$A162,SUMIFS(Tabla1[EV],Tabla1[Fecha],"&lt;="&amp;A162,Tabla1[EV],"&gt;0"),NA())</f>
        <v>6328159.0609999998</v>
      </c>
      <c r="L162"/>
      <c r="M162" s="221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0">
        <f ca="1">IF(TODAY()&gt;=$A163,SUMIFS(Tabla1[Avance_km],Tabla1[Fecha],"&lt;="&amp;EV!$A163,Tabla1[nombre_actividad],EV!C$1),NA())</f>
        <v>119.52800000000005</v>
      </c>
      <c r="D163" s="110">
        <f ca="1">IF(TODAY()&gt;=$A163,SUMIFS(Tabla1[Avance_km],Tabla1[Fecha],"&lt;="&amp;EV!$A163,Tabla1[nombre_actividad],EV!D$1),NA())</f>
        <v>99.906000000000006</v>
      </c>
      <c r="E163" s="110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0"/>
      <c r="I163" s="224">
        <f ca="1">+C163*Catalogo!$F$19+EV!D163*Catalogo!$F$14+EV!E163*Catalogo!$F$16+EV!F163*Catalogo!$F$18</f>
        <v>4826297.6560000014</v>
      </c>
      <c r="J163" s="224">
        <f ca="1">IF(TODAY()&gt;=$A163,SUMIFS(Tabla1[EV],Tabla1[Fecha],"&lt;="&amp;A163,Tabla1[EV],"&gt;0"),NA())</f>
        <v>6330980.8360000001</v>
      </c>
      <c r="L163"/>
      <c r="M163" s="221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0">
        <f ca="1">IF(TODAY()&gt;=$A164,SUMIFS(Tabla1[Avance_km],Tabla1[Fecha],"&lt;="&amp;EV!$A164,Tabla1[nombre_actividad],EV!C$1),NA())</f>
        <v>119.52800000000005</v>
      </c>
      <c r="D164" s="110">
        <f ca="1">IF(TODAY()&gt;=$A164,SUMIFS(Tabla1[Avance_km],Tabla1[Fecha],"&lt;="&amp;EV!$A164,Tabla1[nombre_actividad],EV!D$1),NA())</f>
        <v>99.906000000000006</v>
      </c>
      <c r="E164" s="110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0"/>
      <c r="I164" s="224">
        <f ca="1">+C164*Catalogo!$F$19+EV!D164*Catalogo!$F$14+EV!E164*Catalogo!$F$16+EV!F164*Catalogo!$F$18</f>
        <v>4826297.6560000014</v>
      </c>
      <c r="J164" s="224">
        <f ca="1">IF(TODAY()&gt;=$A164,SUMIFS(Tabla1[EV],Tabla1[Fecha],"&lt;="&amp;A164,Tabla1[EV],"&gt;0"),NA())</f>
        <v>6330980.8360000001</v>
      </c>
      <c r="L164"/>
      <c r="M164" s="221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0">
        <f ca="1">IF(TODAY()&gt;=$A165,SUMIFS(Tabla1[Avance_km],Tabla1[Fecha],"&lt;="&amp;EV!$A165,Tabla1[nombre_actividad],EV!C$1),NA())</f>
        <v>120.72800000000005</v>
      </c>
      <c r="D165" s="110">
        <f ca="1">IF(TODAY()&gt;=$A165,SUMIFS(Tabla1[Avance_km],Tabla1[Fecha],"&lt;="&amp;EV!$A165,Tabla1[nombre_actividad],EV!D$1),NA())</f>
        <v>99.906000000000006</v>
      </c>
      <c r="E165" s="110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0"/>
      <c r="I165" s="224">
        <f ca="1">+C165*Catalogo!$F$19+EV!D165*Catalogo!$F$14+EV!E165*Catalogo!$F$16+EV!F165*Catalogo!$F$18</f>
        <v>4829006.5600000005</v>
      </c>
      <c r="J165" s="224">
        <f ca="1">IF(TODAY()&gt;=$A165,SUMIFS(Tabla1[EV],Tabla1[Fecha],"&lt;="&amp;A165,Tabla1[EV],"&gt;0"),NA())</f>
        <v>6333689.7400000002</v>
      </c>
      <c r="L165"/>
      <c r="M165" s="221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0">
        <f ca="1">IF(TODAY()&gt;=$A166,SUMIFS(Tabla1[Avance_km],Tabla1[Fecha],"&lt;="&amp;EV!$A166,Tabla1[nombre_actividad],EV!C$1),NA())</f>
        <v>123.02800000000005</v>
      </c>
      <c r="D166" s="110">
        <f ca="1">IF(TODAY()&gt;=$A166,SUMIFS(Tabla1[Avance_km],Tabla1[Fecha],"&lt;="&amp;EV!$A166,Tabla1[nombre_actividad],EV!D$1),NA())</f>
        <v>99.906000000000006</v>
      </c>
      <c r="E166" s="110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0"/>
      <c r="I166" s="224">
        <f ca="1">+C166*Catalogo!$F$19+EV!D166*Catalogo!$F$14+EV!E166*Catalogo!$F$16+EV!F166*Catalogo!$F$18</f>
        <v>4834198.6260000011</v>
      </c>
      <c r="J166" s="224">
        <f ca="1">IF(TODAY()&gt;=$A166,SUMIFS(Tabla1[EV],Tabla1[Fecha],"&lt;="&amp;A166,Tabla1[EV],"&gt;0"),NA())</f>
        <v>6338881.8059999999</v>
      </c>
      <c r="L166"/>
      <c r="M166" s="221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0">
        <f ca="1">IF(TODAY()&gt;=$A167,SUMIFS(Tabla1[Avance_km],Tabla1[Fecha],"&lt;="&amp;EV!$A167,Tabla1[nombre_actividad],EV!C$1),NA())</f>
        <v>124.88600000000005</v>
      </c>
      <c r="D167" s="110">
        <f ca="1">IF(TODAY()&gt;=$A167,SUMIFS(Tabla1[Avance_km],Tabla1[Fecha],"&lt;="&amp;EV!$A167,Tabla1[nombre_actividad],EV!D$1),NA())</f>
        <v>99.906000000000006</v>
      </c>
      <c r="E167" s="110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0"/>
      <c r="I167" s="224">
        <f ca="1">+C167*Catalogo!$F$19+EV!D167*Catalogo!$F$14+EV!E167*Catalogo!$F$16+EV!F167*Catalogo!$F$18</f>
        <v>4838392.9123600014</v>
      </c>
      <c r="J167" s="224">
        <f ca="1">IF(TODAY()&gt;=$A167,SUMIFS(Tabla1[EV],Tabla1[Fecha],"&lt;="&amp;A167,Tabla1[EV],"&gt;0"),NA())</f>
        <v>6343076.0923600001</v>
      </c>
      <c r="L167"/>
      <c r="M167" s="221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0">
        <f ca="1">IF(TODAY()&gt;=$A168,SUMIFS(Tabla1[Avance_km],Tabla1[Fecha],"&lt;="&amp;EV!$A168,Tabla1[nombre_actividad],EV!C$1),NA())</f>
        <v>125.14200000000005</v>
      </c>
      <c r="D168" s="110">
        <f ca="1">IF(TODAY()&gt;=$A168,SUMIFS(Tabla1[Avance_km],Tabla1[Fecha],"&lt;="&amp;EV!$A168,Tabla1[nombre_actividad],EV!D$1),NA())</f>
        <v>99.906000000000006</v>
      </c>
      <c r="E168" s="110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0"/>
      <c r="I168" s="224">
        <f ca="1">+C168*Catalogo!$F$19+EV!D168*Catalogo!$F$14+EV!E168*Catalogo!$F$16+EV!F168*Catalogo!$F$18</f>
        <v>4838970.8118800009</v>
      </c>
      <c r="J168" s="224">
        <f ca="1">IF(TODAY()&gt;=$A168,SUMIFS(Tabla1[EV],Tabla1[Fecha],"&lt;="&amp;A168,Tabla1[EV],"&gt;0"),NA())</f>
        <v>6343653.9918800006</v>
      </c>
      <c r="L168"/>
      <c r="M168" s="221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0">
        <f ca="1">IF(TODAY()&gt;=$A169,SUMIFS(Tabla1[Avance_km],Tabla1[Fecha],"&lt;="&amp;EV!$A169,Tabla1[nombre_actividad],EV!C$1),NA())</f>
        <v>125.14200000000005</v>
      </c>
      <c r="D169" s="110">
        <f ca="1">IF(TODAY()&gt;=$A169,SUMIFS(Tabla1[Avance_km],Tabla1[Fecha],"&lt;="&amp;EV!$A169,Tabla1[nombre_actividad],EV!D$1),NA())</f>
        <v>99.906000000000006</v>
      </c>
      <c r="E169" s="110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0"/>
      <c r="I169" s="224">
        <f ca="1">+C169*Catalogo!$F$19+EV!D169*Catalogo!$F$14+EV!E169*Catalogo!$F$16+EV!F169*Catalogo!$F$18</f>
        <v>4838970.8118800009</v>
      </c>
      <c r="J169" s="224">
        <f ca="1">IF(TODAY()&gt;=$A169,SUMIFS(Tabla1[EV],Tabla1[Fecha],"&lt;="&amp;A169,Tabla1[EV],"&gt;0"),NA())</f>
        <v>6343653.9918800006</v>
      </c>
      <c r="L169"/>
      <c r="M169" s="221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0">
        <f ca="1">IF(TODAY()&gt;=$A170,SUMIFS(Tabla1[Avance_km],Tabla1[Fecha],"&lt;="&amp;EV!$A170,Tabla1[nombre_actividad],EV!C$1),NA())</f>
        <v>125.14200000000005</v>
      </c>
      <c r="D170" s="110">
        <f ca="1">IF(TODAY()&gt;=$A170,SUMIFS(Tabla1[Avance_km],Tabla1[Fecha],"&lt;="&amp;EV!$A170,Tabla1[nombre_actividad],EV!D$1),NA())</f>
        <v>99.906000000000006</v>
      </c>
      <c r="E170" s="110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0"/>
      <c r="I170" s="224">
        <f ca="1">+C170*Catalogo!$F$19+EV!D170*Catalogo!$F$14+EV!E170*Catalogo!$F$16+EV!F170*Catalogo!$F$18</f>
        <v>4838970.8118800009</v>
      </c>
      <c r="J170" s="224">
        <f ca="1">IF(TODAY()&gt;=$A170,SUMIFS(Tabla1[EV],Tabla1[Fecha],"&lt;="&amp;A170,Tabla1[EV],"&gt;0"),NA())</f>
        <v>6343653.9918800006</v>
      </c>
      <c r="L170"/>
      <c r="M170" s="221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0">
        <f ca="1">IF(TODAY()&gt;=$A171,SUMIFS(Tabla1[Avance_km],Tabla1[Fecha],"&lt;="&amp;EV!$A171,Tabla1[nombre_actividad],EV!C$1),NA())</f>
        <v>125.14200000000005</v>
      </c>
      <c r="D171" s="110">
        <f ca="1">IF(TODAY()&gt;=$A171,SUMIFS(Tabla1[Avance_km],Tabla1[Fecha],"&lt;="&amp;EV!$A171,Tabla1[nombre_actividad],EV!D$1),NA())</f>
        <v>99.906000000000006</v>
      </c>
      <c r="E171" s="110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0"/>
      <c r="I171" s="224">
        <f ca="1">+C171*Catalogo!$F$19+EV!D171*Catalogo!$F$14+EV!E171*Catalogo!$F$16+EV!F171*Catalogo!$F$18</f>
        <v>4838970.8118800009</v>
      </c>
      <c r="J171" s="224">
        <f ca="1">IF(TODAY()&gt;=$A171,SUMIFS(Tabla1[EV],Tabla1[Fecha],"&lt;="&amp;A171,Tabla1[EV],"&gt;0"),NA())</f>
        <v>6343653.9918800006</v>
      </c>
      <c r="K171" s="287"/>
      <c r="L171"/>
      <c r="M171" s="22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0">
        <f ca="1">IF(TODAY()&gt;=$A172,SUMIFS(Tabla1[Avance_km],Tabla1[Fecha],"&lt;="&amp;EV!$A172,Tabla1[nombre_actividad],EV!C$1),NA())</f>
        <v>125.14200000000005</v>
      </c>
      <c r="D172" s="110">
        <f ca="1">IF(TODAY()&gt;=$A172,SUMIFS(Tabla1[Avance_km],Tabla1[Fecha],"&lt;="&amp;EV!$A172,Tabla1[nombre_actividad],EV!D$1),NA())</f>
        <v>99.906000000000006</v>
      </c>
      <c r="E172" s="110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0"/>
      <c r="I172" s="224">
        <f ca="1">+C172*Catalogo!$F$19+EV!D172*Catalogo!$F$14+EV!E172*Catalogo!$F$16+EV!F172*Catalogo!$F$18</f>
        <v>4838970.8118800009</v>
      </c>
      <c r="J172" s="224">
        <f ca="1">IF(TODAY()&gt;=$A172,SUMIFS(Tabla1[EV],Tabla1[Fecha],"&lt;="&amp;A172,Tabla1[EV],"&gt;0"),NA())</f>
        <v>6343653.9918800006</v>
      </c>
      <c r="L172"/>
      <c r="M172" s="221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0">
        <f ca="1">IF(TODAY()&gt;=$A173,SUMIFS(Tabla1[Avance_km],Tabla1[Fecha],"&lt;="&amp;EV!$A173,Tabla1[nombre_actividad],EV!C$1),NA())</f>
        <v>125.14200000000005</v>
      </c>
      <c r="D173" s="110">
        <f ca="1">IF(TODAY()&gt;=$A173,SUMIFS(Tabla1[Avance_km],Tabla1[Fecha],"&lt;="&amp;EV!$A173,Tabla1[nombre_actividad],EV!D$1),NA())</f>
        <v>99.906000000000006</v>
      </c>
      <c r="E173" s="110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0"/>
      <c r="I173" s="224">
        <f ca="1">+C173*Catalogo!$F$19+EV!D173*Catalogo!$F$14+EV!E173*Catalogo!$F$16+EV!F173*Catalogo!$F$18</f>
        <v>4838970.8118800009</v>
      </c>
      <c r="J173" s="224">
        <f ca="1">IF(TODAY()&gt;=$A173,SUMIFS(Tabla1[EV],Tabla1[Fecha],"&lt;="&amp;A173,Tabla1[EV],"&gt;0"),NA())</f>
        <v>6343653.9918800006</v>
      </c>
      <c r="L173"/>
      <c r="M173" s="221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0">
        <f ca="1">IF(TODAY()&gt;=$A174,SUMIFS(Tabla1[Avance_km],Tabla1[Fecha],"&lt;="&amp;EV!$A174,Tabla1[nombre_actividad],EV!C$1),NA())</f>
        <v>125.14200000000005</v>
      </c>
      <c r="D174" s="110">
        <f ca="1">IF(TODAY()&gt;=$A174,SUMIFS(Tabla1[Avance_km],Tabla1[Fecha],"&lt;="&amp;EV!$A174,Tabla1[nombre_actividad],EV!D$1),NA())</f>
        <v>99.906000000000006</v>
      </c>
      <c r="E174" s="110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0"/>
      <c r="I174" s="224">
        <f ca="1">+C174*Catalogo!$F$19+EV!D174*Catalogo!$F$14+EV!E174*Catalogo!$F$16+EV!F174*Catalogo!$F$18</f>
        <v>4838970.8118800009</v>
      </c>
      <c r="J174" s="224">
        <f ca="1">IF(TODAY()&gt;=$A174,SUMIFS(Tabla1[EV],Tabla1[Fecha],"&lt;="&amp;A174,Tabla1[EV],"&gt;0"),NA())</f>
        <v>6386652.0718800006</v>
      </c>
      <c r="L174"/>
      <c r="M174" s="221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0">
        <f ca="1">IF(TODAY()&gt;=$A175,SUMIFS(Tabla1[Avance_km],Tabla1[Fecha],"&lt;="&amp;EV!$A175,Tabla1[nombre_actividad],EV!C$1),NA())</f>
        <v>125.14200000000005</v>
      </c>
      <c r="D175" s="110">
        <f ca="1">IF(TODAY()&gt;=$A175,SUMIFS(Tabla1[Avance_km],Tabla1[Fecha],"&lt;="&amp;EV!$A175,Tabla1[nombre_actividad],EV!D$1),NA())</f>
        <v>99.906000000000006</v>
      </c>
      <c r="E175" s="110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0"/>
      <c r="I175" s="224">
        <f ca="1">+C175*Catalogo!$F$19+EV!D175*Catalogo!$F$14+EV!E175*Catalogo!$F$16+EV!F175*Catalogo!$F$18</f>
        <v>4852689.1094400007</v>
      </c>
      <c r="J175" s="224">
        <f ca="1">IF(TODAY()&gt;=$A175,SUMIFS(Tabla1[EV],Tabla1[Fecha],"&lt;="&amp;A175,Tabla1[EV],"&gt;0"),NA())</f>
        <v>6540114.1294400012</v>
      </c>
      <c r="L175"/>
      <c r="M175" s="221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0">
        <f ca="1">IF(TODAY()&gt;=$A176,SUMIFS(Tabla1[Avance_km],Tabla1[Fecha],"&lt;="&amp;EV!$A176,Tabla1[nombre_actividad],EV!C$1),NA())</f>
        <v>125.14200000000005</v>
      </c>
      <c r="D176" s="110">
        <f ca="1">IF(TODAY()&gt;=$A176,SUMIFS(Tabla1[Avance_km],Tabla1[Fecha],"&lt;="&amp;EV!$A176,Tabla1[nombre_actividad],EV!D$1),NA())</f>
        <v>99.906000000000006</v>
      </c>
      <c r="E176" s="110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0"/>
      <c r="I176" s="224">
        <f ca="1">+C176*Catalogo!$F$19+EV!D176*Catalogo!$F$14+EV!E176*Catalogo!$F$16+EV!F176*Catalogo!$F$18</f>
        <v>4876940.1315100007</v>
      </c>
      <c r="J176" s="224">
        <f ca="1">IF(TODAY()&gt;=$A176,SUMIFS(Tabla1[EV],Tabla1[Fecha],"&lt;="&amp;A176,Tabla1[EV],"&gt;0"),NA())</f>
        <v>6564365.1515100012</v>
      </c>
      <c r="L176"/>
      <c r="M176" s="221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0">
        <f ca="1">IF(TODAY()&gt;=$A177,SUMIFS(Tabla1[Avance_km],Tabla1[Fecha],"&lt;="&amp;EV!$A177,Tabla1[nombre_actividad],EV!C$1),NA())</f>
        <v>125.14200000000005</v>
      </c>
      <c r="D177" s="110">
        <f ca="1">IF(TODAY()&gt;=$A177,SUMIFS(Tabla1[Avance_km],Tabla1[Fecha],"&lt;="&amp;EV!$A177,Tabla1[nombre_actividad],EV!D$1),NA())</f>
        <v>99.906000000000006</v>
      </c>
      <c r="E177" s="110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0"/>
      <c r="I177" s="224">
        <f ca="1">+C177*Catalogo!$F$19+EV!D177*Catalogo!$F$14+EV!E177*Catalogo!$F$16+EV!F177*Catalogo!$F$18</f>
        <v>4882037.0483900011</v>
      </c>
      <c r="J177" s="224">
        <f ca="1">IF(TODAY()&gt;=$A177,SUMIFS(Tabla1[EV],Tabla1[Fecha],"&lt;="&amp;A177,Tabla1[EV],"&gt;0"),NA())</f>
        <v>6569462.0683900015</v>
      </c>
      <c r="L177"/>
      <c r="M177" s="221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0">
        <f ca="1">IF(TODAY()&gt;=$A178,SUMIFS(Tabla1[Avance_km],Tabla1[Fecha],"&lt;="&amp;EV!$A178,Tabla1[nombre_actividad],EV!C$1),NA())</f>
        <v>125.14200000000005</v>
      </c>
      <c r="D178" s="110">
        <f ca="1">IF(TODAY()&gt;=$A178,SUMIFS(Tabla1[Avance_km],Tabla1[Fecha],"&lt;="&amp;EV!$A178,Tabla1[nombre_actividad],EV!D$1),NA())</f>
        <v>99.906000000000006</v>
      </c>
      <c r="E178" s="110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0"/>
      <c r="I178" s="224">
        <f ca="1">+C178*Catalogo!$F$19+EV!D178*Catalogo!$F$14+EV!E178*Catalogo!$F$16+EV!F178*Catalogo!$F$18</f>
        <v>4882037.0483900011</v>
      </c>
      <c r="J178" s="224">
        <f ca="1">IF(TODAY()&gt;=$A178,SUMIFS(Tabla1[EV],Tabla1[Fecha],"&lt;="&amp;A178,Tabla1[EV],"&gt;0"),NA())</f>
        <v>6569462.0683900015</v>
      </c>
      <c r="L178"/>
      <c r="M178" s="221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0">
        <f ca="1">IF(TODAY()&gt;=$A179,SUMIFS(Tabla1[Avance_km],Tabla1[Fecha],"&lt;="&amp;EV!$A179,Tabla1[nombre_actividad],EV!C$1),NA())</f>
        <v>125.14200000000005</v>
      </c>
      <c r="D179" s="110">
        <f ca="1">IF(TODAY()&gt;=$A179,SUMIFS(Tabla1[Avance_km],Tabla1[Fecha],"&lt;="&amp;EV!$A179,Tabla1[nombre_actividad],EV!D$1),NA())</f>
        <v>99.906000000000006</v>
      </c>
      <c r="E179" s="110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0"/>
      <c r="I179" s="224">
        <f ca="1">+C179*Catalogo!$F$19+EV!D179*Catalogo!$F$14+EV!E179*Catalogo!$F$16+EV!F179*Catalogo!$F$18</f>
        <v>4897829.3573400006</v>
      </c>
      <c r="J179" s="224">
        <f ca="1">IF(TODAY()&gt;=$A179,SUMIFS(Tabla1[EV],Tabla1[Fecha],"&lt;="&amp;A179,Tabla1[EV],"&gt;0"),NA())</f>
        <v>6585254.377340002</v>
      </c>
      <c r="L179"/>
      <c r="M179" s="221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0">
        <f ca="1">IF(TODAY()&gt;=$A180,SUMIFS(Tabla1[Avance_km],Tabla1[Fecha],"&lt;="&amp;EV!$A180,Tabla1[nombre_actividad],EV!C$1),NA())</f>
        <v>125.14200000000005</v>
      </c>
      <c r="D180" s="110">
        <f ca="1">IF(TODAY()&gt;=$A180,SUMIFS(Tabla1[Avance_km],Tabla1[Fecha],"&lt;="&amp;EV!$A180,Tabla1[nombre_actividad],EV!D$1),NA())</f>
        <v>99.906000000000006</v>
      </c>
      <c r="E180" s="110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0"/>
      <c r="I180" s="224">
        <f ca="1">+C180*Catalogo!$F$19+EV!D180*Catalogo!$F$14+EV!E180*Catalogo!$F$16+EV!F180*Catalogo!$F$18</f>
        <v>4913174.3305000011</v>
      </c>
      <c r="J180" s="224">
        <f ca="1">IF(TODAY()&gt;=$A180,SUMIFS(Tabla1[EV],Tabla1[Fecha],"&lt;="&amp;A180,Tabla1[EV],"&gt;0"),NA())</f>
        <v>6600599.3505000016</v>
      </c>
      <c r="L180"/>
      <c r="M180" s="221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0">
        <f ca="1">IF(TODAY()&gt;=$A181,SUMIFS(Tabla1[Avance_km],Tabla1[Fecha],"&lt;="&amp;EV!$A181,Tabla1[nombre_actividad],EV!C$1),NA())</f>
        <v>125.14200000000005</v>
      </c>
      <c r="D181" s="110">
        <f ca="1">IF(TODAY()&gt;=$A181,SUMIFS(Tabla1[Avance_km],Tabla1[Fecha],"&lt;="&amp;EV!$A181,Tabla1[nombre_actividad],EV!D$1),NA())</f>
        <v>99.906000000000006</v>
      </c>
      <c r="E181" s="110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0"/>
      <c r="I181" s="224">
        <f ca="1">+C181*Catalogo!$F$19+EV!D181*Catalogo!$F$14+EV!E181*Catalogo!$F$16+EV!F181*Catalogo!$F$18</f>
        <v>4913174.3305000011</v>
      </c>
      <c r="J181" s="224">
        <f ca="1">IF(TODAY()&gt;=$A181,SUMIFS(Tabla1[EV],Tabla1[Fecha],"&lt;="&amp;A181,Tabla1[EV],"&gt;0"),NA())</f>
        <v>6600599.3505000016</v>
      </c>
      <c r="L181"/>
      <c r="M181" s="22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0">
        <f ca="1">IF(TODAY()&gt;=$A182,SUMIFS(Tabla1[Avance_km],Tabla1[Fecha],"&lt;="&amp;EV!$A182,Tabla1[nombre_actividad],EV!C$1),NA())</f>
        <v>125.14200000000005</v>
      </c>
      <c r="D182" s="110">
        <f ca="1">IF(TODAY()&gt;=$A182,SUMIFS(Tabla1[Avance_km],Tabla1[Fecha],"&lt;="&amp;EV!$A182,Tabla1[nombre_actividad],EV!D$1),NA())</f>
        <v>99.906000000000006</v>
      </c>
      <c r="E182" s="110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0"/>
      <c r="I182" s="224">
        <f ca="1">+C182*Catalogo!$F$19+EV!D182*Catalogo!$F$14+EV!E182*Catalogo!$F$16+EV!F182*Catalogo!$F$18</f>
        <v>4919694.5885300012</v>
      </c>
      <c r="J182" s="224">
        <f ca="1">IF(TODAY()&gt;=$A182,SUMIFS(Tabla1[EV],Tabla1[Fecha],"&lt;="&amp;A182,Tabla1[EV],"&gt;0"),NA())</f>
        <v>6607119.6085300017</v>
      </c>
      <c r="L182"/>
      <c r="M182" s="221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0">
        <f ca="1">IF(TODAY()&gt;=$A183,SUMIFS(Tabla1[Avance_km],Tabla1[Fecha],"&lt;="&amp;EV!$A183,Tabla1[nombre_actividad],EV!C$1),NA())</f>
        <v>125.14200000000005</v>
      </c>
      <c r="D183" s="110">
        <f ca="1">IF(TODAY()&gt;=$A183,SUMIFS(Tabla1[Avance_km],Tabla1[Fecha],"&lt;="&amp;EV!$A183,Tabla1[nombre_actividad],EV!D$1),NA())</f>
        <v>99.906000000000006</v>
      </c>
      <c r="E183" s="110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0"/>
      <c r="I183" s="224">
        <f ca="1">+C183*Catalogo!$F$19+EV!D183*Catalogo!$F$14+EV!E183*Catalogo!$F$16+EV!F183*Catalogo!$F$18</f>
        <v>4938957.1387600014</v>
      </c>
      <c r="J183" s="224">
        <f ca="1">IF(TODAY()&gt;=$A183,SUMIFS(Tabla1[EV],Tabla1[Fecha],"&lt;="&amp;A183,Tabla1[EV],"&gt;0"),NA())</f>
        <v>6626382.1587600019</v>
      </c>
      <c r="L183"/>
      <c r="M183" s="221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0">
        <f ca="1">IF(TODAY()&gt;=$A184,SUMIFS(Tabla1[Avance_km],Tabla1[Fecha],"&lt;="&amp;EV!$A184,Tabla1[nombre_actividad],EV!C$1),NA())</f>
        <v>125.14200000000005</v>
      </c>
      <c r="D184" s="110">
        <f ca="1">IF(TODAY()&gt;=$A184,SUMIFS(Tabla1[Avance_km],Tabla1[Fecha],"&lt;="&amp;EV!$A184,Tabla1[nombre_actividad],EV!D$1),NA())</f>
        <v>99.906000000000006</v>
      </c>
      <c r="E184" s="110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0"/>
      <c r="I184" s="224">
        <f ca="1">+C184*Catalogo!$F$19+EV!D184*Catalogo!$F$14+EV!E184*Catalogo!$F$16+EV!F184*Catalogo!$F$18</f>
        <v>4938957.1387600014</v>
      </c>
      <c r="J184" s="224">
        <f ca="1">IF(TODAY()&gt;=$A184,SUMIFS(Tabla1[EV],Tabla1[Fecha],"&lt;="&amp;A184,Tabla1[EV],"&gt;0"),NA())</f>
        <v>6626382.1587600019</v>
      </c>
      <c r="L184"/>
      <c r="M184" s="221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0">
        <f ca="1">IF(TODAY()&gt;=$A185,SUMIFS(Tabla1[Avance_km],Tabla1[Fecha],"&lt;="&amp;EV!$A185,Tabla1[nombre_actividad],EV!C$1),NA())</f>
        <v>125.14200000000005</v>
      </c>
      <c r="D185" s="110">
        <f ca="1">IF(TODAY()&gt;=$A185,SUMIFS(Tabla1[Avance_km],Tabla1[Fecha],"&lt;="&amp;EV!$A185,Tabla1[nombre_actividad],EV!D$1),NA())</f>
        <v>99.906000000000006</v>
      </c>
      <c r="E185" s="110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0"/>
      <c r="I185" s="224">
        <f ca="1">+C185*Catalogo!$F$19+EV!D185*Catalogo!$F$14+EV!E185*Catalogo!$F$16+EV!F185*Catalogo!$F$18</f>
        <v>4938957.1387600014</v>
      </c>
      <c r="J185" s="224">
        <f ca="1">IF(TODAY()&gt;=$A185,SUMIFS(Tabla1[EV],Tabla1[Fecha],"&lt;="&amp;A185,Tabla1[EV],"&gt;0"),NA())</f>
        <v>6626382.1587600019</v>
      </c>
      <c r="L185"/>
      <c r="M185" s="221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0">
        <f ca="1">IF(TODAY()&gt;=$A186,SUMIFS(Tabla1[Avance_km],Tabla1[Fecha],"&lt;="&amp;EV!$A186,Tabla1[nombre_actividad],EV!C$1),NA())</f>
        <v>125.14200000000005</v>
      </c>
      <c r="D186" s="110">
        <f ca="1">IF(TODAY()&gt;=$A186,SUMIFS(Tabla1[Avance_km],Tabla1[Fecha],"&lt;="&amp;EV!$A186,Tabla1[nombre_actividad],EV!D$1),NA())</f>
        <v>99.906000000000006</v>
      </c>
      <c r="E186" s="110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0"/>
      <c r="I186" s="224">
        <f ca="1">+C186*Catalogo!$F$19+EV!D186*Catalogo!$F$14+EV!E186*Catalogo!$F$16+EV!F186*Catalogo!$F$18</f>
        <v>4961229.0388500011</v>
      </c>
      <c r="J186" s="224">
        <f ca="1">IF(TODAY()&gt;=$A186,SUMIFS(Tabla1[EV],Tabla1[Fecha],"&lt;="&amp;A186,Tabla1[EV],"&gt;0"),NA())</f>
        <v>6648654.0588500015</v>
      </c>
      <c r="L186"/>
      <c r="M186" s="221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0">
        <f ca="1">IF(TODAY()&gt;=$A187,SUMIFS(Tabla1[Avance_km],Tabla1[Fecha],"&lt;="&amp;EV!$A187,Tabla1[nombre_actividad],EV!C$1),NA())</f>
        <v>125.14200000000005</v>
      </c>
      <c r="D187" s="110">
        <f ca="1">IF(TODAY()&gt;=$A187,SUMIFS(Tabla1[Avance_km],Tabla1[Fecha],"&lt;="&amp;EV!$A187,Tabla1[nombre_actividad],EV!D$1),NA())</f>
        <v>99.906000000000006</v>
      </c>
      <c r="E187" s="110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0"/>
      <c r="I187" s="224">
        <f ca="1">+C187*Catalogo!$F$19+EV!D187*Catalogo!$F$14+EV!E187*Catalogo!$F$16+EV!F187*Catalogo!$F$18</f>
        <v>4976574.0120100006</v>
      </c>
      <c r="J187" s="224">
        <f ca="1">IF(TODAY()&gt;=$A187,SUMIFS(Tabla1[EV],Tabla1[Fecha],"&lt;="&amp;A187,Tabla1[EV],"&gt;0"),NA())</f>
        <v>6663999.0320100011</v>
      </c>
      <c r="L187"/>
      <c r="M187" s="221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0">
        <f ca="1">IF(TODAY()&gt;=$A188,SUMIFS(Tabla1[Avance_km],Tabla1[Fecha],"&lt;="&amp;EV!$A188,Tabla1[nombre_actividad],EV!C$1),NA())</f>
        <v>125.14200000000005</v>
      </c>
      <c r="D188" s="110">
        <f ca="1">IF(TODAY()&gt;=$A188,SUMIFS(Tabla1[Avance_km],Tabla1[Fecha],"&lt;="&amp;EV!$A188,Tabla1[nombre_actividad],EV!D$1),NA())</f>
        <v>99.906000000000006</v>
      </c>
      <c r="E188" s="110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0"/>
      <c r="I188" s="224">
        <f ca="1">+C188*Catalogo!$F$19+EV!D188*Catalogo!$F$14+EV!E188*Catalogo!$F$16+EV!F188*Catalogo!$F$18</f>
        <v>5000919.9234900009</v>
      </c>
      <c r="J188" s="224">
        <f ca="1">IF(TODAY()&gt;=$A188,SUMIFS(Tabla1[EV],Tabla1[Fecha],"&lt;="&amp;A188,Tabla1[EV],"&gt;0"),NA())</f>
        <v>6688344.9434900014</v>
      </c>
      <c r="L188"/>
      <c r="M188" s="221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0">
        <f ca="1">IF(TODAY()&gt;=$A189,SUMIFS(Tabla1[Avance_km],Tabla1[Fecha],"&lt;="&amp;EV!$A189,Tabla1[nombre_actividad],EV!C$1),NA())</f>
        <v>125.14200000000005</v>
      </c>
      <c r="D189" s="110">
        <f ca="1">IF(TODAY()&gt;=$A189,SUMIFS(Tabla1[Avance_km],Tabla1[Fecha],"&lt;="&amp;EV!$A189,Tabla1[nombre_actividad],EV!D$1),NA())</f>
        <v>99.906000000000006</v>
      </c>
      <c r="E189" s="110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0"/>
      <c r="I189" s="224">
        <f ca="1">+C189*Catalogo!$F$19+EV!D189*Catalogo!$F$14+EV!E189*Catalogo!$F$16+EV!F189*Catalogo!$F$18</f>
        <v>5030660.9757100008</v>
      </c>
      <c r="J189" s="224">
        <f ca="1">IF(TODAY()&gt;=$A189,SUMIFS(Tabla1[EV],Tabla1[Fecha],"&lt;="&amp;A189,Tabla1[EV],"&gt;0"),NA())</f>
        <v>6718085.9957100013</v>
      </c>
      <c r="L189"/>
      <c r="M189" s="221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0">
        <f ca="1">IF(TODAY()&gt;=$A190,SUMIFS(Tabla1[Avance_km],Tabla1[Fecha],"&lt;="&amp;EV!$A190,Tabla1[nombre_actividad],EV!C$1),NA())</f>
        <v>125.14200000000005</v>
      </c>
      <c r="D190" s="110">
        <f ca="1">IF(TODAY()&gt;=$A190,SUMIFS(Tabla1[Avance_km],Tabla1[Fecha],"&lt;="&amp;EV!$A190,Tabla1[nombre_actividad],EV!D$1),NA())</f>
        <v>99.906000000000006</v>
      </c>
      <c r="E190" s="110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0"/>
      <c r="I190" s="224">
        <f ca="1">+C190*Catalogo!$F$19+EV!D190*Catalogo!$F$14+EV!E190*Catalogo!$F$16+EV!F190*Catalogo!$F$18</f>
        <v>5066773.1740300013</v>
      </c>
      <c r="J190" s="224">
        <f ca="1">IF(TODAY()&gt;=$A190,SUMIFS(Tabla1[EV],Tabla1[Fecha],"&lt;="&amp;A190,Tabla1[EV],"&gt;0"),NA())</f>
        <v>6754198.1940300008</v>
      </c>
      <c r="L190"/>
      <c r="M190" s="221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0">
        <f ca="1">IF(TODAY()&gt;=$A191,SUMIFS(Tabla1[Avance_km],Tabla1[Fecha],"&lt;="&amp;EV!$A191,Tabla1[nombre_actividad],EV!C$1),NA())</f>
        <v>125.14200000000005</v>
      </c>
      <c r="D191" s="110">
        <f ca="1">IF(TODAY()&gt;=$A191,SUMIFS(Tabla1[Avance_km],Tabla1[Fecha],"&lt;="&amp;EV!$A191,Tabla1[nombre_actividad],EV!D$1),NA())</f>
        <v>99.906000000000006</v>
      </c>
      <c r="E191" s="110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0"/>
      <c r="I191" s="224">
        <f ca="1">+C191*Catalogo!$F$19+EV!D191*Catalogo!$F$14+EV!E191*Catalogo!$F$16+EV!F191*Catalogo!$F$18</f>
        <v>5072236.0929200016</v>
      </c>
      <c r="J191" s="224">
        <f ca="1">IF(TODAY()&gt;=$A191,SUMIFS(Tabla1[EV],Tabla1[Fecha],"&lt;="&amp;A191,Tabla1[EV],"&gt;0"),NA())</f>
        <v>6759661.1129200011</v>
      </c>
      <c r="L191"/>
      <c r="M191" s="22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0">
        <f ca="1">IF(TODAY()&gt;=$A192,SUMIFS(Tabla1[Avance_km],Tabla1[Fecha],"&lt;="&amp;EV!$A192,Tabla1[nombre_actividad],EV!C$1),NA())</f>
        <v>125.14200000000005</v>
      </c>
      <c r="D192" s="110">
        <f ca="1">IF(TODAY()&gt;=$A192,SUMIFS(Tabla1[Avance_km],Tabla1[Fecha],"&lt;="&amp;EV!$A192,Tabla1[nombre_actividad],EV!D$1),NA())</f>
        <v>99.906000000000006</v>
      </c>
      <c r="E192" s="110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0"/>
      <c r="I192" s="224">
        <f ca="1">+C192*Catalogo!$F$19+EV!D192*Catalogo!$F$14+EV!E192*Catalogo!$F$16+EV!F192*Catalogo!$F$18</f>
        <v>5072236.0929200016</v>
      </c>
      <c r="J192" s="224">
        <f ca="1">IF(TODAY()&gt;=$A192,SUMIFS(Tabla1[EV],Tabla1[Fecha],"&lt;="&amp;A192,Tabla1[EV],"&gt;0"),NA())</f>
        <v>6759661.1129200011</v>
      </c>
      <c r="L192"/>
      <c r="M192" s="221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0">
        <f ca="1">IF(TODAY()&gt;=$A193,SUMIFS(Tabla1[Avance_km],Tabla1[Fecha],"&lt;="&amp;EV!$A193,Tabla1[nombre_actividad],EV!C$1),NA())</f>
        <v>125.14200000000005</v>
      </c>
      <c r="D193" s="110">
        <f ca="1">IF(TODAY()&gt;=$A193,SUMIFS(Tabla1[Avance_km],Tabla1[Fecha],"&lt;="&amp;EV!$A193,Tabla1[nombre_actividad],EV!D$1),NA())</f>
        <v>99.906000000000006</v>
      </c>
      <c r="E193" s="110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0"/>
      <c r="I193" s="224">
        <f ca="1">+C193*Catalogo!$F$19+EV!D193*Catalogo!$F$14+EV!E193*Catalogo!$F$16+EV!F193*Catalogo!$F$18</f>
        <v>5088909.5178200016</v>
      </c>
      <c r="J193" s="224">
        <f ca="1">IF(TODAY()&gt;=$A193,SUMIFS(Tabla1[EV],Tabla1[Fecha],"&lt;="&amp;A193,Tabla1[EV],"&gt;0"),NA())</f>
        <v>6776334.5378200011</v>
      </c>
      <c r="L193"/>
      <c r="M193" s="221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0">
        <f ca="1">IF(TODAY()&gt;=$A194,SUMIFS(Tabla1[Avance_km],Tabla1[Fecha],"&lt;="&amp;EV!$A194,Tabla1[nombre_actividad],EV!C$1),NA())</f>
        <v>125.14200000000005</v>
      </c>
      <c r="D194" s="110">
        <f ca="1">IF(TODAY()&gt;=$A194,SUMIFS(Tabla1[Avance_km],Tabla1[Fecha],"&lt;="&amp;EV!$A194,Tabla1[nombre_actividad],EV!D$1),NA())</f>
        <v>99.906000000000006</v>
      </c>
      <c r="E194" s="110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0"/>
      <c r="I194" s="224">
        <f ca="1">+C194*Catalogo!$F$19+EV!D194*Catalogo!$F$14+EV!E194*Catalogo!$F$16+EV!F194*Catalogo!$F$18</f>
        <v>5099238.9078800017</v>
      </c>
      <c r="J194" s="224">
        <f ca="1">IF(TODAY()&gt;=$A194,SUMIFS(Tabla1[EV],Tabla1[Fecha],"&lt;="&amp;A194,Tabla1[EV],"&gt;0"),NA())</f>
        <v>6786663.9278800013</v>
      </c>
      <c r="L194"/>
      <c r="M194" s="221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0">
        <f ca="1">IF(TODAY()&gt;=$A195,SUMIFS(Tabla1[Avance_km],Tabla1[Fecha],"&lt;="&amp;EV!$A195,Tabla1[nombre_actividad],EV!C$1),NA())</f>
        <v>125.14200000000005</v>
      </c>
      <c r="D195" s="110">
        <f ca="1">IF(TODAY()&gt;=$A195,SUMIFS(Tabla1[Avance_km],Tabla1[Fecha],"&lt;="&amp;EV!$A195,Tabla1[nombre_actividad],EV!D$1),NA())</f>
        <v>99.906000000000006</v>
      </c>
      <c r="E195" s="110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0"/>
      <c r="I195" s="224">
        <f ca="1">+C195*Catalogo!$F$19+EV!D195*Catalogo!$F$14+EV!E195*Catalogo!$F$16+EV!F195*Catalogo!$F$18</f>
        <v>5117552.5640100017</v>
      </c>
      <c r="J195" s="224">
        <f ca="1">IF(TODAY()&gt;=$A195,SUMIFS(Tabla1[EV],Tabla1[Fecha],"&lt;="&amp;A195,Tabla1[EV],"&gt;0"),NA())</f>
        <v>6804977.5840100013</v>
      </c>
      <c r="L195"/>
      <c r="M195" s="221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0">
        <f ca="1">IF(TODAY()&gt;=$A196,SUMIFS(Tabla1[Avance_km],Tabla1[Fecha],"&lt;="&amp;EV!$A196,Tabla1[nombre_actividad],EV!C$1),NA())</f>
        <v>125.14200000000005</v>
      </c>
      <c r="D196" s="110">
        <f ca="1">IF(TODAY()&gt;=$A196,SUMIFS(Tabla1[Avance_km],Tabla1[Fecha],"&lt;="&amp;EV!$A196,Tabla1[nombre_actividad],EV!D$1),NA())</f>
        <v>99.906000000000006</v>
      </c>
      <c r="E196" s="110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0"/>
      <c r="I196" s="224">
        <f ca="1">+C196*Catalogo!$F$19+EV!D196*Catalogo!$F$14+EV!E196*Catalogo!$F$16+EV!F196*Catalogo!$F$18</f>
        <v>5131230.1946800016</v>
      </c>
      <c r="J196" s="224">
        <f ca="1">IF(TODAY()&gt;=$A196,SUMIFS(Tabla1[EV],Tabla1[Fecha],"&lt;="&amp;A196,Tabla1[EV],"&gt;0"),NA())</f>
        <v>6818655.2146800011</v>
      </c>
      <c r="L196"/>
      <c r="M196" s="221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0">
        <f ca="1">IF(TODAY()&gt;=$A197,SUMIFS(Tabla1[Avance_km],Tabla1[Fecha],"&lt;="&amp;EV!$A197,Tabla1[nombre_actividad],EV!C$1),NA())</f>
        <v>125.14200000000005</v>
      </c>
      <c r="D197" s="110">
        <f ca="1">IF(TODAY()&gt;=$A197,SUMIFS(Tabla1[Avance_km],Tabla1[Fecha],"&lt;="&amp;EV!$A197,Tabla1[nombre_actividad],EV!D$1),NA())</f>
        <v>102.316</v>
      </c>
      <c r="E197" s="110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0"/>
      <c r="I197" s="224">
        <f ca="1">+C197*Catalogo!$F$19+EV!D197*Catalogo!$F$14+EV!E197*Catalogo!$F$16+EV!F197*Catalogo!$F$18</f>
        <v>5166226.7927800016</v>
      </c>
      <c r="J197" s="224">
        <f ca="1">IF(TODAY()&gt;=$A197,SUMIFS(Tabla1[EV],Tabla1[Fecha],"&lt;="&amp;A197,Tabla1[EV],"&gt;0"),NA())</f>
        <v>6853651.8127800012</v>
      </c>
      <c r="L197"/>
      <c r="M197" s="221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0">
        <f ca="1">IF(TODAY()&gt;=$A198,SUMIFS(Tabla1[Avance_km],Tabla1[Fecha],"&lt;="&amp;EV!$A198,Tabla1[nombre_actividad],EV!C$1),NA())</f>
        <v>125.14200000000005</v>
      </c>
      <c r="D198" s="110">
        <f ca="1">IF(TODAY()&gt;=$A198,SUMIFS(Tabla1[Avance_km],Tabla1[Fecha],"&lt;="&amp;EV!$A198,Tabla1[nombre_actividad],EV!D$1),NA())</f>
        <v>104.242</v>
      </c>
      <c r="E198" s="110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0"/>
      <c r="I198" s="224">
        <f ca="1">+C198*Catalogo!$F$19+EV!D198*Catalogo!$F$14+EV!E198*Catalogo!$F$16+EV!F198*Catalogo!$F$18</f>
        <v>5194195.0284400014</v>
      </c>
      <c r="J198" s="224">
        <f ca="1">IF(TODAY()&gt;=$A198,SUMIFS(Tabla1[EV],Tabla1[Fecha],"&lt;="&amp;A198,Tabla1[EV],"&gt;0"),NA())</f>
        <v>6881620.048440001</v>
      </c>
      <c r="L198"/>
      <c r="M198" s="221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0">
        <f ca="1">IF(TODAY()&gt;=$A199,SUMIFS(Tabla1[Avance_km],Tabla1[Fecha],"&lt;="&amp;EV!$A199,Tabla1[nombre_actividad],EV!C$1),NA())</f>
        <v>125.14200000000005</v>
      </c>
      <c r="D199" s="110">
        <f ca="1">IF(TODAY()&gt;=$A199,SUMIFS(Tabla1[Avance_km],Tabla1[Fecha],"&lt;="&amp;EV!$A199,Tabla1[nombre_actividad],EV!D$1),NA())</f>
        <v>104.242</v>
      </c>
      <c r="E199" s="110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0"/>
      <c r="I199" s="224">
        <f ca="1">+C199*Catalogo!$F$19+EV!D199*Catalogo!$F$14+EV!E199*Catalogo!$F$16+EV!F199*Catalogo!$F$18</f>
        <v>5194195.0284400014</v>
      </c>
      <c r="J199" s="224">
        <f ca="1">IF(TODAY()&gt;=$A199,SUMIFS(Tabla1[EV],Tabla1[Fecha],"&lt;="&amp;A199,Tabla1[EV],"&gt;0"),NA())</f>
        <v>6881620.048440001</v>
      </c>
      <c r="L199"/>
      <c r="M199" s="221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0">
        <f ca="1">IF(TODAY()&gt;=$A200,SUMIFS(Tabla1[Avance_km],Tabla1[Fecha],"&lt;="&amp;EV!$A200,Tabla1[nombre_actividad],EV!C$1),NA())</f>
        <v>125.14200000000005</v>
      </c>
      <c r="D200" s="110">
        <f ca="1">IF(TODAY()&gt;=$A200,SUMIFS(Tabla1[Avance_km],Tabla1[Fecha],"&lt;="&amp;EV!$A200,Tabla1[nombre_actividad],EV!D$1),NA())</f>
        <v>104.242</v>
      </c>
      <c r="E200" s="110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0"/>
      <c r="I200" s="224">
        <f ca="1">+C200*Catalogo!$F$19+EV!D200*Catalogo!$F$14+EV!E200*Catalogo!$F$16+EV!F200*Catalogo!$F$18</f>
        <v>5208713.1081700018</v>
      </c>
      <c r="J200" s="224">
        <f ca="1">IF(TODAY()&gt;=$A200,SUMIFS(Tabla1[EV],Tabla1[Fecha],"&lt;="&amp;A200,Tabla1[EV],"&gt;0"),NA())</f>
        <v>6896138.1281700013</v>
      </c>
      <c r="L200"/>
      <c r="M200" s="221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0">
        <f ca="1">IF(TODAY()&gt;=$A201,SUMIFS(Tabla1[Avance_km],Tabla1[Fecha],"&lt;="&amp;EV!$A201,Tabla1[nombre_actividad],EV!C$1),NA())</f>
        <v>125.14200000000005</v>
      </c>
      <c r="D201" s="110">
        <f ca="1">IF(TODAY()&gt;=$A201,SUMIFS(Tabla1[Avance_km],Tabla1[Fecha],"&lt;="&amp;EV!$A201,Tabla1[nombre_actividad],EV!D$1),NA())</f>
        <v>104.242</v>
      </c>
      <c r="E201" s="110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0"/>
      <c r="I201" s="224">
        <f ca="1">+C201*Catalogo!$F$19+EV!D201*Catalogo!$F$14+EV!E201*Catalogo!$F$16+EV!F201*Catalogo!$F$18</f>
        <v>5225982.9807900013</v>
      </c>
      <c r="J201" s="224">
        <f ca="1">IF(TODAY()&gt;=$A201,SUMIFS(Tabla1[EV],Tabla1[Fecha],"&lt;="&amp;A201,Tabla1[EV],"&gt;0"),NA())</f>
        <v>6913408.0007900009</v>
      </c>
      <c r="L201"/>
      <c r="M201" s="22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0">
        <f ca="1">IF(TODAY()&gt;=$A202,SUMIFS(Tabla1[Avance_km],Tabla1[Fecha],"&lt;="&amp;EV!$A202,Tabla1[nombre_actividad],EV!C$1),NA())</f>
        <v>125.14200000000005</v>
      </c>
      <c r="D202" s="110">
        <f ca="1">IF(TODAY()&gt;=$A202,SUMIFS(Tabla1[Avance_km],Tabla1[Fecha],"&lt;="&amp;EV!$A202,Tabla1[nombre_actividad],EV!D$1),NA())</f>
        <v>104.242</v>
      </c>
      <c r="E202" s="110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0"/>
      <c r="I202" s="224">
        <f ca="1">+C202*Catalogo!$F$19+EV!D202*Catalogo!$F$14+EV!E202*Catalogo!$F$16+EV!F202*Catalogo!$F$18</f>
        <v>5238901.4961800016</v>
      </c>
      <c r="J202" s="224">
        <f ca="1">IF(TODAY()&gt;=$A202,SUMIFS(Tabla1[EV],Tabla1[Fecha],"&lt;="&amp;A202,Tabla1[EV],"&gt;0"),NA())</f>
        <v>6926326.5161800012</v>
      </c>
      <c r="L202"/>
      <c r="M202" s="221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0">
        <f ca="1">IF(TODAY()&gt;=$A203,SUMIFS(Tabla1[Avance_km],Tabla1[Fecha],"&lt;="&amp;EV!$A203,Tabla1[nombre_actividad],EV!C$1),NA())</f>
        <v>125.14200000000005</v>
      </c>
      <c r="D203" s="110">
        <f ca="1">IF(TODAY()&gt;=$A203,SUMIFS(Tabla1[Avance_km],Tabla1[Fecha],"&lt;="&amp;EV!$A203,Tabla1[nombre_actividad],EV!D$1),NA())</f>
        <v>106.81400000000001</v>
      </c>
      <c r="E203" s="110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0"/>
      <c r="I203" s="224">
        <f ca="1">+C203*Catalogo!$F$19+EV!D203*Catalogo!$F$14+EV!E203*Catalogo!$F$16+EV!F203*Catalogo!$F$18</f>
        <v>5276250.5627000015</v>
      </c>
      <c r="J203" s="224">
        <f ca="1">IF(TODAY()&gt;=$A203,SUMIFS(Tabla1[EV],Tabla1[Fecha],"&lt;="&amp;A203,Tabla1[EV],"&gt;0"),NA())</f>
        <v>6963675.5827000011</v>
      </c>
      <c r="L203"/>
      <c r="M203" s="221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0">
        <f ca="1">IF(TODAY()&gt;=$A204,SUMIFS(Tabla1[Avance_km],Tabla1[Fecha],"&lt;="&amp;EV!$A204,Tabla1[nombre_actividad],EV!C$1),NA())</f>
        <v>125.14200000000005</v>
      </c>
      <c r="D204" s="110">
        <f ca="1">IF(TODAY()&gt;=$A204,SUMIFS(Tabla1[Avance_km],Tabla1[Fecha],"&lt;="&amp;EV!$A204,Tabla1[nombre_actividad],EV!D$1),NA())</f>
        <v>109.367</v>
      </c>
      <c r="E204" s="110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0"/>
      <c r="I204" s="224">
        <f ca="1">+C204*Catalogo!$F$19+EV!D204*Catalogo!$F$14+EV!E204*Catalogo!$F$16+EV!F204*Catalogo!$F$18</f>
        <v>5313323.7224300019</v>
      </c>
      <c r="J204" s="224">
        <f ca="1">IF(TODAY()&gt;=$A204,SUMIFS(Tabla1[EV],Tabla1[Fecha],"&lt;="&amp;A204,Tabla1[EV],"&gt;0"),NA())</f>
        <v>7000748.7424300015</v>
      </c>
      <c r="L204"/>
      <c r="M204" s="221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0">
        <f ca="1">IF(TODAY()&gt;=$A205,SUMIFS(Tabla1[Avance_km],Tabla1[Fecha],"&lt;="&amp;EV!$A205,Tabla1[nombre_actividad],EV!C$1),NA())</f>
        <v>125.14200000000005</v>
      </c>
      <c r="D205" s="110">
        <f ca="1">IF(TODAY()&gt;=$A205,SUMIFS(Tabla1[Avance_km],Tabla1[Fecha],"&lt;="&amp;EV!$A205,Tabla1[nombre_actividad],EV!D$1),NA())</f>
        <v>111.15900000000001</v>
      </c>
      <c r="E205" s="110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0"/>
      <c r="I205" s="224">
        <f ca="1">+C205*Catalogo!$F$19+EV!D205*Catalogo!$F$14+EV!E205*Catalogo!$F$16+EV!F205*Catalogo!$F$18</f>
        <v>5339346.0891500013</v>
      </c>
      <c r="J205" s="224">
        <f ca="1">IF(TODAY()&gt;=$A205,SUMIFS(Tabla1[EV],Tabla1[Fecha],"&lt;="&amp;A205,Tabla1[EV],"&gt;0"),NA())</f>
        <v>7026771.1091500018</v>
      </c>
      <c r="L205"/>
      <c r="M205" s="221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0">
        <f ca="1">IF(TODAY()&gt;=$A206,SUMIFS(Tabla1[Avance_km],Tabla1[Fecha],"&lt;="&amp;EV!$A206,Tabla1[nombre_actividad],EV!C$1),NA())</f>
        <v>125.14200000000005</v>
      </c>
      <c r="D206" s="110">
        <f ca="1">IF(TODAY()&gt;=$A206,SUMIFS(Tabla1[Avance_km],Tabla1[Fecha],"&lt;="&amp;EV!$A206,Tabla1[nombre_actividad],EV!D$1),NA())</f>
        <v>111.15900000000001</v>
      </c>
      <c r="E206" s="110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0"/>
      <c r="I206" s="224">
        <f ca="1">+C206*Catalogo!$F$19+EV!D206*Catalogo!$F$14+EV!E206*Catalogo!$F$16+EV!F206*Catalogo!$F$18</f>
        <v>5339346.0891500013</v>
      </c>
      <c r="J206" s="224">
        <f ca="1">IF(TODAY()&gt;=$A206,SUMIFS(Tabla1[EV],Tabla1[Fecha],"&lt;="&amp;A206,Tabla1[EV],"&gt;0"),NA())</f>
        <v>7026771.1091500018</v>
      </c>
      <c r="L206"/>
      <c r="M206" s="221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0">
        <f ca="1">IF(TODAY()&gt;=$A207,SUMIFS(Tabla1[Avance_km],Tabla1[Fecha],"&lt;="&amp;EV!$A207,Tabla1[nombre_actividad],EV!C$1),NA())</f>
        <v>125.16800000000005</v>
      </c>
      <c r="D207" s="110">
        <f ca="1">IF(TODAY()&gt;=$A207,SUMIFS(Tabla1[Avance_km],Tabla1[Fecha],"&lt;="&amp;EV!$A207,Tabla1[nombre_actividad],EV!D$1),NA())</f>
        <v>111.15900000000001</v>
      </c>
      <c r="E207" s="110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0"/>
      <c r="I207" s="224">
        <f ca="1">+C207*Catalogo!$F$19+EV!D207*Catalogo!$F$14+EV!E207*Catalogo!$F$16+EV!F207*Catalogo!$F$18</f>
        <v>5351659.0715900017</v>
      </c>
      <c r="J207" s="224">
        <f ca="1">IF(TODAY()&gt;=$A207,SUMIFS(Tabla1[EV],Tabla1[Fecha],"&lt;="&amp;A207,Tabla1[EV],"&gt;0"),NA())</f>
        <v>7039084.0915900012</v>
      </c>
      <c r="L207"/>
      <c r="M207" s="221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0">
        <f ca="1">IF(TODAY()&gt;=$A208,SUMIFS(Tabla1[Avance_km],Tabla1[Fecha],"&lt;="&amp;EV!$A208,Tabla1[nombre_actividad],EV!C$1),NA())</f>
        <v>127.08800000000005</v>
      </c>
      <c r="D208" s="110">
        <f ca="1">IF(TODAY()&gt;=$A208,SUMIFS(Tabla1[Avance_km],Tabla1[Fecha],"&lt;="&amp;EV!$A208,Tabla1[nombre_actividad],EV!D$1),NA())</f>
        <v>111.15900000000001</v>
      </c>
      <c r="E208" s="110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0"/>
      <c r="I208" s="224">
        <f ca="1">+C208*Catalogo!$F$19+EV!D208*Catalogo!$F$14+EV!E208*Catalogo!$F$16+EV!F208*Catalogo!$F$18</f>
        <v>5355993.3179900013</v>
      </c>
      <c r="J208" s="224">
        <f ca="1">IF(TODAY()&gt;=$A208,SUMIFS(Tabla1[EV],Tabla1[Fecha],"&lt;="&amp;A208,Tabla1[EV],"&gt;0"),NA())</f>
        <v>7043418.3379900008</v>
      </c>
      <c r="L208"/>
      <c r="M208" s="221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0">
        <f ca="1">IF(TODAY()&gt;=$A209,SUMIFS(Tabla1[Avance_km],Tabla1[Fecha],"&lt;="&amp;EV!$A209,Tabla1[nombre_actividad],EV!C$1),NA())</f>
        <v>127.08800000000005</v>
      </c>
      <c r="D209" s="110">
        <f ca="1">IF(TODAY()&gt;=$A209,SUMIFS(Tabla1[Avance_km],Tabla1[Fecha],"&lt;="&amp;EV!$A209,Tabla1[nombre_actividad],EV!D$1),NA())</f>
        <v>111.15900000000001</v>
      </c>
      <c r="E209" s="110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0"/>
      <c r="I209" s="224">
        <f ca="1">+C209*Catalogo!$F$19+EV!D209*Catalogo!$F$14+EV!E209*Catalogo!$F$16+EV!F209*Catalogo!$F$18</f>
        <v>5357335.325360002</v>
      </c>
      <c r="J209" s="224">
        <f ca="1">IF(TODAY()&gt;=$A209,SUMIFS(Tabla1[EV],Tabla1[Fecha],"&lt;="&amp;A209,Tabla1[EV],"&gt;0"),NA())</f>
        <v>7044760.3453600006</v>
      </c>
      <c r="L209"/>
      <c r="M209" s="221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0">
        <f ca="1">IF(TODAY()&gt;=$A210,SUMIFS(Tabla1[Avance_km],Tabla1[Fecha],"&lt;="&amp;EV!$A210,Tabla1[nombre_actividad],EV!C$1),NA())</f>
        <v>127.41700000000004</v>
      </c>
      <c r="D210" s="110">
        <f ca="1">IF(TODAY()&gt;=$A210,SUMIFS(Tabla1[Avance_km],Tabla1[Fecha],"&lt;="&amp;EV!$A210,Tabla1[nombre_actividad],EV!D$1),NA())</f>
        <v>111.15900000000001</v>
      </c>
      <c r="E210" s="110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0"/>
      <c r="I210" s="224">
        <f ca="1">+C210*Catalogo!$F$19+EV!D210*Catalogo!$F$14+EV!E210*Catalogo!$F$16+EV!F210*Catalogo!$F$18</f>
        <v>5358078.0165400021</v>
      </c>
      <c r="J210" s="224">
        <f ca="1">IF(TODAY()&gt;=$A210,SUMIFS(Tabla1[EV],Tabla1[Fecha],"&lt;="&amp;A210,Tabla1[EV],"&gt;0"),NA())</f>
        <v>7045503.0365400007</v>
      </c>
      <c r="L210"/>
      <c r="M210" s="221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0">
        <f ca="1">IF(TODAY()&gt;=$A211,SUMIFS(Tabla1[Avance_km],Tabla1[Fecha],"&lt;="&amp;EV!$A211,Tabla1[nombre_actividad],EV!C$1),NA())</f>
        <v>128.30600000000004</v>
      </c>
      <c r="D211" s="110">
        <f ca="1">IF(TODAY()&gt;=$A211,SUMIFS(Tabla1[Avance_km],Tabla1[Fecha],"&lt;="&amp;EV!$A211,Tabla1[nombre_actividad],EV!D$1),NA())</f>
        <v>111.15900000000001</v>
      </c>
      <c r="E211" s="110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0"/>
      <c r="I211" s="224">
        <f ca="1">+C211*Catalogo!$F$19+EV!D211*Catalogo!$F$14+EV!E211*Catalogo!$F$16+EV!F211*Catalogo!$F$18</f>
        <v>5360084.8629200011</v>
      </c>
      <c r="J211" s="224">
        <f ca="1">IF(TODAY()&gt;=$A211,SUMIFS(Tabla1[EV],Tabla1[Fecha],"&lt;="&amp;A211,Tabla1[EV],"&gt;0"),NA())</f>
        <v>7047509.8829200007</v>
      </c>
      <c r="L211"/>
      <c r="M211" s="22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0">
        <f ca="1">IF(TODAY()&gt;=$A212,SUMIFS(Tabla1[Avance_km],Tabla1[Fecha],"&lt;="&amp;EV!$A212,Tabla1[nombre_actividad],EV!C$1),NA())</f>
        <v>128.76900000000003</v>
      </c>
      <c r="D212" s="110">
        <f ca="1">IF(TODAY()&gt;=$A212,SUMIFS(Tabla1[Avance_km],Tabla1[Fecha],"&lt;="&amp;EV!$A212,Tabla1[nombre_actividad],EV!D$1),NA())</f>
        <v>111.15900000000001</v>
      </c>
      <c r="E212" s="110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0"/>
      <c r="I212" s="224">
        <f ca="1">+C212*Catalogo!$F$19+EV!D212*Catalogo!$F$14+EV!E212*Catalogo!$F$16+EV!F212*Catalogo!$F$18</f>
        <v>5361130.0483800014</v>
      </c>
      <c r="J212" s="224">
        <f ca="1">IF(TODAY()&gt;=$A212,SUMIFS(Tabla1[EV],Tabla1[Fecha],"&lt;="&amp;A212,Tabla1[EV],"&gt;0"),NA())</f>
        <v>7048555.068380001</v>
      </c>
      <c r="L212"/>
      <c r="M212" s="221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0">
        <f ca="1">IF(TODAY()&gt;=$A213,SUMIFS(Tabla1[Avance_km],Tabla1[Fecha],"&lt;="&amp;EV!$A213,Tabla1[nombre_actividad],EV!C$1),NA())</f>
        <v>128.76900000000003</v>
      </c>
      <c r="D213" s="110">
        <f ca="1">IF(TODAY()&gt;=$A213,SUMIFS(Tabla1[Avance_km],Tabla1[Fecha],"&lt;="&amp;EV!$A213,Tabla1[nombre_actividad],EV!D$1),NA())</f>
        <v>111.15900000000001</v>
      </c>
      <c r="E213" s="110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0"/>
      <c r="I213" s="224">
        <f ca="1">+C213*Catalogo!$F$19+EV!D213*Catalogo!$F$14+EV!E213*Catalogo!$F$16+EV!F213*Catalogo!$F$18</f>
        <v>5361130.0483800014</v>
      </c>
      <c r="J213" s="224">
        <f ca="1">IF(TODAY()&gt;=$A213,SUMIFS(Tabla1[EV],Tabla1[Fecha],"&lt;="&amp;A213,Tabla1[EV],"&gt;0"),NA())</f>
        <v>7048555.068380001</v>
      </c>
      <c r="L213"/>
      <c r="M213" s="221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0">
        <f ca="1">IF(TODAY()&gt;=$A214,SUMIFS(Tabla1[Avance_km],Tabla1[Fecha],"&lt;="&amp;EV!$A214,Tabla1[nombre_actividad],EV!C$1),NA())</f>
        <v>128.76900000000003</v>
      </c>
      <c r="D214" s="110">
        <f ca="1">IF(TODAY()&gt;=$A214,SUMIFS(Tabla1[Avance_km],Tabla1[Fecha],"&lt;="&amp;EV!$A214,Tabla1[nombre_actividad],EV!D$1),NA())</f>
        <v>113.15100000000001</v>
      </c>
      <c r="E214" s="110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0"/>
      <c r="I214" s="224">
        <f ca="1">+C214*Catalogo!$F$19+EV!D214*Catalogo!$F$14+EV!E214*Catalogo!$F$16+EV!F214*Catalogo!$F$18</f>
        <v>5390056.6971000014</v>
      </c>
      <c r="J214" s="224">
        <f ca="1">IF(TODAY()&gt;=$A214,SUMIFS(Tabla1[EV],Tabla1[Fecha],"&lt;="&amp;A214,Tabla1[EV],"&gt;0"),NA())</f>
        <v>7077481.7171000009</v>
      </c>
      <c r="L214"/>
      <c r="M214" s="221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0">
        <f ca="1">IF(TODAY()&gt;=$A215,SUMIFS(Tabla1[Avance_km],Tabla1[Fecha],"&lt;="&amp;EV!$A215,Tabla1[nombre_actividad],EV!C$1),NA())</f>
        <v>128.76900000000003</v>
      </c>
      <c r="D215" s="110">
        <f ca="1">IF(TODAY()&gt;=$A215,SUMIFS(Tabla1[Avance_km],Tabla1[Fecha],"&lt;="&amp;EV!$A215,Tabla1[nombre_actividad],EV!D$1),NA())</f>
        <v>115.14400000000001</v>
      </c>
      <c r="E215" s="110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0"/>
      <c r="I215" s="224">
        <f ca="1">+C215*Catalogo!$F$19+EV!D215*Catalogo!$F$14+EV!E215*Catalogo!$F$16+EV!F215*Catalogo!$F$18</f>
        <v>5418997.8672300018</v>
      </c>
      <c r="J215" s="224">
        <f ca="1">IF(TODAY()&gt;=$A215,SUMIFS(Tabla1[EV],Tabla1[Fecha],"&lt;="&amp;A215,Tabla1[EV],"&gt;0"),NA())</f>
        <v>7106422.8872300014</v>
      </c>
      <c r="L215"/>
      <c r="M215" s="221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0">
        <f ca="1">IF(TODAY()&gt;=$A216,SUMIFS(Tabla1[Avance_km],Tabla1[Fecha],"&lt;="&amp;EV!$A216,Tabla1[nombre_actividad],EV!C$1),NA())</f>
        <v>128.76900000000003</v>
      </c>
      <c r="D216" s="110">
        <f ca="1">IF(TODAY()&gt;=$A216,SUMIFS(Tabla1[Avance_km],Tabla1[Fecha],"&lt;="&amp;EV!$A216,Tabla1[nombre_actividad],EV!D$1),NA())</f>
        <v>115.83800000000001</v>
      </c>
      <c r="E216" s="110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0"/>
      <c r="I216" s="224">
        <f ca="1">+C216*Catalogo!$F$19+EV!D216*Catalogo!$F$14+EV!E216*Catalogo!$F$16+EV!F216*Catalogo!$F$18</f>
        <v>5429075.7257700013</v>
      </c>
      <c r="J216" s="224">
        <f ca="1">IF(TODAY()&gt;=$A216,SUMIFS(Tabla1[EV],Tabla1[Fecha],"&lt;="&amp;A216,Tabla1[EV],"&gt;0"),NA())</f>
        <v>7116500.7457700018</v>
      </c>
      <c r="L216"/>
      <c r="M216" s="221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0">
        <f ca="1">IF(TODAY()&gt;=$A217,SUMIFS(Tabla1[Avance_km],Tabla1[Fecha],"&lt;="&amp;EV!$A217,Tabla1[nombre_actividad],EV!C$1),NA())</f>
        <v>128.76900000000003</v>
      </c>
      <c r="D217" s="110">
        <f ca="1">IF(TODAY()&gt;=$A217,SUMIFS(Tabla1[Avance_km],Tabla1[Fecha],"&lt;="&amp;EV!$A217,Tabla1[nombre_actividad],EV!D$1),NA())</f>
        <v>117.30000000000001</v>
      </c>
      <c r="E217" s="110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0"/>
      <c r="I217" s="224">
        <f ca="1">+C217*Catalogo!$F$19+EV!D217*Catalogo!$F$14+EV!E217*Catalogo!$F$16+EV!F217*Catalogo!$F$18</f>
        <v>5450306.0271900017</v>
      </c>
      <c r="J217" s="224">
        <f ca="1">IF(TODAY()&gt;=$A217,SUMIFS(Tabla1[EV],Tabla1[Fecha],"&lt;="&amp;A217,Tabla1[EV],"&gt;0"),NA())</f>
        <v>7137731.0471900012</v>
      </c>
      <c r="L217"/>
      <c r="M217" s="221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0">
        <f ca="1">IF(TODAY()&gt;=$A218,SUMIFS(Tabla1[Avance_km],Tabla1[Fecha],"&lt;="&amp;EV!$A218,Tabla1[nombre_actividad],EV!C$1),NA())</f>
        <v>130.97100000000006</v>
      </c>
      <c r="D218" s="110">
        <f ca="1">IF(TODAY()&gt;=$A218,SUMIFS(Tabla1[Avance_km],Tabla1[Fecha],"&lt;="&amp;EV!$A218,Tabla1[nombre_actividad],EV!D$1),NA())</f>
        <v>117.30000000000001</v>
      </c>
      <c r="E218" s="110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0"/>
      <c r="I218" s="224">
        <f ca="1">+C218*Catalogo!$F$19+EV!D218*Catalogo!$F$14+EV!E218*Catalogo!$F$16+EV!F218*Catalogo!$F$18</f>
        <v>5455276.866030002</v>
      </c>
      <c r="J218" s="224">
        <f ca="1">IF(TODAY()&gt;=$A218,SUMIFS(Tabla1[EV],Tabla1[Fecha],"&lt;="&amp;A218,Tabla1[EV],"&gt;0"),NA())</f>
        <v>7142701.8860300006</v>
      </c>
      <c r="L218"/>
      <c r="M218" s="221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0">
        <f ca="1">IF(TODAY()&gt;=$A219,SUMIFS(Tabla1[Avance_km],Tabla1[Fecha],"&lt;="&amp;EV!$A219,Tabla1[nombre_actividad],EV!C$1),NA())</f>
        <v>130.97100000000006</v>
      </c>
      <c r="D219" s="110">
        <f ca="1">IF(TODAY()&gt;=$A219,SUMIFS(Tabla1[Avance_km],Tabla1[Fecha],"&lt;="&amp;EV!$A219,Tabla1[nombre_actividad],EV!D$1),NA())</f>
        <v>119.18</v>
      </c>
      <c r="E219" s="110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0"/>
      <c r="I219" s="224">
        <f ca="1">+C219*Catalogo!$F$19+EV!D219*Catalogo!$F$14+EV!E219*Catalogo!$F$16+EV!F219*Catalogo!$F$18</f>
        <v>5482577.1168300016</v>
      </c>
      <c r="J219" s="224">
        <f ca="1">IF(TODAY()&gt;=$A219,SUMIFS(Tabla1[EV],Tabla1[Fecha],"&lt;="&amp;A219,Tabla1[EV],"&gt;0"),NA())</f>
        <v>7170002.1368300002</v>
      </c>
      <c r="L219"/>
      <c r="M219" s="221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0">
        <f ca="1">IF(TODAY()&gt;=$A220,SUMIFS(Tabla1[Avance_km],Tabla1[Fecha],"&lt;="&amp;EV!$A220,Tabla1[nombre_actividad],EV!C$1),NA())</f>
        <v>130.97100000000006</v>
      </c>
      <c r="D220" s="110">
        <f ca="1">IF(TODAY()&gt;=$A220,SUMIFS(Tabla1[Avance_km],Tabla1[Fecha],"&lt;="&amp;EV!$A220,Tabla1[nombre_actividad],EV!D$1),NA())</f>
        <v>119.18</v>
      </c>
      <c r="E220" s="110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0"/>
      <c r="I220" s="224">
        <f ca="1">+C220*Catalogo!$F$19+EV!D220*Catalogo!$F$14+EV!E220*Catalogo!$F$16+EV!F220*Catalogo!$F$18</f>
        <v>5482577.1168300016</v>
      </c>
      <c r="J220" s="224">
        <f ca="1">IF(TODAY()&gt;=$A220,SUMIFS(Tabla1[EV],Tabla1[Fecha],"&lt;="&amp;A220,Tabla1[EV],"&gt;0"),NA())</f>
        <v>7170002.1368300002</v>
      </c>
      <c r="L220"/>
      <c r="M220" s="221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0">
        <f ca="1">IF(TODAY()&gt;=$A221,SUMIFS(Tabla1[Avance_km],Tabla1[Fecha],"&lt;="&amp;EV!$A221,Tabla1[nombre_actividad],EV!C$1),NA())</f>
        <v>130.97100000000006</v>
      </c>
      <c r="D221" s="110">
        <f ca="1">IF(TODAY()&gt;=$A221,SUMIFS(Tabla1[Avance_km],Tabla1[Fecha],"&lt;="&amp;EV!$A221,Tabla1[nombre_actividad],EV!D$1),NA())</f>
        <v>120.56200000000001</v>
      </c>
      <c r="E221" s="110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0"/>
      <c r="I221" s="224">
        <f ca="1">+C221*Catalogo!$F$19+EV!D221*Catalogo!$F$14+EV!E221*Catalogo!$F$16+EV!F221*Catalogo!$F$18</f>
        <v>5502645.7054500021</v>
      </c>
      <c r="J221" s="224">
        <f ca="1">IF(TODAY()&gt;=$A221,SUMIFS(Tabla1[EV],Tabla1[Fecha],"&lt;="&amp;A221,Tabla1[EV],"&gt;0"),NA())</f>
        <v>7190070.7254499998</v>
      </c>
      <c r="L221"/>
      <c r="M221" s="221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0">
        <f ca="1">IF(TODAY()&gt;=$A222,SUMIFS(Tabla1[Avance_km],Tabla1[Fecha],"&lt;="&amp;EV!$A222,Tabla1[nombre_actividad],EV!C$1),NA())</f>
        <v>130.97100000000006</v>
      </c>
      <c r="D222" s="110">
        <f ca="1">IF(TODAY()&gt;=$A222,SUMIFS(Tabla1[Avance_km],Tabla1[Fecha],"&lt;="&amp;EV!$A222,Tabla1[nombre_actividad],EV!D$1),NA())</f>
        <v>121.95300000000002</v>
      </c>
      <c r="E222" s="110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0"/>
      <c r="I222" s="224">
        <f ca="1">+C222*Catalogo!$F$19+EV!D222*Catalogo!$F$14+EV!E222*Catalogo!$F$16+EV!F222*Catalogo!$F$18</f>
        <v>5522844.9867600016</v>
      </c>
      <c r="J222" s="224">
        <f ca="1">IF(TODAY()&gt;=$A222,SUMIFS(Tabla1[EV],Tabla1[Fecha],"&lt;="&amp;A222,Tabla1[EV],"&gt;0"),NA())</f>
        <v>7210270.0067600003</v>
      </c>
      <c r="L222"/>
      <c r="M222" s="221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0">
        <f ca="1">IF(TODAY()&gt;=$A223,SUMIFS(Tabla1[Avance_km],Tabla1[Fecha],"&lt;="&amp;EV!$A223,Tabla1[nombre_actividad],EV!C$1),NA())</f>
        <v>130.97100000000006</v>
      </c>
      <c r="D223" s="110">
        <f ca="1">IF(TODAY()&gt;=$A223,SUMIFS(Tabla1[Avance_km],Tabla1[Fecha],"&lt;="&amp;EV!$A223,Tabla1[nombre_actividad],EV!D$1),NA())</f>
        <v>122.98</v>
      </c>
      <c r="E223" s="110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0"/>
      <c r="I223" s="224">
        <f ca="1">+C223*Catalogo!$F$19+EV!D223*Catalogo!$F$14+EV!E223*Catalogo!$F$16+EV!F223*Catalogo!$F$18</f>
        <v>5537758.4748300016</v>
      </c>
      <c r="J223" s="224">
        <f ca="1">IF(TODAY()&gt;=$A223,SUMIFS(Tabla1[EV],Tabla1[Fecha],"&lt;="&amp;A223,Tabla1[EV],"&gt;0"),NA())</f>
        <v>7225183.4948299993</v>
      </c>
      <c r="L223"/>
      <c r="M223" s="221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0">
        <f ca="1">IF(TODAY()&gt;=$A224,SUMIFS(Tabla1[Avance_km],Tabla1[Fecha],"&lt;="&amp;EV!$A224,Tabla1[nombre_actividad],EV!C$1),NA())</f>
        <v>130.97100000000006</v>
      </c>
      <c r="D224" s="110">
        <f ca="1">IF(TODAY()&gt;=$A224,SUMIFS(Tabla1[Avance_km],Tabla1[Fecha],"&lt;="&amp;EV!$A224,Tabla1[nombre_actividad],EV!D$1),NA())</f>
        <v>123.88300000000001</v>
      </c>
      <c r="E224" s="110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0"/>
      <c r="I224" s="224">
        <f ca="1">+C224*Catalogo!$F$19+EV!D224*Catalogo!$F$14+EV!E224*Catalogo!$F$16+EV!F224*Catalogo!$F$18</f>
        <v>5550871.3080600016</v>
      </c>
      <c r="J224" s="224">
        <f ca="1">IF(TODAY()&gt;=$A224,SUMIFS(Tabla1[EV],Tabla1[Fecha],"&lt;="&amp;A224,Tabla1[EV],"&gt;0"),NA())</f>
        <v>7238296.3280599993</v>
      </c>
      <c r="L224"/>
      <c r="M224" s="221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0">
        <f ca="1">IF(TODAY()&gt;=$A225,SUMIFS(Tabla1[Avance_km],Tabla1[Fecha],"&lt;="&amp;EV!$A225,Tabla1[nombre_actividad],EV!C$1),NA())</f>
        <v>130.97100000000006</v>
      </c>
      <c r="D225" s="110">
        <f ca="1">IF(TODAY()&gt;=$A225,SUMIFS(Tabla1[Avance_km],Tabla1[Fecha],"&lt;="&amp;EV!$A225,Tabla1[nombre_actividad],EV!D$1),NA())</f>
        <v>124.75500000000001</v>
      </c>
      <c r="E225" s="110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0"/>
      <c r="I225" s="224">
        <f ca="1">+C225*Catalogo!$F$19+EV!D225*Catalogo!$F$14+EV!E225*Catalogo!$F$16+EV!F225*Catalogo!$F$18</f>
        <v>5563533.9775800016</v>
      </c>
      <c r="J225" s="224">
        <f ca="1">IF(TODAY()&gt;=$A225,SUMIFS(Tabla1[EV],Tabla1[Fecha],"&lt;="&amp;A225,Tabla1[EV],"&gt;0"),NA())</f>
        <v>7250958.9975799993</v>
      </c>
      <c r="L225"/>
      <c r="M225" s="221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0">
        <f ca="1">IF(TODAY()&gt;=$A226,SUMIFS(Tabla1[Avance_km],Tabla1[Fecha],"&lt;="&amp;EV!$A226,Tabla1[nombre_actividad],EV!C$1),NA())</f>
        <v>130.97100000000006</v>
      </c>
      <c r="D226" s="110">
        <f ca="1">IF(TODAY()&gt;=$A226,SUMIFS(Tabla1[Avance_km],Tabla1[Fecha],"&lt;="&amp;EV!$A226,Tabla1[nombre_actividad],EV!D$1),NA())</f>
        <v>124.75500000000001</v>
      </c>
      <c r="E226" s="110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0"/>
      <c r="I226" s="224">
        <f ca="1">+C226*Catalogo!$F$19+EV!D226*Catalogo!$F$14+EV!E226*Catalogo!$F$16+EV!F226*Catalogo!$F$18</f>
        <v>5563533.9775800016</v>
      </c>
      <c r="J226" s="224">
        <f ca="1">IF(TODAY()&gt;=$A226,SUMIFS(Tabla1[EV],Tabla1[Fecha],"&lt;="&amp;A226,Tabla1[EV],"&gt;0"),NA())</f>
        <v>7250958.9975799993</v>
      </c>
      <c r="L226"/>
      <c r="M226" s="221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0">
        <f ca="1">IF(TODAY()&gt;=$A227,SUMIFS(Tabla1[Avance_km],Tabla1[Fecha],"&lt;="&amp;EV!$A227,Tabla1[nombre_actividad],EV!C$1),NA())</f>
        <v>130.97100000000006</v>
      </c>
      <c r="D227" s="110">
        <f ca="1">IF(TODAY()&gt;=$A227,SUMIFS(Tabla1[Avance_km],Tabla1[Fecha],"&lt;="&amp;EV!$A227,Tabla1[nombre_actividad],EV!D$1),NA())</f>
        <v>124.75500000000001</v>
      </c>
      <c r="E227" s="110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0"/>
      <c r="I227" s="224">
        <f ca="1">+C227*Catalogo!$F$19+EV!D227*Catalogo!$F$14+EV!E227*Catalogo!$F$16+EV!F227*Catalogo!$F$18</f>
        <v>5563533.9775800016</v>
      </c>
      <c r="J227" s="224">
        <f ca="1">IF(TODAY()&gt;=$A227,SUMIFS(Tabla1[EV],Tabla1[Fecha],"&lt;="&amp;A227,Tabla1[EV],"&gt;0"),NA())</f>
        <v>7250958.9975799993</v>
      </c>
      <c r="L227"/>
      <c r="M227" s="221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0">
        <f ca="1">IF(TODAY()&gt;=$A228,SUMIFS(Tabla1[Avance_km],Tabla1[Fecha],"&lt;="&amp;EV!$A228,Tabla1[nombre_actividad],EV!C$1),NA())</f>
        <v>130.97100000000006</v>
      </c>
      <c r="D228" s="110">
        <f ca="1">IF(TODAY()&gt;=$A228,SUMIFS(Tabla1[Avance_km],Tabla1[Fecha],"&lt;="&amp;EV!$A228,Tabla1[nombre_actividad],EV!D$1),NA())</f>
        <v>125.22200000000001</v>
      </c>
      <c r="E228" s="110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0"/>
      <c r="I228" s="224">
        <f ca="1">+C228*Catalogo!$F$19+EV!D228*Catalogo!$F$14+EV!E228*Catalogo!$F$16+EV!F228*Catalogo!$F$18</f>
        <v>5570315.4760500016</v>
      </c>
      <c r="J228" s="224">
        <f ca="1">IF(TODAY()&gt;=$A228,SUMIFS(Tabla1[EV],Tabla1[Fecha],"&lt;="&amp;A228,Tabla1[EV],"&gt;0"),NA())</f>
        <v>7257740.4960499993</v>
      </c>
      <c r="L228"/>
      <c r="M228" s="221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0">
        <f ca="1">IF(TODAY()&gt;=$A229,SUMIFS(Tabla1[Avance_km],Tabla1[Fecha],"&lt;="&amp;EV!$A229,Tabla1[nombre_actividad],EV!C$1),NA())</f>
        <v>130.97100000000006</v>
      </c>
      <c r="D229" s="110">
        <f ca="1">IF(TODAY()&gt;=$A229,SUMIFS(Tabla1[Avance_km],Tabla1[Fecha],"&lt;="&amp;EV!$A229,Tabla1[nombre_actividad],EV!D$1),NA())</f>
        <v>125.92</v>
      </c>
      <c r="E229" s="110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0"/>
      <c r="I229" s="224">
        <f ca="1">+C229*Catalogo!$F$19+EV!D229*Catalogo!$F$14+EV!E229*Catalogo!$F$16+EV!F229*Catalogo!$F$18</f>
        <v>5580451.4202300012</v>
      </c>
      <c r="J229" s="224">
        <f ca="1">IF(TODAY()&gt;=$A229,SUMIFS(Tabla1[EV],Tabla1[Fecha],"&lt;="&amp;A229,Tabla1[EV],"&gt;0"),NA())</f>
        <v>7267876.4402299989</v>
      </c>
      <c r="L229"/>
      <c r="M229" s="221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0">
        <f ca="1">IF(TODAY()&gt;=$A230,SUMIFS(Tabla1[Avance_km],Tabla1[Fecha],"&lt;="&amp;EV!$A230,Tabla1[nombre_actividad],EV!C$1),NA())</f>
        <v>130.97100000000006</v>
      </c>
      <c r="D230" s="110">
        <f ca="1">IF(TODAY()&gt;=$A230,SUMIFS(Tabla1[Avance_km],Tabla1[Fecha],"&lt;="&amp;EV!$A230,Tabla1[nombre_actividad],EV!D$1),NA())</f>
        <v>126.35899999999999</v>
      </c>
      <c r="E230" s="110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0"/>
      <c r="I230" s="224">
        <f ca="1">+C230*Catalogo!$F$19+EV!D230*Catalogo!$F$14+EV!E230*Catalogo!$F$16+EV!F230*Catalogo!$F$18</f>
        <v>5586826.3192200018</v>
      </c>
      <c r="J230" s="224">
        <f ca="1">IF(TODAY()&gt;=$A230,SUMIFS(Tabla1[EV],Tabla1[Fecha],"&lt;="&amp;A230,Tabla1[EV],"&gt;0"),NA())</f>
        <v>7274251.3392199986</v>
      </c>
      <c r="L230"/>
      <c r="M230" s="221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0">
        <f ca="1">IF(TODAY()&gt;=$A231,SUMIFS(Tabla1[Avance_km],Tabla1[Fecha],"&lt;="&amp;EV!$A231,Tabla1[nombre_actividad],EV!C$1),NA())</f>
        <v>130.97100000000006</v>
      </c>
      <c r="D231" s="110">
        <f ca="1">IF(TODAY()&gt;=$A231,SUMIFS(Tabla1[Avance_km],Tabla1[Fecha],"&lt;="&amp;EV!$A231,Tabla1[nombre_actividad],EV!D$1),NA())</f>
        <v>127.53099999999999</v>
      </c>
      <c r="E231" s="110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0"/>
      <c r="I231" s="224">
        <f ca="1">+C231*Catalogo!$F$19+EV!D231*Catalogo!$F$14+EV!E231*Catalogo!$F$16+EV!F231*Catalogo!$F$18</f>
        <v>5603845.4117400013</v>
      </c>
      <c r="J231" s="224">
        <f ca="1">IF(TODAY()&gt;=$A231,SUMIFS(Tabla1[EV],Tabla1[Fecha],"&lt;="&amp;A231,Tabla1[EV],"&gt;0"),NA())</f>
        <v>7291270.4317399981</v>
      </c>
      <c r="L231"/>
      <c r="M231" s="221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0">
        <f ca="1">IF(TODAY()&gt;=$A232,SUMIFS(Tabla1[Avance_km],Tabla1[Fecha],"&lt;="&amp;EV!$A232,Tabla1[nombre_actividad],EV!C$1),NA())</f>
        <v>132.54000000000008</v>
      </c>
      <c r="D232" s="110">
        <f ca="1">IF(TODAY()&gt;=$A232,SUMIFS(Tabla1[Avance_km],Tabla1[Fecha],"&lt;="&amp;EV!$A232,Tabla1[nombre_actividad],EV!D$1),NA())</f>
        <v>127.664</v>
      </c>
      <c r="E232" s="110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0"/>
      <c r="I232" s="224">
        <f ca="1">+C232*Catalogo!$F$19+EV!D232*Catalogo!$F$14+EV!E232*Catalogo!$F$16+EV!F232*Catalogo!$F$18</f>
        <v>5609318.651250002</v>
      </c>
      <c r="J232" s="224">
        <f ca="1">IF(TODAY()&gt;=$A232,SUMIFS(Tabla1[EV],Tabla1[Fecha],"&lt;="&amp;A232,Tabla1[EV],"&gt;0"),NA())</f>
        <v>7296743.6712499978</v>
      </c>
      <c r="L232"/>
      <c r="M232" s="221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0">
        <f ca="1">IF(TODAY()&gt;=$A233,SUMIFS(Tabla1[Avance_km],Tabla1[Fecha],"&lt;="&amp;EV!$A233,Tabla1[nombre_actividad],EV!C$1),NA())</f>
        <v>132.55400000000009</v>
      </c>
      <c r="D233" s="110">
        <f ca="1">IF(TODAY()&gt;=$A233,SUMIFS(Tabla1[Avance_km],Tabla1[Fecha],"&lt;="&amp;EV!$A233,Tabla1[nombre_actividad],EV!D$1),NA())</f>
        <v>127.678</v>
      </c>
      <c r="E233" s="110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0"/>
      <c r="I233" s="224">
        <f ca="1">+C233*Catalogo!$F$19+EV!D233*Catalogo!$F$14+EV!E233*Catalogo!$F$16+EV!F233*Catalogo!$F$18</f>
        <v>5609553.554870002</v>
      </c>
      <c r="J233" s="224">
        <f ca="1">IF(TODAY()&gt;=$A233,SUMIFS(Tabla1[EV],Tabla1[Fecha],"&lt;="&amp;A233,Tabla1[EV],"&gt;0"),NA())</f>
        <v>7296978.5748699978</v>
      </c>
      <c r="L233"/>
      <c r="M233" s="221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0">
        <f ca="1">IF(TODAY()&gt;=$A234,SUMIFS(Tabla1[Avance_km],Tabla1[Fecha],"&lt;="&amp;EV!$A234,Tabla1[nombre_actividad],EV!C$1),NA())</f>
        <v>132.55400000000009</v>
      </c>
      <c r="D234" s="110">
        <f ca="1">IF(TODAY()&gt;=$A234,SUMIFS(Tabla1[Avance_km],Tabla1[Fecha],"&lt;="&amp;EV!$A234,Tabla1[nombre_actividad],EV!D$1),NA())</f>
        <v>127.678</v>
      </c>
      <c r="E234" s="110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0"/>
      <c r="I234" s="224">
        <f ca="1">+C234*Catalogo!$F$19+EV!D234*Catalogo!$F$14+EV!E234*Catalogo!$F$16+EV!F234*Catalogo!$F$18</f>
        <v>5609553.554870002</v>
      </c>
      <c r="J234" s="224">
        <f ca="1">IF(TODAY()&gt;=$A234,SUMIFS(Tabla1[EV],Tabla1[Fecha],"&lt;="&amp;A234,Tabla1[EV],"&gt;0"),NA())</f>
        <v>7296978.5748699978</v>
      </c>
      <c r="L234"/>
      <c r="M234" s="221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0">
        <f ca="1">IF(TODAY()&gt;=$A235,SUMIFS(Tabla1[Avance_km],Tabla1[Fecha],"&lt;="&amp;EV!$A235,Tabla1[nombre_actividad],EV!C$1),NA())</f>
        <v>132.55400000000009</v>
      </c>
      <c r="D235" s="110">
        <f ca="1">IF(TODAY()&gt;=$A235,SUMIFS(Tabla1[Avance_km],Tabla1[Fecha],"&lt;="&amp;EV!$A235,Tabla1[nombre_actividad],EV!D$1),NA())</f>
        <v>128.17399999999998</v>
      </c>
      <c r="E235" s="110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0"/>
      <c r="I235" s="224">
        <f ca="1">+C235*Catalogo!$F$19+EV!D235*Catalogo!$F$14+EV!E235*Catalogo!$F$16+EV!F235*Catalogo!$F$18</f>
        <v>5616756.1742300009</v>
      </c>
      <c r="J235" s="224">
        <f ca="1">IF(TODAY()&gt;=$A235,SUMIFS(Tabla1[EV],Tabla1[Fecha],"&lt;="&amp;A235,Tabla1[EV],"&gt;0"),NA())</f>
        <v>7304181.1942299977</v>
      </c>
      <c r="L235"/>
      <c r="M235" s="221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0">
        <f ca="1">IF(TODAY()&gt;=$A236,SUMIFS(Tabla1[Avance_km],Tabla1[Fecha],"&lt;="&amp;EV!$A236,Tabla1[nombre_actividad],EV!C$1),NA())</f>
        <v>132.55400000000009</v>
      </c>
      <c r="D236" s="110">
        <f ca="1">IF(TODAY()&gt;=$A236,SUMIFS(Tabla1[Avance_km],Tabla1[Fecha],"&lt;="&amp;EV!$A236,Tabla1[nombre_actividad],EV!D$1),NA())</f>
        <v>129.04499999999999</v>
      </c>
      <c r="E236" s="110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0"/>
      <c r="I236" s="224">
        <f ca="1">+C236*Catalogo!$F$19+EV!D236*Catalogo!$F$14+EV!E236*Catalogo!$F$16+EV!F236*Catalogo!$F$18</f>
        <v>5629404.3223400014</v>
      </c>
      <c r="J236" s="224">
        <f ca="1">IF(TODAY()&gt;=$A236,SUMIFS(Tabla1[EV],Tabla1[Fecha],"&lt;="&amp;A236,Tabla1[EV],"&gt;0"),NA())</f>
        <v>7316829.3423399981</v>
      </c>
      <c r="L236"/>
      <c r="M236" s="221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0">
        <f ca="1">IF(TODAY()&gt;=$A237,SUMIFS(Tabla1[Avance_km],Tabla1[Fecha],"&lt;="&amp;EV!$A237,Tabla1[nombre_actividad],EV!C$1),NA())</f>
        <v>132.55400000000009</v>
      </c>
      <c r="D237" s="110">
        <f ca="1">IF(TODAY()&gt;=$A237,SUMIFS(Tabla1[Avance_km],Tabla1[Fecha],"&lt;="&amp;EV!$A237,Tabla1[nombre_actividad],EV!D$1),NA())</f>
        <v>129.04499999999999</v>
      </c>
      <c r="E237" s="110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0"/>
      <c r="I237" s="224">
        <f ca="1">+C237*Catalogo!$F$19+EV!D237*Catalogo!$F$14+EV!E237*Catalogo!$F$16+EV!F237*Catalogo!$F$18</f>
        <v>5629404.3223400014</v>
      </c>
      <c r="J237" s="224">
        <f ca="1">IF(TODAY()&gt;=$A237,SUMIFS(Tabla1[EV],Tabla1[Fecha],"&lt;="&amp;A237,Tabla1[EV],"&gt;0"),NA())</f>
        <v>7316829.3423399981</v>
      </c>
      <c r="L237"/>
      <c r="M237" s="221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0">
        <f ca="1">IF(TODAY()&gt;=$A238,SUMIFS(Tabla1[Avance_km],Tabla1[Fecha],"&lt;="&amp;EV!$A238,Tabla1[nombre_actividad],EV!C$1),NA())</f>
        <v>132.58700000000007</v>
      </c>
      <c r="D238" s="110">
        <f ca="1">IF(TODAY()&gt;=$A238,SUMIFS(Tabla1[Avance_km],Tabla1[Fecha],"&lt;="&amp;EV!$A238,Tabla1[nombre_actividad],EV!D$1),NA())</f>
        <v>130.51399999999998</v>
      </c>
      <c r="E238" s="110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0"/>
      <c r="I238" s="224">
        <f ca="1">+C238*Catalogo!$F$19+EV!D238*Catalogo!$F$14+EV!E238*Catalogo!$F$16+EV!F238*Catalogo!$F$18</f>
        <v>5650810.7684900016</v>
      </c>
      <c r="J238" s="224">
        <f ca="1">IF(TODAY()&gt;=$A238,SUMIFS(Tabla1[EV],Tabla1[Fecha],"&lt;="&amp;A238,Tabla1[EV],"&gt;0"),NA())</f>
        <v>7338235.7884899983</v>
      </c>
      <c r="L238"/>
      <c r="M238" s="221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0">
        <f ca="1">IF(TODAY()&gt;=$A239,SUMIFS(Tabla1[Avance_km],Tabla1[Fecha],"&lt;="&amp;EV!$A239,Tabla1[nombre_actividad],EV!C$1),NA())</f>
        <v>133.24400000000006</v>
      </c>
      <c r="D239" s="110">
        <f ca="1">IF(TODAY()&gt;=$A239,SUMIFS(Tabla1[Avance_km],Tabla1[Fecha],"&lt;="&amp;EV!$A239,Tabla1[nombre_actividad],EV!D$1),NA())</f>
        <v>130.51999999999998</v>
      </c>
      <c r="E239" s="110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0"/>
      <c r="I239" s="224">
        <f ca="1">+C239*Catalogo!$F$19+EV!D239*Catalogo!$F$14+EV!E239*Catalogo!$F$16+EV!F239*Catalogo!$F$18</f>
        <v>5652381.0218900014</v>
      </c>
      <c r="J239" s="224">
        <f ca="1">IF(TODAY()&gt;=$A239,SUMIFS(Tabla1[EV],Tabla1[Fecha],"&lt;="&amp;A239,Tabla1[EV],"&gt;0"),NA())</f>
        <v>7339806.0418899991</v>
      </c>
      <c r="L239"/>
      <c r="M239" s="221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0">
        <f ca="1">IF(TODAY()&gt;=$A240,SUMIFS(Tabla1[Avance_km],Tabla1[Fecha],"&lt;="&amp;EV!$A240,Tabla1[nombre_actividad],EV!C$1),NA())</f>
        <v>134.08600000000004</v>
      </c>
      <c r="D240" s="110">
        <f ca="1">IF(TODAY()&gt;=$A240,SUMIFS(Tabla1[Avance_km],Tabla1[Fecha],"&lt;="&amp;EV!$A240,Tabla1[nombre_actividad],EV!D$1),NA())</f>
        <v>130.51999999999998</v>
      </c>
      <c r="E240" s="110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0"/>
      <c r="I240" s="224">
        <f ca="1">+C240*Catalogo!$F$19+EV!D240*Catalogo!$F$14+EV!E240*Catalogo!$F$16+EV!F240*Catalogo!$F$18</f>
        <v>5654281.7695300011</v>
      </c>
      <c r="J240" s="224">
        <f ca="1">IF(TODAY()&gt;=$A240,SUMIFS(Tabla1[EV],Tabla1[Fecha],"&lt;="&amp;A240,Tabla1[EV],"&gt;0"),NA())</f>
        <v>7341706.7895299988</v>
      </c>
      <c r="L240"/>
      <c r="M240" s="221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0">
        <f ca="1">IF(TODAY()&gt;=$A241,SUMIFS(Tabla1[Avance_km],Tabla1[Fecha],"&lt;="&amp;EV!$A241,Tabla1[nombre_actividad],EV!C$1),NA())</f>
        <v>134.08600000000004</v>
      </c>
      <c r="D241" s="110">
        <f ca="1">IF(TODAY()&gt;=$A241,SUMIFS(Tabla1[Avance_km],Tabla1[Fecha],"&lt;="&amp;EV!$A241,Tabla1[nombre_actividad],EV!D$1),NA())</f>
        <v>130.51999999999998</v>
      </c>
      <c r="E241" s="110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0"/>
      <c r="I241" s="224">
        <f ca="1">+C241*Catalogo!$F$19+EV!D241*Catalogo!$F$14+EV!E241*Catalogo!$F$16+EV!F241*Catalogo!$F$18</f>
        <v>5654281.7695300011</v>
      </c>
      <c r="J241" s="224">
        <f ca="1">IF(TODAY()&gt;=$A241,SUMIFS(Tabla1[EV],Tabla1[Fecha],"&lt;="&amp;A241,Tabla1[EV],"&gt;0"),NA())</f>
        <v>7341706.7895299988</v>
      </c>
      <c r="L241"/>
      <c r="M241" s="221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0">
        <f ca="1">IF(TODAY()&gt;=$A242,SUMIFS(Tabla1[Avance_km],Tabla1[Fecha],"&lt;="&amp;EV!$A242,Tabla1[nombre_actividad],EV!C$1),NA())</f>
        <v>134.08600000000004</v>
      </c>
      <c r="D242" s="110">
        <f ca="1">IF(TODAY()&gt;=$A242,SUMIFS(Tabla1[Avance_km],Tabla1[Fecha],"&lt;="&amp;EV!$A242,Tabla1[nombre_actividad],EV!D$1),NA())</f>
        <v>131.21199999999999</v>
      </c>
      <c r="E242" s="110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0"/>
      <c r="I242" s="224">
        <f ca="1">+C242*Catalogo!$F$19+EV!D242*Catalogo!$F$14+EV!E242*Catalogo!$F$16+EV!F242*Catalogo!$F$18</f>
        <v>5664330.5852500014</v>
      </c>
      <c r="J242" s="224">
        <f ca="1">IF(TODAY()&gt;=$A242,SUMIFS(Tabla1[EV],Tabla1[Fecha],"&lt;="&amp;A242,Tabla1[EV],"&gt;0"),NA())</f>
        <v>7351755.6052499991</v>
      </c>
      <c r="L242"/>
      <c r="M242" s="221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0">
        <f ca="1">IF(TODAY()&gt;=$A243,SUMIFS(Tabla1[Avance_km],Tabla1[Fecha],"&lt;="&amp;EV!$A243,Tabla1[nombre_actividad],EV!C$1),NA())</f>
        <v>134.18600000000004</v>
      </c>
      <c r="D243" s="110">
        <f ca="1">IF(TODAY()&gt;=$A243,SUMIFS(Tabla1[Avance_km],Tabla1[Fecha],"&lt;="&amp;EV!$A243,Tabla1[nombre_actividad],EV!D$1),NA())</f>
        <v>131.48699999999999</v>
      </c>
      <c r="E243" s="110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0"/>
      <c r="I243" s="224">
        <f ca="1">+C243*Catalogo!$F$19+EV!D243*Catalogo!$F$14+EV!E243*Catalogo!$F$16+EV!F243*Catalogo!$F$18</f>
        <v>5668549.7150000017</v>
      </c>
      <c r="J243" s="224">
        <f ca="1">IF(TODAY()&gt;=$A243,SUMIFS(Tabla1[EV],Tabla1[Fecha],"&lt;="&amp;A243,Tabla1[EV],"&gt;0"),NA())</f>
        <v>7355974.7349999985</v>
      </c>
      <c r="L243"/>
      <c r="M243" s="221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0">
        <f ca="1">IF(TODAY()&gt;=$A244,SUMIFS(Tabla1[Avance_km],Tabla1[Fecha],"&lt;="&amp;EV!$A244,Tabla1[nombre_actividad],EV!C$1),NA())</f>
        <v>134.18600000000004</v>
      </c>
      <c r="D244" s="110">
        <f ca="1">IF(TODAY()&gt;=$A244,SUMIFS(Tabla1[Avance_km],Tabla1[Fecha],"&lt;="&amp;EV!$A244,Tabla1[nombre_actividad],EV!D$1),NA())</f>
        <v>132.34699999999998</v>
      </c>
      <c r="E244" s="110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0"/>
      <c r="I244" s="224">
        <f ca="1">+C244*Catalogo!$F$19+EV!D244*Catalogo!$F$14+EV!E244*Catalogo!$F$16+EV!F244*Catalogo!$F$18</f>
        <v>5681038.1276000012</v>
      </c>
      <c r="J244" s="224">
        <f ca="1">IF(TODAY()&gt;=$A244,SUMIFS(Tabla1[EV],Tabla1[Fecha],"&lt;="&amp;A244,Tabla1[EV],"&gt;0"),NA())</f>
        <v>7368463.1475999989</v>
      </c>
      <c r="L244"/>
      <c r="M244" s="221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0">
        <f ca="1">IF(TODAY()&gt;=$A245,SUMIFS(Tabla1[Avance_km],Tabla1[Fecha],"&lt;="&amp;EV!$A245,Tabla1[nombre_actividad],EV!C$1),NA())</f>
        <v>135.52600000000004</v>
      </c>
      <c r="D245" s="110">
        <f ca="1">IF(TODAY()&gt;=$A245,SUMIFS(Tabla1[Avance_km],Tabla1[Fecha],"&lt;="&amp;EV!$A245,Tabla1[nombre_actividad],EV!D$1),NA())</f>
        <v>132.34699999999998</v>
      </c>
      <c r="E245" s="110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0"/>
      <c r="I245" s="224">
        <f ca="1">+C245*Catalogo!$F$19+EV!D245*Catalogo!$F$14+EV!E245*Catalogo!$F$16+EV!F245*Catalogo!$F$18</f>
        <v>5684063.0704000015</v>
      </c>
      <c r="J245" s="224">
        <f ca="1">IF(TODAY()&gt;=$A245,SUMIFS(Tabla1[EV],Tabla1[Fecha],"&lt;="&amp;A245,Tabla1[EV],"&gt;0"),NA())</f>
        <v>7371488.0903999982</v>
      </c>
      <c r="L245"/>
      <c r="M245" s="221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0">
        <f ca="1">IF(TODAY()&gt;=$A246,SUMIFS(Tabla1[Avance_km],Tabla1[Fecha],"&lt;="&amp;EV!$A246,Tabla1[nombre_actividad],EV!C$1),NA())</f>
        <v>138.22900000000001</v>
      </c>
      <c r="D246" s="110">
        <f ca="1">IF(TODAY()&gt;=$A246,SUMIFS(Tabla1[Avance_km],Tabla1[Fecha],"&lt;="&amp;EV!$A246,Tabla1[nombre_actividad],EV!D$1),NA())</f>
        <v>132.34699999999998</v>
      </c>
      <c r="E246" s="110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0"/>
      <c r="I246" s="224">
        <f ca="1">+C246*Catalogo!$F$19+EV!D246*Catalogo!$F$14+EV!E246*Catalogo!$F$16+EV!F246*Catalogo!$F$18</f>
        <v>5690164.8766600015</v>
      </c>
      <c r="J246" s="224">
        <f ca="1">IF(TODAY()&gt;=$A246,SUMIFS(Tabla1[EV],Tabla1[Fecha],"&lt;="&amp;A246,Tabla1[EV],"&gt;0"),NA())</f>
        <v>7377589.8966599982</v>
      </c>
      <c r="L246"/>
      <c r="M246" s="221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0">
        <f ca="1">IF(TODAY()&gt;=$A247,SUMIFS(Tabla1[Avance_km],Tabla1[Fecha],"&lt;="&amp;EV!$A247,Tabla1[nombre_actividad],EV!C$1),NA())</f>
        <v>139.69900000000001</v>
      </c>
      <c r="D247" s="110">
        <f ca="1">IF(TODAY()&gt;=$A247,SUMIFS(Tabla1[Avance_km],Tabla1[Fecha],"&lt;="&amp;EV!$A247,Tabla1[nombre_actividad],EV!D$1),NA())</f>
        <v>132.34699999999998</v>
      </c>
      <c r="E247" s="110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0"/>
      <c r="I247" s="224">
        <f ca="1">+C247*Catalogo!$F$19+EV!D247*Catalogo!$F$14+EV!E247*Catalogo!$F$16+EV!F247*Catalogo!$F$18</f>
        <v>5693483.2840600014</v>
      </c>
      <c r="J247" s="224">
        <f ca="1">IF(TODAY()&gt;=$A247,SUMIFS(Tabla1[EV],Tabla1[Fecha],"&lt;="&amp;A247,Tabla1[EV],"&gt;0"),NA())</f>
        <v>7380908.3040599981</v>
      </c>
      <c r="L247"/>
      <c r="M247" s="221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0">
        <f ca="1">IF(TODAY()&gt;=$A248,SUMIFS(Tabla1[Avance_km],Tabla1[Fecha],"&lt;="&amp;EV!$A248,Tabla1[nombre_actividad],EV!C$1),NA())</f>
        <v>139.69900000000001</v>
      </c>
      <c r="D248" s="110">
        <f ca="1">IF(TODAY()&gt;=$A248,SUMIFS(Tabla1[Avance_km],Tabla1[Fecha],"&lt;="&amp;EV!$A248,Tabla1[nombre_actividad],EV!D$1),NA())</f>
        <v>132.34699999999998</v>
      </c>
      <c r="E248" s="110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0"/>
      <c r="I248" s="224">
        <f ca="1">+C248*Catalogo!$F$19+EV!D248*Catalogo!$F$14+EV!E248*Catalogo!$F$16+EV!F248*Catalogo!$F$18</f>
        <v>5693483.2840600014</v>
      </c>
      <c r="J248" s="224">
        <f ca="1">IF(TODAY()&gt;=$A248,SUMIFS(Tabla1[EV],Tabla1[Fecha],"&lt;="&amp;A248,Tabla1[EV],"&gt;0"),NA())</f>
        <v>7380908.3040599981</v>
      </c>
      <c r="L248"/>
      <c r="M248" s="221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0">
        <f ca="1">IF(TODAY()&gt;=$A249,SUMIFS(Tabla1[Avance_km],Tabla1[Fecha],"&lt;="&amp;EV!$A249,Tabla1[nombre_actividad],EV!C$1),NA())</f>
        <v>145.57100000000003</v>
      </c>
      <c r="D249" s="110">
        <f ca="1">IF(TODAY()&gt;=$A249,SUMIFS(Tabla1[Avance_km],Tabla1[Fecha],"&lt;="&amp;EV!$A249,Tabla1[nombre_actividad],EV!D$1),NA())</f>
        <v>132.34699999999998</v>
      </c>
      <c r="E249" s="110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0"/>
      <c r="I249" s="224">
        <f ca="1">+C249*Catalogo!$F$19+EV!D249*Catalogo!$F$14+EV!E249*Catalogo!$F$16+EV!F249*Catalogo!$F$18</f>
        <v>5706738.8543000007</v>
      </c>
      <c r="J249" s="224">
        <f ca="1">IF(TODAY()&gt;=$A249,SUMIFS(Tabla1[EV],Tabla1[Fecha],"&lt;="&amp;A249,Tabla1[EV],"&gt;0"),NA())</f>
        <v>7394163.8742999984</v>
      </c>
      <c r="L249"/>
      <c r="M249" s="221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0">
        <f ca="1">IF(TODAY()&gt;=$A250,SUMIFS(Tabla1[Avance_km],Tabla1[Fecha],"&lt;="&amp;EV!$A250,Tabla1[nombre_actividad],EV!C$1),NA())</f>
        <v>145.57100000000003</v>
      </c>
      <c r="D250" s="110">
        <f ca="1">IF(TODAY()&gt;=$A250,SUMIFS(Tabla1[Avance_km],Tabla1[Fecha],"&lt;="&amp;EV!$A250,Tabla1[nombre_actividad],EV!D$1),NA())</f>
        <v>133.67099999999999</v>
      </c>
      <c r="E250" s="110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0"/>
      <c r="I250" s="224">
        <f ca="1">+C250*Catalogo!$F$19+EV!D250*Catalogo!$F$14+EV!E250*Catalogo!$F$16+EV!F250*Catalogo!$F$18</f>
        <v>5725965.2011400014</v>
      </c>
      <c r="J250" s="224">
        <f ca="1">IF(TODAY()&gt;=$A250,SUMIFS(Tabla1[EV],Tabla1[Fecha],"&lt;="&amp;A250,Tabla1[EV],"&gt;0"),NA())</f>
        <v>7413390.2211399982</v>
      </c>
      <c r="L250"/>
      <c r="M250" s="221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0">
        <f ca="1">IF(TODAY()&gt;=$A251,SUMIFS(Tabla1[Avance_km],Tabla1[Fecha],"&lt;="&amp;EV!$A251,Tabla1[nombre_actividad],EV!C$1),NA())</f>
        <v>145.57100000000003</v>
      </c>
      <c r="D251" s="110">
        <f ca="1">IF(TODAY()&gt;=$A251,SUMIFS(Tabla1[Avance_km],Tabla1[Fecha],"&lt;="&amp;EV!$A251,Tabla1[nombre_actividad],EV!D$1),NA())</f>
        <v>133.71399999999997</v>
      </c>
      <c r="E251" s="110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0"/>
      <c r="I251" s="224">
        <f ca="1">+C251*Catalogo!$F$19+EV!D251*Catalogo!$F$14+EV!E251*Catalogo!$F$16+EV!F251*Catalogo!$F$18</f>
        <v>5726589.621770001</v>
      </c>
      <c r="J251" s="224">
        <f ca="1">IF(TODAY()&gt;=$A251,SUMIFS(Tabla1[EV],Tabla1[Fecha],"&lt;="&amp;A251,Tabla1[EV],"&gt;0"),NA())</f>
        <v>7414014.6417699978</v>
      </c>
      <c r="L251"/>
      <c r="M251" s="221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0">
        <f ca="1">IF(TODAY()&gt;=$A252,SUMIFS(Tabla1[Avance_km],Tabla1[Fecha],"&lt;="&amp;EV!$A252,Tabla1[nombre_actividad],EV!C$1),NA())</f>
        <v>145.57100000000003</v>
      </c>
      <c r="D252" s="110">
        <f ca="1">IF(TODAY()&gt;=$A252,SUMIFS(Tabla1[Avance_km],Tabla1[Fecha],"&lt;="&amp;EV!$A252,Tabla1[nombre_actividad],EV!D$1),NA())</f>
        <v>135.43499999999995</v>
      </c>
      <c r="E252" s="110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0"/>
      <c r="I252" s="224">
        <f ca="1">+C252*Catalogo!$F$19+EV!D252*Catalogo!$F$14+EV!E252*Catalogo!$F$16+EV!F252*Catalogo!$F$18</f>
        <v>5751580.9683800004</v>
      </c>
      <c r="J252" s="224">
        <f ca="1">IF(TODAY()&gt;=$A252,SUMIFS(Tabla1[EV],Tabla1[Fecha],"&lt;="&amp;A252,Tabla1[EV],"&gt;0"),NA())</f>
        <v>7439005.9883799981</v>
      </c>
      <c r="L252"/>
      <c r="M252" s="221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0">
        <f ca="1">IF(TODAY()&gt;=$A253,SUMIFS(Tabla1[Avance_km],Tabla1[Fecha],"&lt;="&amp;EV!$A253,Tabla1[nombre_actividad],EV!C$1),NA())</f>
        <v>145.57100000000003</v>
      </c>
      <c r="D253" s="110">
        <f ca="1">IF(TODAY()&gt;=$A253,SUMIFS(Tabla1[Avance_km],Tabla1[Fecha],"&lt;="&amp;EV!$A253,Tabla1[nombre_actividad],EV!D$1),NA())</f>
        <v>137.78499999999994</v>
      </c>
      <c r="E253" s="110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0"/>
      <c r="I253" s="224">
        <f ca="1">+C253*Catalogo!$F$19+EV!D253*Catalogo!$F$14+EV!E253*Catalogo!$F$16+EV!F253*Catalogo!$F$18</f>
        <v>5785706.2818800006</v>
      </c>
      <c r="J253" s="224">
        <f ca="1">IF(TODAY()&gt;=$A253,SUMIFS(Tabla1[EV],Tabla1[Fecha],"&lt;="&amp;A253,Tabla1[EV],"&gt;0"),NA())</f>
        <v>7473131.3018799983</v>
      </c>
      <c r="L253"/>
      <c r="M253" s="221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0">
        <f ca="1">IF(TODAY()&gt;=$A254,SUMIFS(Tabla1[Avance_km],Tabla1[Fecha],"&lt;="&amp;EV!$A254,Tabla1[nombre_actividad],EV!C$1),NA())</f>
        <v>145.57100000000003</v>
      </c>
      <c r="D254" s="110">
        <f ca="1">IF(TODAY()&gt;=$A254,SUMIFS(Tabla1[Avance_km],Tabla1[Fecha],"&lt;="&amp;EV!$A254,Tabla1[nombre_actividad],EV!D$1),NA())</f>
        <v>138.50499999999994</v>
      </c>
      <c r="E254" s="110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0"/>
      <c r="I254" s="224">
        <f ca="1">+C254*Catalogo!$F$19+EV!D254*Catalogo!$F$14+EV!E254*Catalogo!$F$16+EV!F254*Catalogo!$F$18</f>
        <v>5796161.6970800003</v>
      </c>
      <c r="J254" s="224">
        <f ca="1">IF(TODAY()&gt;=$A254,SUMIFS(Tabla1[EV],Tabla1[Fecha],"&lt;="&amp;A254,Tabla1[EV],"&gt;0"),NA())</f>
        <v>7483586.717079998</v>
      </c>
      <c r="L254"/>
      <c r="M254" s="221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0">
        <f ca="1">IF(TODAY()&gt;=$A255,SUMIFS(Tabla1[Avance_km],Tabla1[Fecha],"&lt;="&amp;EV!$A255,Tabla1[nombre_actividad],EV!C$1),NA())</f>
        <v>145.57100000000003</v>
      </c>
      <c r="D255" s="110">
        <f ca="1">IF(TODAY()&gt;=$A255,SUMIFS(Tabla1[Avance_km],Tabla1[Fecha],"&lt;="&amp;EV!$A255,Tabla1[nombre_actividad],EV!D$1),NA())</f>
        <v>140.20499999999993</v>
      </c>
      <c r="E255" s="110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0"/>
      <c r="I255" s="224">
        <f ca="1">+C255*Catalogo!$F$19+EV!D255*Catalogo!$F$14+EV!E255*Catalogo!$F$16+EV!F255*Catalogo!$F$18</f>
        <v>5820848.0940800002</v>
      </c>
      <c r="J255" s="224">
        <f ca="1">IF(TODAY()&gt;=$A255,SUMIFS(Tabla1[EV],Tabla1[Fecha],"&lt;="&amp;A255,Tabla1[EV],"&gt;0"),NA())</f>
        <v>7508273.1140799979</v>
      </c>
      <c r="L255"/>
      <c r="M255" s="221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0">
        <f ca="1">IF(TODAY()&gt;=$A256,SUMIFS(Tabla1[Avance_km],Tabla1[Fecha],"&lt;="&amp;EV!$A256,Tabla1[nombre_actividad],EV!C$1),NA())</f>
        <v>145.57100000000003</v>
      </c>
      <c r="D256" s="110">
        <f ca="1">IF(TODAY()&gt;=$A256,SUMIFS(Tabla1[Avance_km],Tabla1[Fecha],"&lt;="&amp;EV!$A256,Tabla1[nombre_actividad],EV!D$1),NA())</f>
        <v>140.70499999999993</v>
      </c>
      <c r="E256" s="110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0"/>
      <c r="I256" s="224">
        <f ca="1">+C256*Catalogo!$F$19+EV!D256*Catalogo!$F$14+EV!E256*Catalogo!$F$16+EV!F256*Catalogo!$F$18</f>
        <v>5828108.7990800003</v>
      </c>
      <c r="J256" s="224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0">
        <f ca="1">IF(TODAY()&gt;=$A257,SUMIFS(Tabla1[Avance_km],Tabla1[Fecha],"&lt;="&amp;EV!$A257,Tabla1[nombre_actividad],EV!C$1),NA())</f>
        <v>145.57100000000003</v>
      </c>
      <c r="D257" s="110">
        <f ca="1">IF(TODAY()&gt;=$A257,SUMIFS(Tabla1[Avance_km],Tabla1[Fecha],"&lt;="&amp;EV!$A257,Tabla1[nombre_actividad],EV!D$1),NA())</f>
        <v>141.80499999999992</v>
      </c>
      <c r="E257" s="110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0"/>
      <c r="I257" s="224">
        <f ca="1">+C257*Catalogo!$F$19+EV!D257*Catalogo!$F$14+EV!E257*Catalogo!$F$16+EV!F257*Catalogo!$F$18</f>
        <v>5844082.3500800002</v>
      </c>
      <c r="J257" s="224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0">
        <f ca="1">IF(TODAY()&gt;=$A258,SUMIFS(Tabla1[Avance_km],Tabla1[Fecha],"&lt;="&amp;EV!$A258,Tabla1[nombre_actividad],EV!C$1),NA())</f>
        <v>145.57100000000003</v>
      </c>
      <c r="D258" s="110">
        <f ca="1">IF(TODAY()&gt;=$A258,SUMIFS(Tabla1[Avance_km],Tabla1[Fecha],"&lt;="&amp;EV!$A258,Tabla1[nombre_actividad],EV!D$1),NA())</f>
        <v>142.50499999999991</v>
      </c>
      <c r="E258" s="110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0"/>
      <c r="I258" s="224">
        <f ca="1">+C258*Catalogo!$F$19+EV!D258*Catalogo!$F$14+EV!E258*Catalogo!$F$16+EV!F258*Catalogo!$F$18</f>
        <v>5854247.33708</v>
      </c>
      <c r="J258" s="224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0">
        <f ca="1">IF(TODAY()&gt;=$A259,SUMIFS(Tabla1[Avance_km],Tabla1[Fecha],"&lt;="&amp;EV!$A259,Tabla1[nombre_actividad],EV!C$1),NA())</f>
        <v>145.70400000000001</v>
      </c>
      <c r="D259" s="110">
        <f ca="1">IF(TODAY()&gt;=$A259,SUMIFS(Tabla1[Avance_km],Tabla1[Fecha],"&lt;="&amp;EV!$A259,Tabla1[nombre_actividad],EV!D$1),NA())</f>
        <v>142.63799999999989</v>
      </c>
      <c r="E259" s="110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0"/>
      <c r="I259" s="224">
        <f ca="1">+C259*Catalogo!$F$19+EV!D259*Catalogo!$F$14+EV!E259*Catalogo!$F$16+EV!F259*Catalogo!$F$18</f>
        <v>5856478.9214699995</v>
      </c>
      <c r="J259" s="224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0">
        <f ca="1">IF(TODAY()&gt;=$A260,SUMIFS(Tabla1[Avance_km],Tabla1[Fecha],"&lt;="&amp;EV!$A260,Tabla1[nombre_actividad],EV!C$1),NA())</f>
        <v>145.94399999999999</v>
      </c>
      <c r="D260" s="110">
        <f ca="1">IF(TODAY()&gt;=$A260,SUMIFS(Tabla1[Avance_km],Tabla1[Fecha],"&lt;="&amp;EV!$A260,Tabla1[nombre_actividad],EV!D$1),NA())</f>
        <v>142.87799999999987</v>
      </c>
      <c r="E260" s="110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0"/>
      <c r="I260" s="224">
        <f ca="1">+C260*Catalogo!$F$19+EV!D260*Catalogo!$F$14+EV!E260*Catalogo!$F$16+EV!F260*Catalogo!$F$18</f>
        <v>5860505.8406699998</v>
      </c>
      <c r="J260" s="224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0">
        <f ca="1">IF(TODAY()&gt;=$A261,SUMIFS(Tabla1[Avance_km],Tabla1[Fecha],"&lt;="&amp;EV!$A261,Tabla1[nombre_actividad],EV!C$1),NA())</f>
        <v>145.94399999999999</v>
      </c>
      <c r="D261" s="110">
        <f ca="1">IF(TODAY()&gt;=$A261,SUMIFS(Tabla1[Avance_km],Tabla1[Fecha],"&lt;="&amp;EV!$A261,Tabla1[nombre_actividad],EV!D$1),NA())</f>
        <v>142.97799999999987</v>
      </c>
      <c r="E261" s="110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0"/>
      <c r="I261" s="224">
        <f ca="1">+C261*Catalogo!$F$19+EV!D261*Catalogo!$F$14+EV!E261*Catalogo!$F$16+EV!F261*Catalogo!$F$18</f>
        <v>5861957.9816699997</v>
      </c>
      <c r="J261" s="224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0">
        <f ca="1">IF(TODAY()&gt;=$A262,SUMIFS(Tabla1[Avance_km],Tabla1[Fecha],"&lt;="&amp;EV!$A262,Tabla1[nombre_actividad],EV!C$1),NA())</f>
        <v>145.94399999999999</v>
      </c>
      <c r="D262" s="110">
        <f ca="1">IF(TODAY()&gt;=$A262,SUMIFS(Tabla1[Avance_km],Tabla1[Fecha],"&lt;="&amp;EV!$A262,Tabla1[nombre_actividad],EV!D$1),NA())</f>
        <v>142.97799999999987</v>
      </c>
      <c r="E262" s="110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0"/>
      <c r="I262" s="224">
        <f ca="1">+C262*Catalogo!$F$19+EV!D262*Catalogo!$F$14+EV!E262*Catalogo!$F$16+EV!F262*Catalogo!$F$18</f>
        <v>5861957.9816699997</v>
      </c>
      <c r="J262" s="224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0">
        <f ca="1">IF(TODAY()&gt;=$A263,SUMIFS(Tabla1[Avance_km],Tabla1[Fecha],"&lt;="&amp;EV!$A263,Tabla1[nombre_actividad],EV!C$1),NA())</f>
        <v>148.02099999999999</v>
      </c>
      <c r="D263" s="110">
        <f ca="1">IF(TODAY()&gt;=$A263,SUMIFS(Tabla1[Avance_km],Tabla1[Fecha],"&lt;="&amp;EV!$A263,Tabla1[nombre_actividad],EV!D$1),NA())</f>
        <v>142.97799999999987</v>
      </c>
      <c r="E263" s="110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0"/>
      <c r="I263" s="224">
        <f ca="1">+C263*Catalogo!$F$19+EV!D263*Catalogo!$F$14+EV!E263*Catalogo!$F$16+EV!F263*Catalogo!$F$18</f>
        <v>5866646.6430099998</v>
      </c>
      <c r="J263" s="224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0">
        <f ca="1">IF(TODAY()&gt;=$A264,SUMIFS(Tabla1[Avance_km],Tabla1[Fecha],"&lt;="&amp;EV!$A264,Tabla1[nombre_actividad],EV!C$1),NA())</f>
        <v>148.02099999999999</v>
      </c>
      <c r="D264" s="110">
        <f ca="1">IF(TODAY()&gt;=$A264,SUMIFS(Tabla1[Avance_km],Tabla1[Fecha],"&lt;="&amp;EV!$A264,Tabla1[nombre_actividad],EV!D$1),NA())</f>
        <v>142.97799999999987</v>
      </c>
      <c r="E264" s="110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0"/>
      <c r="I264" s="224">
        <f ca="1">+C264*Catalogo!$F$19+EV!D264*Catalogo!$F$14+EV!E264*Catalogo!$F$16+EV!F264*Catalogo!$F$18</f>
        <v>5866646.6430099998</v>
      </c>
      <c r="J264" s="224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0">
        <f ca="1">IF(TODAY()&gt;=$A265,SUMIFS(Tabla1[Avance_km],Tabla1[Fecha],"&lt;="&amp;EV!$A265,Tabla1[nombre_actividad],EV!C$1),NA())</f>
        <v>148.02099999999999</v>
      </c>
      <c r="D265" s="110">
        <f ca="1">IF(TODAY()&gt;=$A265,SUMIFS(Tabla1[Avance_km],Tabla1[Fecha],"&lt;="&amp;EV!$A265,Tabla1[nombre_actividad],EV!D$1),NA())</f>
        <v>142.97799999999987</v>
      </c>
      <c r="E265" s="110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0"/>
      <c r="I265" s="224">
        <f ca="1">+C265*Catalogo!$F$19+EV!D265*Catalogo!$F$14+EV!E265*Catalogo!$F$16+EV!F265*Catalogo!$F$18</f>
        <v>5873505.7917899992</v>
      </c>
      <c r="J265" s="224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0">
        <f ca="1">IF(TODAY()&gt;=$A266,SUMIFS(Tabla1[Avance_km],Tabla1[Fecha],"&lt;="&amp;EV!$A266,Tabla1[nombre_actividad],EV!C$1),NA())</f>
        <v>148.02099999999999</v>
      </c>
      <c r="D266" s="110">
        <f ca="1">IF(TODAY()&gt;=$A266,SUMIFS(Tabla1[Avance_km],Tabla1[Fecha],"&lt;="&amp;EV!$A266,Tabla1[nombre_actividad],EV!D$1),NA())</f>
        <v>142.97799999999987</v>
      </c>
      <c r="E266" s="110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0"/>
      <c r="I266" s="224">
        <f ca="1">+C266*Catalogo!$F$19+EV!D266*Catalogo!$F$14+EV!E266*Catalogo!$F$16+EV!F266*Catalogo!$F$18</f>
        <v>5874739.3541199993</v>
      </c>
      <c r="J266" s="224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0">
        <f ca="1">IF(TODAY()&gt;=$A267,SUMIFS(Tabla1[Avance_km],Tabla1[Fecha],"&lt;="&amp;EV!$A267,Tabla1[nombre_actividad],EV!C$1),NA())</f>
        <v>148.02099999999999</v>
      </c>
      <c r="D267" s="110">
        <f ca="1">IF(TODAY()&gt;=$A267,SUMIFS(Tabla1[Avance_km],Tabla1[Fecha],"&lt;="&amp;EV!$A267,Tabla1[nombre_actividad],EV!D$1),NA())</f>
        <v>142.97799999999987</v>
      </c>
      <c r="E267" s="110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0"/>
      <c r="I267" s="224">
        <f ca="1">+C267*Catalogo!$F$19+EV!D267*Catalogo!$F$14+EV!E267*Catalogo!$F$16+EV!F267*Catalogo!$F$18</f>
        <v>5897309.4780699993</v>
      </c>
      <c r="J267" s="224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0">
        <f ca="1">IF(TODAY()&gt;=$A268,SUMIFS(Tabla1[Avance_km],Tabla1[Fecha],"&lt;="&amp;EV!$A268,Tabla1[nombre_actividad],EV!C$1),NA())</f>
        <v>148.02099999999999</v>
      </c>
      <c r="D268" s="110">
        <f ca="1">IF(TODAY()&gt;=$A268,SUMIFS(Tabla1[Avance_km],Tabla1[Fecha],"&lt;="&amp;EV!$A268,Tabla1[nombre_actividad],EV!D$1),NA())</f>
        <v>145.05499999999986</v>
      </c>
      <c r="E268" s="110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0"/>
      <c r="I268" s="224">
        <f ca="1">+C268*Catalogo!$F$19+EV!D268*Catalogo!$F$14+EV!E268*Catalogo!$F$16+EV!F268*Catalogo!$F$18</f>
        <v>5927470.4466399997</v>
      </c>
      <c r="J268" s="224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0">
        <f ca="1">IF(TODAY()&gt;=$A269,SUMIFS(Tabla1[Avance_km],Tabla1[Fecha],"&lt;="&amp;EV!$A269,Tabla1[nombre_actividad],EV!C$1),NA())</f>
        <v>148.02099999999999</v>
      </c>
      <c r="D269" s="110">
        <f ca="1">IF(TODAY()&gt;=$A269,SUMIFS(Tabla1[Avance_km],Tabla1[Fecha],"&lt;="&amp;EV!$A269,Tabla1[nombre_actividad],EV!D$1),NA())</f>
        <v>145.05499999999986</v>
      </c>
      <c r="E269" s="110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0"/>
      <c r="I269" s="224">
        <f ca="1">+C269*Catalogo!$F$19+EV!D269*Catalogo!$F$14+EV!E269*Catalogo!$F$16+EV!F269*Catalogo!$F$18</f>
        <v>5927470.4466399997</v>
      </c>
      <c r="J269" s="224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0">
        <f ca="1">IF(TODAY()&gt;=$A270,SUMIFS(Tabla1[Avance_km],Tabla1[Fecha],"&lt;="&amp;EV!$A270,Tabla1[nombre_actividad],EV!C$1),NA())</f>
        <v>148.02099999999999</v>
      </c>
      <c r="D270" s="110">
        <f ca="1">IF(TODAY()&gt;=$A270,SUMIFS(Tabla1[Avance_km],Tabla1[Fecha],"&lt;="&amp;EV!$A270,Tabla1[nombre_actividad],EV!D$1),NA())</f>
        <v>145.05499999999986</v>
      </c>
      <c r="E270" s="110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0"/>
      <c r="I270" s="224">
        <f ca="1">+C270*Catalogo!$F$19+EV!D270*Catalogo!$F$14+EV!E270*Catalogo!$F$16+EV!F270*Catalogo!$F$18</f>
        <v>5958675.5068999995</v>
      </c>
      <c r="J270" s="224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0">
        <f ca="1">IF(TODAY()&gt;=$A271,SUMIFS(Tabla1[Avance_km],Tabla1[Fecha],"&lt;="&amp;EV!$A271,Tabla1[nombre_actividad],EV!C$1),NA())</f>
        <v>148.02099999999999</v>
      </c>
      <c r="D271" s="110">
        <f ca="1">IF(TODAY()&gt;=$A271,SUMIFS(Tabla1[Avance_km],Tabla1[Fecha],"&lt;="&amp;EV!$A271,Tabla1[nombre_actividad],EV!D$1),NA())</f>
        <v>145.05499999999986</v>
      </c>
      <c r="E271" s="110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0"/>
      <c r="I271" s="224">
        <f ca="1">+C271*Catalogo!$F$19+EV!D271*Catalogo!$F$14+EV!E271*Catalogo!$F$16+EV!F271*Catalogo!$F$18</f>
        <v>5978141.3915799996</v>
      </c>
      <c r="J271" s="224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0">
        <f ca="1">IF(TODAY()&gt;=$A272,SUMIFS(Tabla1[Avance_km],Tabla1[Fecha],"&lt;="&amp;EV!$A272,Tabla1[nombre_actividad],EV!C$1),NA())</f>
        <v>148.02099999999999</v>
      </c>
      <c r="D272" s="110">
        <f ca="1">IF(TODAY()&gt;=$A272,SUMIFS(Tabla1[Avance_km],Tabla1[Fecha],"&lt;="&amp;EV!$A272,Tabla1[nombre_actividad],EV!D$1),NA())</f>
        <v>145.05499999999986</v>
      </c>
      <c r="E272" s="110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0"/>
      <c r="I272" s="224">
        <f ca="1">+C272*Catalogo!$F$19+EV!D272*Catalogo!$F$14+EV!E272*Catalogo!$F$16+EV!F272*Catalogo!$F$18</f>
        <v>5986952.5510799997</v>
      </c>
      <c r="J272" s="224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0">
        <f ca="1">IF(TODAY()&gt;=$A273,SUMIFS(Tabla1[Avance_km],Tabla1[Fecha],"&lt;="&amp;EV!$A273,Tabla1[nombre_actividad],EV!C$1),NA())</f>
        <v>148.02099999999999</v>
      </c>
      <c r="D273" s="110">
        <f ca="1">IF(TODAY()&gt;=$A273,SUMIFS(Tabla1[Avance_km],Tabla1[Fecha],"&lt;="&amp;EV!$A273,Tabla1[nombre_actividad],EV!D$1),NA())</f>
        <v>145.05499999999986</v>
      </c>
      <c r="E273" s="110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0"/>
      <c r="I273" s="224">
        <f ca="1">+C273*Catalogo!$F$19+EV!D273*Catalogo!$F$14+EV!E273*Catalogo!$F$16+EV!F273*Catalogo!$F$18</f>
        <v>6010268.2346799988</v>
      </c>
      <c r="J273" s="224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0">
        <f ca="1">IF(TODAY()&gt;=$A274,SUMIFS(Tabla1[Avance_km],Tabla1[Fecha],"&lt;="&amp;EV!$A274,Tabla1[nombre_actividad],EV!C$1),NA())</f>
        <v>148.02099999999999</v>
      </c>
      <c r="D274" s="110">
        <f ca="1">IF(TODAY()&gt;=$A274,SUMIFS(Tabla1[Avance_km],Tabla1[Fecha],"&lt;="&amp;EV!$A274,Tabla1[nombre_actividad],EV!D$1),NA())</f>
        <v>145.05499999999986</v>
      </c>
      <c r="E274" s="110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0"/>
      <c r="I274" s="224">
        <f ca="1">+C274*Catalogo!$F$19+EV!D274*Catalogo!$F$14+EV!E274*Catalogo!$F$16+EV!F274*Catalogo!$F$18</f>
        <v>6039656.8405199992</v>
      </c>
      <c r="J274" s="224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0">
        <f ca="1">IF(TODAY()&gt;=$A275,SUMIFS(Tabla1[Avance_km],Tabla1[Fecha],"&lt;="&amp;EV!$A275,Tabla1[nombre_actividad],EV!C$1),NA())</f>
        <v>148.02099999999999</v>
      </c>
      <c r="D275" s="110">
        <f ca="1">IF(TODAY()&gt;=$A275,SUMIFS(Tabla1[Avance_km],Tabla1[Fecha],"&lt;="&amp;EV!$A275,Tabla1[nombre_actividad],EV!D$1),NA())</f>
        <v>145.05499999999986</v>
      </c>
      <c r="E275" s="110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0"/>
      <c r="I275" s="224">
        <f ca="1">+C275*Catalogo!$F$19+EV!D275*Catalogo!$F$14+EV!E275*Catalogo!$F$16+EV!F275*Catalogo!$F$18</f>
        <v>6054296.9209199995</v>
      </c>
      <c r="J275" s="224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0">
        <f ca="1">IF(TODAY()&gt;=$A276,SUMIFS(Tabla1[Avance_km],Tabla1[Fecha],"&lt;="&amp;EV!$A276,Tabla1[nombre_actividad],EV!C$1),NA())</f>
        <v>148.02099999999999</v>
      </c>
      <c r="D276" s="110">
        <f ca="1">IF(TODAY()&gt;=$A276,SUMIFS(Tabla1[Avance_km],Tabla1[Fecha],"&lt;="&amp;EV!$A276,Tabla1[nombre_actividad],EV!D$1),NA())</f>
        <v>145.05499999999986</v>
      </c>
      <c r="E276" s="110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0"/>
      <c r="I276" s="224">
        <f ca="1">+C276*Catalogo!$F$19+EV!D276*Catalogo!$F$14+EV!E276*Catalogo!$F$16+EV!F276*Catalogo!$F$18</f>
        <v>6054296.9209199995</v>
      </c>
      <c r="J276" s="224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0">
        <f ca="1">IF(TODAY()&gt;=$A277,SUMIFS(Tabla1[Avance_km],Tabla1[Fecha],"&lt;="&amp;EV!$A277,Tabla1[nombre_actividad],EV!C$1),NA())</f>
        <v>148.02099999999999</v>
      </c>
      <c r="D277" s="110">
        <f ca="1">IF(TODAY()&gt;=$A277,SUMIFS(Tabla1[Avance_km],Tabla1[Fecha],"&lt;="&amp;EV!$A277,Tabla1[nombre_actividad],EV!D$1),NA())</f>
        <v>145.05499999999986</v>
      </c>
      <c r="E277" s="110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0"/>
      <c r="I277" s="224">
        <f ca="1">+C277*Catalogo!$F$19+EV!D277*Catalogo!$F$14+EV!E277*Catalogo!$F$16+EV!F277*Catalogo!$F$18</f>
        <v>6070563.6769199995</v>
      </c>
      <c r="J277" s="224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0">
        <f ca="1">IF(TODAY()&gt;=$A278,SUMIFS(Tabla1[Avance_km],Tabla1[Fecha],"&lt;="&amp;EV!$A278,Tabla1[nombre_actividad],EV!C$1),NA())</f>
        <v>148.02099999999999</v>
      </c>
      <c r="D278" s="110">
        <f ca="1">IF(TODAY()&gt;=$A278,SUMIFS(Tabla1[Avance_km],Tabla1[Fecha],"&lt;="&amp;EV!$A278,Tabla1[nombre_actividad],EV!D$1),NA())</f>
        <v>145.05499999999986</v>
      </c>
      <c r="E278" s="110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0"/>
      <c r="I278" s="224">
        <f ca="1">+C278*Catalogo!$F$19+EV!D278*Catalogo!$F$14+EV!E278*Catalogo!$F$16+EV!F278*Catalogo!$F$18</f>
        <v>6073532.359889999</v>
      </c>
      <c r="J278" s="224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0">
        <f ca="1">IF(TODAY()&gt;=$A279,SUMIFS(Tabla1[Avance_km],Tabla1[Fecha],"&lt;="&amp;EV!$A279,Tabla1[nombre_actividad],EV!C$1),NA())</f>
        <v>148.03599999999997</v>
      </c>
      <c r="D279" s="110">
        <f ca="1">IF(TODAY()&gt;=$A279,SUMIFS(Tabla1[Avance_km],Tabla1[Fecha],"&lt;="&amp;EV!$A279,Tabla1[nombre_actividad],EV!D$1),NA())</f>
        <v>145.06999999999985</v>
      </c>
      <c r="E279" s="110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0"/>
      <c r="I279" s="224">
        <f ca="1">+C279*Catalogo!$F$19+EV!D279*Catalogo!$F$14+EV!E279*Catalogo!$F$16+EV!F279*Catalogo!$F$18</f>
        <v>6074068.7105699982</v>
      </c>
      <c r="J279" s="224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0">
        <f ca="1">IF(TODAY()&gt;=$A280,SUMIFS(Tabla1[Avance_km],Tabla1[Fecha],"&lt;="&amp;EV!$A280,Tabla1[nombre_actividad],EV!C$1),NA())</f>
        <v>148.03599999999997</v>
      </c>
      <c r="D280" s="110">
        <f ca="1">IF(TODAY()&gt;=$A280,SUMIFS(Tabla1[Avance_km],Tabla1[Fecha],"&lt;="&amp;EV!$A280,Tabla1[nombre_actividad],EV!D$1),NA())</f>
        <v>145.06999999999985</v>
      </c>
      <c r="E280" s="110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0"/>
      <c r="I280" s="224">
        <f ca="1">+C280*Catalogo!$F$19+EV!D280*Catalogo!$F$14+EV!E280*Catalogo!$F$16+EV!F280*Catalogo!$F$18</f>
        <v>6118802.2895699991</v>
      </c>
      <c r="J280" s="224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0">
        <f ca="1">IF(TODAY()&gt;=$A281,SUMIFS(Tabla1[Avance_km],Tabla1[Fecha],"&lt;="&amp;EV!$A281,Tabla1[nombre_actividad],EV!C$1),NA())</f>
        <v>148.03599999999997</v>
      </c>
      <c r="D281" s="110">
        <f ca="1">IF(TODAY()&gt;=$A281,SUMIFS(Tabla1[Avance_km],Tabla1[Fecha],"&lt;="&amp;EV!$A281,Tabla1[nombre_actividad],EV!D$1),NA())</f>
        <v>145.06999999999985</v>
      </c>
      <c r="E281" s="110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0"/>
      <c r="I281" s="224">
        <f ca="1">+C281*Catalogo!$F$19+EV!D281*Catalogo!$F$14+EV!E281*Catalogo!$F$16+EV!F281*Catalogo!$F$18</f>
        <v>6172984.1426799987</v>
      </c>
      <c r="J281" s="224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0">
        <f ca="1">IF(TODAY()&gt;=$A282,SUMIFS(Tabla1[Avance_km],Tabla1[Fecha],"&lt;="&amp;EV!$A282,Tabla1[nombre_actividad],EV!C$1),NA())</f>
        <v>148.03599999999997</v>
      </c>
      <c r="D282" s="110">
        <f ca="1">IF(TODAY()&gt;=$A282,SUMIFS(Tabla1[Avance_km],Tabla1[Fecha],"&lt;="&amp;EV!$A282,Tabla1[nombre_actividad],EV!D$1),NA())</f>
        <v>145.06999999999985</v>
      </c>
      <c r="E282" s="110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0"/>
      <c r="I282" s="224">
        <f ca="1">+C282*Catalogo!$F$19+EV!D282*Catalogo!$F$14+EV!E282*Catalogo!$F$16+EV!F282*Catalogo!$F$18</f>
        <v>6172984.1426799987</v>
      </c>
      <c r="J282" s="224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0">
        <f ca="1">IF(TODAY()&gt;=$A283,SUMIFS(Tabla1[Avance_km],Tabla1[Fecha],"&lt;="&amp;EV!$A283,Tabla1[nombre_actividad],EV!C$1),NA())</f>
        <v>148.03599999999997</v>
      </c>
      <c r="D283" s="110">
        <f ca="1">IF(TODAY()&gt;=$A283,SUMIFS(Tabla1[Avance_km],Tabla1[Fecha],"&lt;="&amp;EV!$A283,Tabla1[nombre_actividad],EV!D$1),NA())</f>
        <v>147.54199999999986</v>
      </c>
      <c r="E283" s="110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0"/>
      <c r="I283" s="224">
        <f ca="1">+C283*Catalogo!$F$19+EV!D283*Catalogo!$F$14+EV!E283*Catalogo!$F$16+EV!F283*Catalogo!$F$18</f>
        <v>6208881.0681999987</v>
      </c>
      <c r="J283" s="224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0">
        <f ca="1">IF(TODAY()&gt;=$A284,SUMIFS(Tabla1[Avance_km],Tabla1[Fecha],"&lt;="&amp;EV!$A284,Tabla1[nombre_actividad],EV!C$1),NA())</f>
        <v>148.03599999999997</v>
      </c>
      <c r="D284" s="110">
        <f ca="1">IF(TODAY()&gt;=$A284,SUMIFS(Tabla1[Avance_km],Tabla1[Fecha],"&lt;="&amp;EV!$A284,Tabla1[nombre_actividad],EV!D$1),NA())</f>
        <v>147.54199999999986</v>
      </c>
      <c r="E284" s="110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0"/>
      <c r="I284" s="224">
        <f ca="1">+C284*Catalogo!$F$19+EV!D284*Catalogo!$F$14+EV!E284*Catalogo!$F$16+EV!F284*Catalogo!$F$18</f>
        <v>6208881.0681999987</v>
      </c>
      <c r="J284" s="224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0">
        <f ca="1">IF(TODAY()&gt;=$A285,SUMIFS(Tabla1[Avance_km],Tabla1[Fecha],"&lt;="&amp;EV!$A285,Tabla1[nombre_actividad],EV!C$1),NA())</f>
        <v>148.03599999999997</v>
      </c>
      <c r="D285" s="110">
        <f ca="1">IF(TODAY()&gt;=$A285,SUMIFS(Tabla1[Avance_km],Tabla1[Fecha],"&lt;="&amp;EV!$A285,Tabla1[nombre_actividad],EV!D$1),NA())</f>
        <v>147.54199999999986</v>
      </c>
      <c r="E285" s="110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0"/>
      <c r="I285" s="224">
        <f ca="1">+C285*Catalogo!$F$19+EV!D285*Catalogo!$F$14+EV!E285*Catalogo!$F$16+EV!F285*Catalogo!$F$18</f>
        <v>6208881.0681999987</v>
      </c>
      <c r="J285" s="224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0">
        <f ca="1">IF(TODAY()&gt;=$A286,SUMIFS(Tabla1[Avance_km],Tabla1[Fecha],"&lt;="&amp;EV!$A286,Tabla1[nombre_actividad],EV!C$1),NA())</f>
        <v>148.03599999999997</v>
      </c>
      <c r="D286" s="110">
        <f ca="1">IF(TODAY()&gt;=$A286,SUMIFS(Tabla1[Avance_km],Tabla1[Fecha],"&lt;="&amp;EV!$A286,Tabla1[nombre_actividad],EV!D$1),NA())</f>
        <v>147.54199999999986</v>
      </c>
      <c r="E286" s="110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0"/>
      <c r="I286" s="224">
        <f ca="1">+C286*Catalogo!$F$19+EV!D286*Catalogo!$F$14+EV!E286*Catalogo!$F$16+EV!F286*Catalogo!$F$18</f>
        <v>6208881.0681999987</v>
      </c>
      <c r="J286" s="224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0">
        <f ca="1">IF(TODAY()&gt;=$A287,SUMIFS(Tabla1[Avance_km],Tabla1[Fecha],"&lt;="&amp;EV!$A287,Tabla1[nombre_actividad],EV!C$1),NA())</f>
        <v>148.03599999999997</v>
      </c>
      <c r="D287" s="110">
        <f ca="1">IF(TODAY()&gt;=$A287,SUMIFS(Tabla1[Avance_km],Tabla1[Fecha],"&lt;="&amp;EV!$A287,Tabla1[nombre_actividad],EV!D$1),NA())</f>
        <v>147.54199999999986</v>
      </c>
      <c r="E287" s="110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0"/>
      <c r="I287" s="224">
        <f ca="1">+C287*Catalogo!$F$19+EV!D287*Catalogo!$F$14+EV!E287*Catalogo!$F$16+EV!F287*Catalogo!$F$18</f>
        <v>6243746.1485599987</v>
      </c>
      <c r="J287" s="224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0">
        <f ca="1">IF(TODAY()&gt;=$A288,SUMIFS(Tabla1[Avance_km],Tabla1[Fecha],"&lt;="&amp;EV!$A288,Tabla1[nombre_actividad],EV!C$1),NA())</f>
        <v>148.04199999999997</v>
      </c>
      <c r="D288" s="110">
        <f ca="1">IF(TODAY()&gt;=$A288,SUMIFS(Tabla1[Avance_km],Tabla1[Fecha],"&lt;="&amp;EV!$A288,Tabla1[nombre_actividad],EV!D$1),NA())</f>
        <v>147.54799999999986</v>
      </c>
      <c r="E288" s="110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0"/>
      <c r="I288" s="224">
        <f ca="1">+C288*Catalogo!$F$19+EV!D288*Catalogo!$F$14+EV!E288*Catalogo!$F$16+EV!F288*Catalogo!$F$18</f>
        <v>6243928.155319999</v>
      </c>
      <c r="J288" s="224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0">
        <f ca="1">IF(TODAY()&gt;=$A289,SUMIFS(Tabla1[Avance_km],Tabla1[Fecha],"&lt;="&amp;EV!$A289,Tabla1[nombre_actividad],EV!C$1),NA())</f>
        <v>148.88699999999997</v>
      </c>
      <c r="D289" s="110">
        <f ca="1">IF(TODAY()&gt;=$A289,SUMIFS(Tabla1[Avance_km],Tabla1[Fecha],"&lt;="&amp;EV!$A289,Tabla1[nombre_actividad],EV!D$1),NA())</f>
        <v>147.54799999999986</v>
      </c>
      <c r="E289" s="110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0"/>
      <c r="I289" s="224">
        <f ca="1">+C289*Catalogo!$F$19+EV!D289*Catalogo!$F$14+EV!E289*Catalogo!$F$16+EV!F289*Catalogo!$F$18</f>
        <v>6245835.6752199987</v>
      </c>
      <c r="J289" s="224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0">
        <f ca="1">IF(TODAY()&gt;=$A290,SUMIFS(Tabla1[Avance_km],Tabla1[Fecha],"&lt;="&amp;EV!$A290,Tabla1[nombre_actividad],EV!C$1),NA())</f>
        <v>149.96199999999996</v>
      </c>
      <c r="D290" s="110">
        <f ca="1">IF(TODAY()&gt;=$A290,SUMIFS(Tabla1[Avance_km],Tabla1[Fecha],"&lt;="&amp;EV!$A290,Tabla1[nombre_actividad],EV!D$1),NA())</f>
        <v>147.54799999999986</v>
      </c>
      <c r="E290" s="110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0"/>
      <c r="I290" s="224">
        <f ca="1">+C290*Catalogo!$F$19+EV!D290*Catalogo!$F$14+EV!E290*Catalogo!$F$16+EV!F290*Catalogo!$F$18</f>
        <v>6248262.4017199986</v>
      </c>
      <c r="J290" s="224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0">
        <f ca="1">IF(TODAY()&gt;=$A291,SUMIFS(Tabla1[Avance_km],Tabla1[Fecha],"&lt;="&amp;EV!$A291,Tabla1[nombre_actividad],EV!C$1),NA())</f>
        <v>152.34199999999996</v>
      </c>
      <c r="D291" s="110">
        <f ca="1">IF(TODAY()&gt;=$A291,SUMIFS(Tabla1[Avance_km],Tabla1[Fecha],"&lt;="&amp;EV!$A291,Tabla1[nombre_actividad],EV!D$1),NA())</f>
        <v>147.54799999999986</v>
      </c>
      <c r="E291" s="110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0"/>
      <c r="I291" s="224">
        <f ca="1">+C291*Catalogo!$F$19+EV!D291*Catalogo!$F$14+EV!E291*Catalogo!$F$16+EV!F291*Catalogo!$F$18</f>
        <v>6253635.0613199994</v>
      </c>
      <c r="J291" s="224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0">
        <f ca="1">IF(TODAY()&gt;=$A292,SUMIFS(Tabla1[Avance_km],Tabla1[Fecha],"&lt;="&amp;EV!$A292,Tabla1[nombre_actividad],EV!C$1),NA())</f>
        <v>152.34199999999996</v>
      </c>
      <c r="D292" s="110">
        <f ca="1">IF(TODAY()&gt;=$A292,SUMIFS(Tabla1[Avance_km],Tabla1[Fecha],"&lt;="&amp;EV!$A292,Tabla1[nombre_actividad],EV!D$1),NA())</f>
        <v>150.52899999999985</v>
      </c>
      <c r="E292" s="110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0"/>
      <c r="I292" s="224">
        <f ca="1">+C292*Catalogo!$F$19+EV!D292*Catalogo!$F$14+EV!E292*Catalogo!$F$16+EV!F292*Catalogo!$F$18</f>
        <v>6296923.3845299985</v>
      </c>
      <c r="J292" s="224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0">
        <f ca="1">IF(TODAY()&gt;=$A293,SUMIFS(Tabla1[Avance_km],Tabla1[Fecha],"&lt;="&amp;EV!$A293,Tabla1[nombre_actividad],EV!C$1),NA())</f>
        <v>154.97199999999998</v>
      </c>
      <c r="D293" s="110">
        <f ca="1">IF(TODAY()&gt;=$A293,SUMIFS(Tabla1[Avance_km],Tabla1[Fecha],"&lt;="&amp;EV!$A293,Tabla1[nombre_actividad],EV!D$1),NA())</f>
        <v>150.52899999999985</v>
      </c>
      <c r="E293" s="110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0"/>
      <c r="I293" s="224">
        <f ca="1">+C293*Catalogo!$F$19+EV!D293*Catalogo!$F$14+EV!E293*Catalogo!$F$16+EV!F293*Catalogo!$F$18</f>
        <v>6302860.3991299979</v>
      </c>
      <c r="J293" s="224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0">
        <f ca="1">IF(TODAY()&gt;=$A294,SUMIFS(Tabla1[Avance_km],Tabla1[Fecha],"&lt;="&amp;EV!$A294,Tabla1[nombre_actividad],EV!C$1),NA())</f>
        <v>154.97199999999998</v>
      </c>
      <c r="D294" s="110">
        <f ca="1">IF(TODAY()&gt;=$A294,SUMIFS(Tabla1[Avance_km],Tabla1[Fecha],"&lt;="&amp;EV!$A294,Tabla1[nombre_actividad],EV!D$1),NA())</f>
        <v>152.48699999999985</v>
      </c>
      <c r="E294" s="110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0"/>
      <c r="I294" s="224">
        <f ca="1">+C294*Catalogo!$F$19+EV!D294*Catalogo!$F$14+EV!E294*Catalogo!$F$16+EV!F294*Catalogo!$F$18</f>
        <v>6331293.3199099991</v>
      </c>
      <c r="J294" s="224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0">
        <f ca="1">IF(TODAY()&gt;=$A295,SUMIFS(Tabla1[Avance_km],Tabla1[Fecha],"&lt;="&amp;EV!$A295,Tabla1[nombre_actividad],EV!C$1),NA())</f>
        <v>155.58199999999999</v>
      </c>
      <c r="D295" s="110">
        <f ca="1">IF(TODAY()&gt;=$A295,SUMIFS(Tabla1[Avance_km],Tabla1[Fecha],"&lt;="&amp;EV!$A295,Tabla1[nombre_actividad],EV!D$1),NA())</f>
        <v>155.08799999999985</v>
      </c>
      <c r="E295" s="110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0"/>
      <c r="I295" s="224">
        <f ca="1">+C295*Catalogo!$F$19+EV!D295*Catalogo!$F$14+EV!E295*Catalogo!$F$16+EV!F295*Catalogo!$F$18</f>
        <v>6370440.5335199982</v>
      </c>
      <c r="J295" s="224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0">
        <f ca="1">IF(TODAY()&gt;=$A296,SUMIFS(Tabla1[Avance_km],Tabla1[Fecha],"&lt;="&amp;EV!$A296,Tabla1[nombre_actividad],EV!C$1),NA())</f>
        <v>156.43199999999999</v>
      </c>
      <c r="D296" s="110">
        <f ca="1">IF(TODAY()&gt;=$A296,SUMIFS(Tabla1[Avance_km],Tabla1[Fecha],"&lt;="&amp;EV!$A296,Tabla1[nombre_actividad],EV!D$1),NA())</f>
        <v>155.08799999999985</v>
      </c>
      <c r="E296" s="110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0"/>
      <c r="I296" s="224">
        <f ca="1">+C296*Catalogo!$F$19+EV!D296*Catalogo!$F$14+EV!E296*Catalogo!$F$16+EV!F296*Catalogo!$F$18</f>
        <v>6372359.3405199982</v>
      </c>
      <c r="J296" s="224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0">
        <f ca="1">IF(TODAY()&gt;=$A297,SUMIFS(Tabla1[Avance_km],Tabla1[Fecha],"&lt;="&amp;EV!$A297,Tabla1[nombre_actividad],EV!C$1),NA())</f>
        <v>156.43199999999999</v>
      </c>
      <c r="D297" s="110">
        <f ca="1">IF(TODAY()&gt;=$A297,SUMIFS(Tabla1[Avance_km],Tabla1[Fecha],"&lt;="&amp;EV!$A297,Tabla1[nombre_actividad],EV!D$1),NA())</f>
        <v>155.08799999999985</v>
      </c>
      <c r="E297" s="110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0"/>
      <c r="I297" s="224">
        <f ca="1">+C297*Catalogo!$F$19+EV!D297*Catalogo!$F$14+EV!E297*Catalogo!$F$16+EV!F297*Catalogo!$F$18</f>
        <v>6372359.3405199982</v>
      </c>
      <c r="J297" s="224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0">
        <f ca="1">IF(TODAY()&gt;=$A298,SUMIFS(Tabla1[Avance_km],Tabla1[Fecha],"&lt;="&amp;EV!$A298,Tabla1[nombre_actividad],EV!C$1),NA())</f>
        <v>158.042</v>
      </c>
      <c r="D298" s="110">
        <f ca="1">IF(TODAY()&gt;=$A298,SUMIFS(Tabla1[Avance_km],Tabla1[Fecha],"&lt;="&amp;EV!$A298,Tabla1[nombre_actividad],EV!D$1),NA())</f>
        <v>155.08799999999985</v>
      </c>
      <c r="E298" s="110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0"/>
      <c r="I298" s="224">
        <f ca="1">+C298*Catalogo!$F$19+EV!D298*Catalogo!$F$14+EV!E298*Catalogo!$F$16+EV!F298*Catalogo!$F$18</f>
        <v>6375993.7867199983</v>
      </c>
      <c r="J298" s="224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0">
        <f ca="1">IF(TODAY()&gt;=$A299,SUMIFS(Tabla1[Avance_km],Tabla1[Fecha],"&lt;="&amp;EV!$A299,Tabla1[nombre_actividad],EV!C$1),NA())</f>
        <v>158.042</v>
      </c>
      <c r="D299" s="110">
        <f ca="1">IF(TODAY()&gt;=$A299,SUMIFS(Tabla1[Avance_km],Tabla1[Fecha],"&lt;="&amp;EV!$A299,Tabla1[nombre_actividad],EV!D$1),NA())</f>
        <v>155.08799999999985</v>
      </c>
      <c r="E299" s="110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0">
        <f ca="1">IF(TODAY()&gt;=$A299,SUMIFS(Tabla1[Avance_km],Tabla1[Fecha],"&lt;="&amp;EV!$A299-1,Tabla1[nombre_actividad],EV!H$1),NA())</f>
        <v>0</v>
      </c>
      <c r="I299" s="224">
        <f ca="1">+C299*Catalogo!$F$19+EV!D299*Catalogo!$F$14+EV!E299*Catalogo!$F$16+EV!F299*Catalogo!$F$18</f>
        <v>6375993.7867199983</v>
      </c>
      <c r="J299" s="224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0">
        <f ca="1">IF(TODAY()&gt;=$A300,SUMIFS(Tabla1[Avance_km],Tabla1[Fecha],"&lt;="&amp;EV!$A300,Tabla1[nombre_actividad],EV!C$1),NA())</f>
        <v>158.042</v>
      </c>
      <c r="D300" s="110">
        <f ca="1">IF(TODAY()&gt;=$A300,SUMIFS(Tabla1[Avance_km],Tabla1[Fecha],"&lt;="&amp;EV!$A300,Tabla1[nombre_actividad],EV!D$1),NA())</f>
        <v>155.08799999999985</v>
      </c>
      <c r="E300" s="110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0">
        <f ca="1">IF(TODAY()&gt;=$A300,SUMIFS(Tabla1[Avance_km],Tabla1[Fecha],"&lt;="&amp;EV!$A300-1,Tabla1[nombre_actividad],EV!H$1),NA())</f>
        <v>10.475526931400351</v>
      </c>
      <c r="I300" s="224">
        <f ca="1">+C300*Catalogo!$F$19+EV!D300*Catalogo!$F$14+EV!E300*Catalogo!$F$16+EV!F300*Catalogo!$F$18</f>
        <v>6375993.7867199983</v>
      </c>
      <c r="J300" s="224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0">
        <f ca="1">IF(TODAY()&gt;=$A301,SUMIFS(Tabla1[Avance_km],Tabla1[Fecha],"&lt;="&amp;EV!$A301,Tabla1[nombre_actividad],EV!C$1),NA())</f>
        <v>158.042</v>
      </c>
      <c r="D301" s="110">
        <f ca="1">IF(TODAY()&gt;=$A301,SUMIFS(Tabla1[Avance_km],Tabla1[Fecha],"&lt;="&amp;EV!$A301,Tabla1[nombre_actividad],EV!D$1),NA())</f>
        <v>155.08799999999985</v>
      </c>
      <c r="E301" s="110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0">
        <f ca="1">IF(TODAY()&gt;=$A301,SUMIFS(Tabla1[Avance_km],Tabla1[Fecha],"&lt;="&amp;EV!$A301-1,Tabla1[nombre_actividad],EV!H$1),NA())</f>
        <v>17.040190475077903</v>
      </c>
      <c r="I301" s="224">
        <f ca="1">+C301*Catalogo!$F$19+EV!D301*Catalogo!$F$14+EV!E301*Catalogo!$F$16+EV!F301*Catalogo!$F$18</f>
        <v>6375993.7867199983</v>
      </c>
      <c r="J301" s="224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0">
        <f ca="1">IF(TODAY()&gt;=$A302,SUMIFS(Tabla1[Avance_km],Tabla1[Fecha],"&lt;="&amp;EV!$A302,Tabla1[nombre_actividad],EV!C$1),NA())</f>
        <v>159.39099999999999</v>
      </c>
      <c r="D302" s="110">
        <f ca="1">IF(TODAY()&gt;=$A302,SUMIFS(Tabla1[Avance_km],Tabla1[Fecha],"&lt;="&amp;EV!$A302,Tabla1[nombre_actividad],EV!D$1),NA())</f>
        <v>155.08799999999985</v>
      </c>
      <c r="E302" s="110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0">
        <f ca="1">IF(TODAY()&gt;=$A302,SUMIFS(Tabla1[Avance_km],Tabla1[Fecha],"&lt;="&amp;EV!$A302-1,Tabla1[nombre_actividad],EV!H$1),NA())</f>
        <v>21.928769709731398</v>
      </c>
      <c r="I302" s="224">
        <f ca="1">+C302*Catalogo!$F$19+EV!D302*Catalogo!$F$14+EV!E302*Catalogo!$F$16+EV!F302*Catalogo!$F$18</f>
        <v>6379039.0462999986</v>
      </c>
      <c r="J302" s="224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0">
        <f ca="1">IF(TODAY()&gt;=$A303,SUMIFS(Tabla1[Avance_km],Tabla1[Fecha],"&lt;="&amp;EV!$A303,Tabla1[nombre_actividad],EV!C$1),NA())</f>
        <v>159.39099999999999</v>
      </c>
      <c r="D303" s="110">
        <f ca="1">IF(TODAY()&gt;=$A303,SUMIFS(Tabla1[Avance_km],Tabla1[Fecha],"&lt;="&amp;EV!$A303,Tabla1[nombre_actividad],EV!D$1),NA())</f>
        <v>155.08799999999985</v>
      </c>
      <c r="E303" s="110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0">
        <f ca="1">IF(TODAY()&gt;=$A303,SUMIFS(Tabla1[Avance_km],Tabla1[Fecha],"&lt;="&amp;EV!$A303-1,Tabla1[nombre_actividad],EV!H$1),NA())</f>
        <v>21.928769709731398</v>
      </c>
      <c r="I303" s="224">
        <f ca="1">+C303*Catalogo!$F$19+EV!D303*Catalogo!$F$14+EV!E303*Catalogo!$F$16+EV!F303*Catalogo!$F$18</f>
        <v>6379039.0462999986</v>
      </c>
      <c r="J303" s="224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0">
        <f ca="1">IF(TODAY()&gt;=$A304,SUMIFS(Tabla1[Avance_km],Tabla1[Fecha],"&lt;="&amp;EV!$A304,Tabla1[nombre_actividad],EV!C$1),NA())</f>
        <v>159.39099999999999</v>
      </c>
      <c r="D304" s="110">
        <f ca="1">IF(TODAY()&gt;=$A304,SUMIFS(Tabla1[Avance_km],Tabla1[Fecha],"&lt;="&amp;EV!$A304,Tabla1[nombre_actividad],EV!D$1),NA())</f>
        <v>155.08799999999985</v>
      </c>
      <c r="E304" s="110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0">
        <f ca="1">IF(TODAY()&gt;=$A304,SUMIFS(Tabla1[Avance_km],Tabla1[Fecha],"&lt;="&amp;EV!$A304-1,Tabla1[nombre_actividad],EV!H$1),NA())</f>
        <v>21.928769709731398</v>
      </c>
      <c r="I304" s="224">
        <f ca="1">+C304*Catalogo!$F$19+EV!D304*Catalogo!$F$14+EV!E304*Catalogo!$F$16+EV!F304*Catalogo!$F$18</f>
        <v>6379039.0462999986</v>
      </c>
      <c r="J304" s="224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0">
        <f ca="1">IF(TODAY()&gt;=$A305,SUMIFS(Tabla1[Avance_km],Tabla1[Fecha],"&lt;="&amp;EV!$A305,Tabla1[nombre_actividad],EV!C$1),NA())</f>
        <v>160.191</v>
      </c>
      <c r="D305" s="110">
        <f ca="1">IF(TODAY()&gt;=$A305,SUMIFS(Tabla1[Avance_km],Tabla1[Fecha],"&lt;="&amp;EV!$A305,Tabla1[nombre_actividad],EV!D$1),NA())</f>
        <v>155.08799999999985</v>
      </c>
      <c r="E305" s="110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0">
        <f ca="1">IF(TODAY()&gt;=$A305,SUMIFS(Tabla1[Avance_km],Tabla1[Fecha],"&lt;="&amp;EV!$A305-1,Tabla1[nombre_actividad],EV!H$1),NA())</f>
        <v>21.928769709731398</v>
      </c>
      <c r="I305" s="224">
        <f ca="1">+C305*Catalogo!$F$19+EV!D305*Catalogo!$F$14+EV!E305*Catalogo!$F$16+EV!F305*Catalogo!$F$18</f>
        <v>6380844.9822999984</v>
      </c>
      <c r="J305" s="224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0">
        <f ca="1">IF(TODAY()&gt;=$A306,SUMIFS(Tabla1[Avance_km],Tabla1[Fecha],"&lt;="&amp;EV!$A306,Tabla1[nombre_actividad],EV!C$1),NA())</f>
        <v>164.95599999999999</v>
      </c>
      <c r="D306" s="110">
        <f ca="1">IF(TODAY()&gt;=$A306,SUMIFS(Tabla1[Avance_km],Tabla1[Fecha],"&lt;="&amp;EV!$A306,Tabla1[nombre_actividad],EV!D$1),NA())</f>
        <v>155.08799999999985</v>
      </c>
      <c r="E306" s="110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0">
        <f ca="1">IF(TODAY()&gt;=$A306,SUMIFS(Tabla1[Avance_km],Tabla1[Fecha],"&lt;="&amp;EV!$A306-1,Tabla1[nombre_actividad],EV!H$1),NA())</f>
        <v>21.928769709731398</v>
      </c>
      <c r="I306" s="224">
        <f ca="1">+C306*Catalogo!$F$19+EV!D306*Catalogo!$F$14+EV!E306*Catalogo!$F$16+EV!F306*Catalogo!$F$18</f>
        <v>6391601.5885999985</v>
      </c>
      <c r="J306" s="224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0">
        <f ca="1">IF(TODAY()&gt;=$A307,SUMIFS(Tabla1[Avance_km],Tabla1[Fecha],"&lt;="&amp;EV!$A307,Tabla1[nombre_actividad],EV!C$1),NA())</f>
        <v>164.95599999999999</v>
      </c>
      <c r="D307" s="110">
        <f ca="1">IF(TODAY()&gt;=$A307,SUMIFS(Tabla1[Avance_km],Tabla1[Fecha],"&lt;="&amp;EV!$A307,Tabla1[nombre_actividad],EV!D$1),NA())</f>
        <v>156.88799999999986</v>
      </c>
      <c r="E307" s="110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0">
        <f ca="1">IF(TODAY()&gt;=$A307,SUMIFS(Tabla1[Avance_km],Tabla1[Fecha],"&lt;="&amp;EV!$A307-1,Tabla1[nombre_actividad],EV!H$1),NA())</f>
        <v>21.928769709731398</v>
      </c>
      <c r="I307" s="224">
        <f ca="1">+C307*Catalogo!$F$19+EV!D307*Catalogo!$F$14+EV!E307*Catalogo!$F$16+EV!F307*Catalogo!$F$18</f>
        <v>6417740.1265999991</v>
      </c>
      <c r="J307" s="224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0">
        <f ca="1">IF(TODAY()&gt;=$A308,SUMIFS(Tabla1[Avance_km],Tabla1[Fecha],"&lt;="&amp;EV!$A308,Tabla1[nombre_actividad],EV!C$1),NA())</f>
        <v>164.95599999999999</v>
      </c>
      <c r="D308" s="110">
        <f ca="1">IF(TODAY()&gt;=$A308,SUMIFS(Tabla1[Avance_km],Tabla1[Fecha],"&lt;="&amp;EV!$A308,Tabla1[nombre_actividad],EV!D$1),NA())</f>
        <v>158.24099999999987</v>
      </c>
      <c r="E308" s="110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0">
        <f ca="1">IF(TODAY()&gt;=$A308,SUMIFS(Tabla1[Avance_km],Tabla1[Fecha],"&lt;="&amp;EV!$A308-1,Tabla1[nombre_actividad],EV!H$1),NA())</f>
        <v>21.928769709731398</v>
      </c>
      <c r="I308" s="224">
        <f ca="1">+C308*Catalogo!$F$19+EV!D308*Catalogo!$F$14+EV!E308*Catalogo!$F$16+EV!F308*Catalogo!$F$18</f>
        <v>6437387.5943299988</v>
      </c>
      <c r="J308" s="224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0">
        <f ca="1">IF(TODAY()&gt;=$A309,SUMIFS(Tabla1[Avance_km],Tabla1[Fecha],"&lt;="&amp;EV!$A309,Tabla1[nombre_actividad],EV!C$1),NA())</f>
        <v>164.95599999999999</v>
      </c>
      <c r="D309" s="110">
        <f ca="1">IF(TODAY()&gt;=$A309,SUMIFS(Tabla1[Avance_km],Tabla1[Fecha],"&lt;="&amp;EV!$A309,Tabla1[nombre_actividad],EV!D$1),NA())</f>
        <v>158.24099999999987</v>
      </c>
      <c r="E309" s="110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0">
        <f ca="1">IF(TODAY()&gt;=$A309,SUMIFS(Tabla1[Avance_km],Tabla1[Fecha],"&lt;="&amp;EV!$A309-1,Tabla1[nombre_actividad],EV!H$1),NA())</f>
        <v>21.928769709731398</v>
      </c>
      <c r="I309" s="224">
        <f ca="1">+C309*Catalogo!$F$19+EV!D309*Catalogo!$F$14+EV!E309*Catalogo!$F$16+EV!F309*Catalogo!$F$18</f>
        <v>6437387.5943299988</v>
      </c>
      <c r="J309" s="224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0">
        <f ca="1">IF(TODAY()&gt;=$A310,SUMIFS(Tabla1[Avance_km],Tabla1[Fecha],"&lt;="&amp;EV!$A310,Tabla1[nombre_actividad],EV!C$1),NA())</f>
        <v>164.95599999999999</v>
      </c>
      <c r="D310" s="110">
        <f ca="1">IF(TODAY()&gt;=$A310,SUMIFS(Tabla1[Avance_km],Tabla1[Fecha],"&lt;="&amp;EV!$A310,Tabla1[nombre_actividad],EV!D$1),NA())</f>
        <v>158.24099999999987</v>
      </c>
      <c r="E310" s="110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0">
        <f ca="1">IF(TODAY()&gt;=$A310,SUMIFS(Tabla1[Avance_km],Tabla1[Fecha],"&lt;="&amp;EV!$A310-1,Tabla1[nombre_actividad],EV!H$1),NA())</f>
        <v>34.499402027411818</v>
      </c>
      <c r="I310" s="224">
        <f ca="1">+C310*Catalogo!$F$19+EV!D310*Catalogo!$F$14+EV!E310*Catalogo!$F$16+EV!F310*Catalogo!$F$18</f>
        <v>6437387.5943299988</v>
      </c>
      <c r="J310" s="224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0">
        <f ca="1">IF(TODAY()&gt;=$A311,SUMIFS(Tabla1[Avance_km],Tabla1[Fecha],"&lt;="&amp;EV!$A311,Tabla1[nombre_actividad],EV!C$1),NA())</f>
        <v>164.95599999999999</v>
      </c>
      <c r="D311" s="110">
        <f ca="1">IF(TODAY()&gt;=$A311,SUMIFS(Tabla1[Avance_km],Tabla1[Fecha],"&lt;="&amp;EV!$A311,Tabla1[nombre_actividad],EV!D$1),NA())</f>
        <v>158.24099999999987</v>
      </c>
      <c r="E311" s="110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0">
        <f ca="1">IF(TODAY()&gt;=$A311,SUMIFS(Tabla1[Avance_km],Tabla1[Fecha],"&lt;="&amp;EV!$A311-1,Tabla1[nombre_actividad],EV!H$1),NA())</f>
        <v>41.483086648345392</v>
      </c>
      <c r="I311" s="224">
        <f ca="1">+C311*Catalogo!$F$19+EV!D311*Catalogo!$F$14+EV!E311*Catalogo!$F$16+EV!F311*Catalogo!$F$18</f>
        <v>6437387.5943299988</v>
      </c>
      <c r="J311" s="224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0">
        <f ca="1">IF(TODAY()&gt;=$A312,SUMIFS(Tabla1[Avance_km],Tabla1[Fecha],"&lt;="&amp;EV!$A312,Tabla1[nombre_actividad],EV!C$1),NA())</f>
        <v>164.95599999999999</v>
      </c>
      <c r="D312" s="110">
        <f ca="1">IF(TODAY()&gt;=$A312,SUMIFS(Tabla1[Avance_km],Tabla1[Fecha],"&lt;="&amp;EV!$A312,Tabla1[nombre_actividad],EV!D$1),NA())</f>
        <v>158.97299999999987</v>
      </c>
      <c r="E312" s="110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0">
        <f ca="1">IF(TODAY()&gt;=$A312,SUMIFS(Tabla1[Avance_km],Tabla1[Fecha],"&lt;="&amp;EV!$A312-1,Tabla1[nombre_actividad],EV!H$1),NA())</f>
        <v>41.483086648345392</v>
      </c>
      <c r="I312" s="224">
        <f ca="1">+C312*Catalogo!$F$19+EV!D312*Catalogo!$F$14+EV!E312*Catalogo!$F$16+EV!F312*Catalogo!$F$18</f>
        <v>6448017.2664499991</v>
      </c>
      <c r="J312" s="224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0">
        <f ca="1">IF(TODAY()&gt;=$A313,SUMIFS(Tabla1[Avance_km],Tabla1[Fecha],"&lt;="&amp;EV!$A313,Tabla1[nombre_actividad],EV!C$1),NA())</f>
        <v>164.95599999999999</v>
      </c>
      <c r="D313" s="110">
        <f ca="1">IF(TODAY()&gt;=$A313,SUMIFS(Tabla1[Avance_km],Tabla1[Fecha],"&lt;="&amp;EV!$A313,Tabla1[nombre_actividad],EV!D$1),NA())</f>
        <v>160.85399999999987</v>
      </c>
      <c r="E313" s="110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0">
        <f ca="1">IF(TODAY()&gt;=$A313,SUMIFS(Tabla1[Avance_km],Tabla1[Fecha],"&lt;="&amp;EV!$A313-1,Tabla1[nombre_actividad],EV!H$1),NA())</f>
        <v>41.483086648345392</v>
      </c>
      <c r="I313" s="224">
        <f ca="1">+C313*Catalogo!$F$19+EV!D313*Catalogo!$F$14+EV!E313*Catalogo!$F$16+EV!F313*Catalogo!$F$18</f>
        <v>6475332.0386599991</v>
      </c>
      <c r="J313" s="224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0">
        <f ca="1">IF(TODAY()&gt;=$A314,SUMIFS(Tabla1[Avance_km],Tabla1[Fecha],"&lt;="&amp;EV!$A314,Tabla1[nombre_actividad],EV!C$1),NA())</f>
        <v>164.95599999999999</v>
      </c>
      <c r="D314" s="110">
        <f ca="1">IF(TODAY()&gt;=$A314,SUMIFS(Tabla1[Avance_km],Tabla1[Fecha],"&lt;="&amp;EV!$A314,Tabla1[nombre_actividad],EV!D$1),NA())</f>
        <v>161.98699999999988</v>
      </c>
      <c r="E314" s="110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0">
        <f ca="1">IF(TODAY()&gt;=$A314,SUMIFS(Tabla1[Avance_km],Tabla1[Fecha],"&lt;="&amp;EV!$A314-1,Tabla1[nombre_actividad],EV!H$1),NA())</f>
        <v>41.483086648345392</v>
      </c>
      <c r="I314" s="224">
        <f ca="1">+C314*Catalogo!$F$19+EV!D314*Catalogo!$F$14+EV!E314*Catalogo!$F$16+EV!F314*Catalogo!$F$18</f>
        <v>6491784.7961899992</v>
      </c>
      <c r="J314" s="224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0">
        <f ca="1">IF(TODAY()&gt;=$A315,SUMIFS(Tabla1[Avance_km],Tabla1[Fecha],"&lt;="&amp;EV!$A315,Tabla1[nombre_actividad],EV!C$1),NA())</f>
        <v>166.30199999999999</v>
      </c>
      <c r="D315" s="110">
        <f ca="1">IF(TODAY()&gt;=$A315,SUMIFS(Tabla1[Avance_km],Tabla1[Fecha],"&lt;="&amp;EV!$A315,Tabla1[nombre_actividad],EV!D$1),NA())</f>
        <v>161.98699999999988</v>
      </c>
      <c r="E315" s="110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0">
        <f ca="1">IF(TODAY()&gt;=$A315,SUMIFS(Tabla1[Avance_km],Tabla1[Fecha],"&lt;="&amp;EV!$A315-1,Tabla1[nombre_actividad],EV!H$1),NA())</f>
        <v>41.483086648345392</v>
      </c>
      <c r="I315" s="224">
        <f ca="1">+C315*Catalogo!$F$19+EV!D315*Catalogo!$F$14+EV!E315*Catalogo!$F$16+EV!F315*Catalogo!$F$18</f>
        <v>6494823.2835099995</v>
      </c>
      <c r="J315" s="224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0">
        <f ca="1">IF(TODAY()&gt;=$A316,SUMIFS(Tabla1[Avance_km],Tabla1[Fecha],"&lt;="&amp;EV!$A316,Tabla1[nombre_actividad],EV!C$1),NA())</f>
        <v>166.30199999999999</v>
      </c>
      <c r="D316" s="110">
        <f ca="1">IF(TODAY()&gt;=$A316,SUMIFS(Tabla1[Avance_km],Tabla1[Fecha],"&lt;="&amp;EV!$A316,Tabla1[nombre_actividad],EV!D$1),NA())</f>
        <v>163.76899999999989</v>
      </c>
      <c r="E316" s="110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0">
        <f ca="1">IF(TODAY()&gt;=$A316,SUMIFS(Tabla1[Avance_km],Tabla1[Fecha],"&lt;="&amp;EV!$A316-1,Tabla1[nombre_actividad],EV!H$1),NA())</f>
        <v>41.483086648345392</v>
      </c>
      <c r="I316" s="224">
        <f ca="1">+C316*Catalogo!$F$19+EV!D316*Catalogo!$F$14+EV!E316*Catalogo!$F$16+EV!F316*Catalogo!$F$18</f>
        <v>6520700.4361299984</v>
      </c>
      <c r="J316" s="224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0">
        <f ca="1">IF(TODAY()&gt;=$A317,SUMIFS(Tabla1[Avance_km],Tabla1[Fecha],"&lt;="&amp;EV!$A317,Tabla1[nombre_actividad],EV!C$1),NA())</f>
        <v>166.30199999999999</v>
      </c>
      <c r="D317" s="110">
        <f ca="1">IF(TODAY()&gt;=$A317,SUMIFS(Tabla1[Avance_km],Tabla1[Fecha],"&lt;="&amp;EV!$A317,Tabla1[nombre_actividad],EV!D$1),NA())</f>
        <v>165.1149999999999</v>
      </c>
      <c r="E317" s="110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0">
        <f ca="1">IF(TODAY()&gt;=$A317,SUMIFS(Tabla1[Avance_km],Tabla1[Fecha],"&lt;="&amp;EV!$A317-1,Tabla1[nombre_actividad],EV!H$1),NA())</f>
        <v>41.483086648345392</v>
      </c>
      <c r="I317" s="224">
        <f ca="1">+C317*Catalogo!$F$19+EV!D317*Catalogo!$F$14+EV!E317*Catalogo!$F$16+EV!F317*Catalogo!$F$18</f>
        <v>6540246.2539899992</v>
      </c>
      <c r="J317" s="224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0">
        <f ca="1">IF(TODAY()&gt;=$A318,SUMIFS(Tabla1[Avance_km],Tabla1[Fecha],"&lt;="&amp;EV!$A318,Tabla1[nombre_actividad],EV!C$1),NA())</f>
        <v>166.30199999999999</v>
      </c>
      <c r="D318" s="110">
        <f ca="1">IF(TODAY()&gt;=$A318,SUMIFS(Tabla1[Avance_km],Tabla1[Fecha],"&lt;="&amp;EV!$A318,Tabla1[nombre_actividad],EV!D$1),NA())</f>
        <v>165.1149999999999</v>
      </c>
      <c r="E318" s="110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0">
        <f ca="1">IF(TODAY()&gt;=$A318,SUMIFS(Tabla1[Avance_km],Tabla1[Fecha],"&lt;="&amp;EV!$A318-1,Tabla1[nombre_actividad],EV!H$1),NA())</f>
        <v>41.483086648345392</v>
      </c>
      <c r="I318" s="224">
        <f ca="1">+C318*Catalogo!$F$19+EV!D318*Catalogo!$F$14+EV!E318*Catalogo!$F$16+EV!F318*Catalogo!$F$18</f>
        <v>6540246.2539899992</v>
      </c>
      <c r="J318" s="224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0">
        <f ca="1">IF(TODAY()&gt;=$A319,SUMIFS(Tabla1[Avance_km],Tabla1[Fecha],"&lt;="&amp;EV!$A319,Tabla1[nombre_actividad],EV!C$1),NA())</f>
        <v>166.30199999999999</v>
      </c>
      <c r="D319" s="110">
        <f ca="1">IF(TODAY()&gt;=$A319,SUMIFS(Tabla1[Avance_km],Tabla1[Fecha],"&lt;="&amp;EV!$A319,Tabla1[nombre_actividad],EV!D$1),NA())</f>
        <v>165.80799999999991</v>
      </c>
      <c r="E319" s="110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0">
        <f ca="1">IF(TODAY()&gt;=$A319,SUMIFS(Tabla1[Avance_km],Tabla1[Fecha],"&lt;="&amp;EV!$A319-1,Tabla1[nombre_actividad],EV!H$1),NA())</f>
        <v>41.483086648345392</v>
      </c>
      <c r="I319" s="224">
        <f ca="1">+C319*Catalogo!$F$19+EV!D319*Catalogo!$F$14+EV!E319*Catalogo!$F$16+EV!F319*Catalogo!$F$18</f>
        <v>6550309.5911199991</v>
      </c>
      <c r="J319" s="224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0">
        <f ca="1">IF(TODAY()&gt;=$A320,SUMIFS(Tabla1[Avance_km],Tabla1[Fecha],"&lt;="&amp;EV!$A320,Tabla1[nombre_actividad],EV!C$1),NA())</f>
        <v>170.642</v>
      </c>
      <c r="D320" s="110">
        <f ca="1">IF(TODAY()&gt;=$A320,SUMIFS(Tabla1[Avance_km],Tabla1[Fecha],"&lt;="&amp;EV!$A320,Tabla1[nombre_actividad],EV!D$1),NA())</f>
        <v>165.80799999999991</v>
      </c>
      <c r="E320" s="110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0">
        <f ca="1">IF(TODAY()&gt;=$A320,SUMIFS(Tabla1[Avance_km],Tabla1[Fecha],"&lt;="&amp;EV!$A320-1,Tabla1[nombre_actividad],EV!H$1),NA())</f>
        <v>41.483086648345392</v>
      </c>
      <c r="I320" s="224">
        <f ca="1">+C320*Catalogo!$F$19+EV!D320*Catalogo!$F$14+EV!E320*Catalogo!$F$16+EV!F320*Catalogo!$F$18</f>
        <v>6560106.7939199992</v>
      </c>
      <c r="J320" s="224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0">
        <f ca="1">IF(TODAY()&gt;=$A321,SUMIFS(Tabla1[Avance_km],Tabla1[Fecha],"&lt;="&amp;EV!$A321,Tabla1[nombre_actividad],EV!C$1),NA())</f>
        <v>170.642</v>
      </c>
      <c r="D321" s="110">
        <f ca="1">IF(TODAY()&gt;=$A321,SUMIFS(Tabla1[Avance_km],Tabla1[Fecha],"&lt;="&amp;EV!$A321,Tabla1[nombre_actividad],EV!D$1),NA())</f>
        <v>165.80799999999991</v>
      </c>
      <c r="E321" s="110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0">
        <f ca="1">IF(TODAY()&gt;=$A321,SUMIFS(Tabla1[Avance_km],Tabla1[Fecha],"&lt;="&amp;EV!$A321-1,Tabla1[nombre_actividad],EV!H$1),NA())</f>
        <v>41.483086648345392</v>
      </c>
      <c r="I321" s="224">
        <f ca="1">+C321*Catalogo!$F$19+EV!D321*Catalogo!$F$14+EV!E321*Catalogo!$F$16+EV!F321*Catalogo!$F$18</f>
        <v>6578738.7939199992</v>
      </c>
      <c r="J321" s="224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0">
        <f ca="1">IF(TODAY()&gt;=$A322,SUMIFS(Tabla1[Avance_km],Tabla1[Fecha],"&lt;="&amp;EV!$A322,Tabla1[nombre_actividad],EV!C$1),NA())</f>
        <v>170.642</v>
      </c>
      <c r="D322" s="110">
        <f ca="1">IF(TODAY()&gt;=$A322,SUMIFS(Tabla1[Avance_km],Tabla1[Fecha],"&lt;="&amp;EV!$A322,Tabla1[nombre_actividad],EV!D$1),NA())</f>
        <v>165.80799999999991</v>
      </c>
      <c r="E322" s="110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0">
        <f ca="1">IF(TODAY()&gt;=$A322,SUMIFS(Tabla1[Avance_km],Tabla1[Fecha],"&lt;="&amp;EV!$A322-1,Tabla1[nombre_actividad],EV!H$1),NA())</f>
        <v>41.483086648345392</v>
      </c>
      <c r="I322" s="224">
        <f ca="1">+C322*Catalogo!$F$19+EV!D322*Catalogo!$F$14+EV!E322*Catalogo!$F$16+EV!F322*Catalogo!$F$18</f>
        <v>6578738.7939199992</v>
      </c>
      <c r="J322" s="224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0">
        <f ca="1">IF(TODAY()&gt;=$A323,SUMIFS(Tabla1[Avance_km],Tabla1[Fecha],"&lt;="&amp;EV!$A323,Tabla1[nombre_actividad],EV!C$1),NA())</f>
        <v>170.642</v>
      </c>
      <c r="D323" s="110">
        <f ca="1">IF(TODAY()&gt;=$A323,SUMIFS(Tabla1[Avance_km],Tabla1[Fecha],"&lt;="&amp;EV!$A323,Tabla1[nombre_actividad],EV!D$1),NA())</f>
        <v>165.80799999999991</v>
      </c>
      <c r="E323" s="110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0">
        <f ca="1">IF(TODAY()&gt;=$A323,SUMIFS(Tabla1[Avance_km],Tabla1[Fecha],"&lt;="&amp;EV!$A323-1,Tabla1[nombre_actividad],EV!H$1),NA())</f>
        <v>44.555907881556159</v>
      </c>
      <c r="I323" s="224">
        <f ca="1">+C323*Catalogo!$F$19+EV!D323*Catalogo!$F$14+EV!E323*Catalogo!$F$16+EV!F323*Catalogo!$F$18</f>
        <v>6578738.7939199992</v>
      </c>
      <c r="J323" s="224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0">
        <f ca="1">IF(TODAY()&gt;=$A324,SUMIFS(Tabla1[Avance_km],Tabla1[Fecha],"&lt;="&amp;EV!$A324,Tabla1[nombre_actividad],EV!C$1),NA())</f>
        <v>170.642</v>
      </c>
      <c r="D324" s="110">
        <f ca="1">IF(TODAY()&gt;=$A324,SUMIFS(Tabla1[Avance_km],Tabla1[Fecha],"&lt;="&amp;EV!$A324,Tabla1[nombre_actividad],EV!D$1),NA())</f>
        <v>165.80799999999991</v>
      </c>
      <c r="E324" s="110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0">
        <f ca="1">IF(TODAY()&gt;=$A324,SUMIFS(Tabla1[Avance_km],Tabla1[Fecha],"&lt;="&amp;EV!$A324-1,Tabla1[nombre_actividad],EV!H$1),NA())</f>
        <v>49.86350819346567</v>
      </c>
      <c r="I324" s="224">
        <f ca="1">+C324*Catalogo!$F$19+EV!D324*Catalogo!$F$14+EV!E324*Catalogo!$F$16+EV!F324*Catalogo!$F$18</f>
        <v>6583396.7939199992</v>
      </c>
      <c r="J324" s="224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0">
        <f ca="1">IF(TODAY()&gt;=$A325,SUMIFS(Tabla1[Avance_km],Tabla1[Fecha],"&lt;="&amp;EV!$A325,Tabla1[nombre_actividad],EV!C$1),NA())</f>
        <v>170.642</v>
      </c>
      <c r="D325" s="110">
        <f ca="1">IF(TODAY()&gt;=$A325,SUMIFS(Tabla1[Avance_km],Tabla1[Fecha],"&lt;="&amp;EV!$A325,Tabla1[nombre_actividad],EV!D$1),NA())</f>
        <v>165.80799999999991</v>
      </c>
      <c r="E325" s="110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0">
        <f ca="1">IF(TODAY()&gt;=$A325,SUMIFS(Tabla1[Avance_km],Tabla1[Fecha],"&lt;="&amp;EV!$A325-1,Tabla1[nombre_actividad],EV!H$1),NA())</f>
        <v>49.86350819346567</v>
      </c>
      <c r="I325" s="224">
        <f ca="1">+C325*Catalogo!$F$19+EV!D325*Catalogo!$F$14+EV!E325*Catalogo!$F$16+EV!F325*Catalogo!$F$18</f>
        <v>6583396.7939199992</v>
      </c>
      <c r="J325" s="224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0">
        <f ca="1">IF(TODAY()&gt;=$A326,SUMIFS(Tabla1[Avance_km],Tabla1[Fecha],"&lt;="&amp;EV!$A326,Tabla1[nombre_actividad],EV!C$1),NA())</f>
        <v>170.642</v>
      </c>
      <c r="D326" s="110">
        <f ca="1">IF(TODAY()&gt;=$A326,SUMIFS(Tabla1[Avance_km],Tabla1[Fecha],"&lt;="&amp;EV!$A326,Tabla1[nombre_actividad],EV!D$1),NA())</f>
        <v>165.80799999999991</v>
      </c>
      <c r="E326" s="110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0">
        <f ca="1">IF(TODAY()&gt;=$A326,SUMIFS(Tabla1[Avance_km],Tabla1[Fecha],"&lt;="&amp;EV!$A326-1,Tabla1[nombre_actividad],EV!H$1),NA())</f>
        <v>49.86350819346567</v>
      </c>
      <c r="I326" s="224">
        <f ca="1">+C326*Catalogo!$F$19+EV!D326*Catalogo!$F$14+EV!E326*Catalogo!$F$16+EV!F326*Catalogo!$F$18</f>
        <v>6597370.7939199992</v>
      </c>
      <c r="J326" s="224">
        <f ca="1">IF(TODAY()&gt;=$A326,SUMIFS(Tabla1[EV],Tabla1[Fecha],"&lt;="&amp;A326,Tabla1[EV],"&gt;0"),NA())</f>
        <v>9511163.3839199916</v>
      </c>
      <c r="L326" s="223"/>
    </row>
    <row r="327" spans="1:12" x14ac:dyDescent="0.25">
      <c r="A327" s="62">
        <f t="shared" si="7"/>
        <v>46287</v>
      </c>
      <c r="B327" s="62"/>
      <c r="C327" s="110">
        <f ca="1">IF(TODAY()&gt;=$A327,SUMIFS(Tabla1[Avance_km],Tabla1[Fecha],"&lt;="&amp;EV!$A327,Tabla1[nombre_actividad],EV!C$1),NA())</f>
        <v>170.642</v>
      </c>
      <c r="D327" s="110">
        <f ca="1">IF(TODAY()&gt;=$A327,SUMIFS(Tabla1[Avance_km],Tabla1[Fecha],"&lt;="&amp;EV!$A327,Tabla1[nombre_actividad],EV!D$1),NA())</f>
        <v>165.80799999999991</v>
      </c>
      <c r="E327" s="110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0">
        <f ca="1">IF(TODAY()&gt;=$A327,SUMIFS(Tabla1[Avance_km],Tabla1[Fecha],"&lt;="&amp;EV!$A327-1,Tabla1[nombre_actividad],EV!H$1),NA())</f>
        <v>49.86350819346567</v>
      </c>
      <c r="I327" s="224">
        <f ca="1">+C327*Catalogo!$F$19+EV!D327*Catalogo!$F$14+EV!E327*Catalogo!$F$16+EV!F327*Catalogo!$F$18</f>
        <v>6611344.7939199992</v>
      </c>
      <c r="J327" s="224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0">
        <f ca="1">IF(TODAY()&gt;=$A328,SUMIFS(Tabla1[Avance_km],Tabla1[Fecha],"&lt;="&amp;EV!$A328,Tabla1[nombre_actividad],EV!C$1),NA())</f>
        <v>170.642</v>
      </c>
      <c r="D328" s="110">
        <f ca="1">IF(TODAY()&gt;=$A328,SUMIFS(Tabla1[Avance_km],Tabla1[Fecha],"&lt;="&amp;EV!$A328,Tabla1[nombre_actividad],EV!D$1),NA())</f>
        <v>165.80799999999991</v>
      </c>
      <c r="E328" s="110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0">
        <f ca="1">IF(TODAY()&gt;=$A328,SUMIFS(Tabla1[Avance_km],Tabla1[Fecha],"&lt;="&amp;EV!$A328-1,Tabla1[nombre_actividad],EV!H$1),NA())</f>
        <v>49.86350819346567</v>
      </c>
      <c r="I328" s="224">
        <f ca="1">+C328*Catalogo!$F$19+EV!D328*Catalogo!$F$14+EV!E328*Catalogo!$F$16+EV!F328*Catalogo!$F$18</f>
        <v>6620660.7939199992</v>
      </c>
      <c r="J328" s="224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0">
        <f ca="1">IF(TODAY()&gt;=$A329,SUMIFS(Tabla1[Avance_km],Tabla1[Fecha],"&lt;="&amp;EV!$A329,Tabla1[nombre_actividad],EV!C$1),NA())</f>
        <v>170.642</v>
      </c>
      <c r="D329" s="110">
        <f ca="1">IF(TODAY()&gt;=$A329,SUMIFS(Tabla1[Avance_km],Tabla1[Fecha],"&lt;="&amp;EV!$A329,Tabla1[nombre_actividad],EV!D$1),NA())</f>
        <v>165.80799999999991</v>
      </c>
      <c r="E329" s="110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0">
        <f ca="1">IF(TODAY()&gt;=$A329,SUMIFS(Tabla1[Avance_km],Tabla1[Fecha],"&lt;="&amp;EV!$A329-1,Tabla1[nombre_actividad],EV!H$1),NA())</f>
        <v>49.86350819346567</v>
      </c>
      <c r="I329" s="224">
        <f ca="1">+C329*Catalogo!$F$19+EV!D329*Catalogo!$F$14+EV!E329*Catalogo!$F$16+EV!F329*Catalogo!$F$18</f>
        <v>6629976.7939199992</v>
      </c>
      <c r="J329" s="224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0">
        <f ca="1">IF(TODAY()&gt;=$A330,SUMIFS(Tabla1[Avance_km],Tabla1[Fecha],"&lt;="&amp;EV!$A330,Tabla1[nombre_actividad],EV!C$1),NA())</f>
        <v>170.642</v>
      </c>
      <c r="D330" s="110">
        <f ca="1">IF(TODAY()&gt;=$A330,SUMIFS(Tabla1[Avance_km],Tabla1[Fecha],"&lt;="&amp;EV!$A330,Tabla1[nombre_actividad],EV!D$1),NA())</f>
        <v>165.80799999999991</v>
      </c>
      <c r="E330" s="110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0">
        <f ca="1">IF(TODAY()&gt;=$A330,SUMIFS(Tabla1[Avance_km],Tabla1[Fecha],"&lt;="&amp;EV!$A330-1,Tabla1[nombre_actividad],EV!H$1),NA())</f>
        <v>49.86350819346567</v>
      </c>
      <c r="I330" s="224">
        <f ca="1">+C330*Catalogo!$F$19+EV!D330*Catalogo!$F$14+EV!E330*Catalogo!$F$16+EV!F330*Catalogo!$F$18</f>
        <v>6648608.7939199992</v>
      </c>
      <c r="J330" s="224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0">
        <f ca="1">IF(TODAY()&gt;=$A331,SUMIFS(Tabla1[Avance_km],Tabla1[Fecha],"&lt;="&amp;EV!$A331,Tabla1[nombre_actividad],EV!C$1),NA())</f>
        <v>170.642</v>
      </c>
      <c r="D331" s="110">
        <f ca="1">IF(TODAY()&gt;=$A331,SUMIFS(Tabla1[Avance_km],Tabla1[Fecha],"&lt;="&amp;EV!$A331,Tabla1[nombre_actividad],EV!D$1),NA())</f>
        <v>165.80799999999991</v>
      </c>
      <c r="E331" s="110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0">
        <f ca="1">IF(TODAY()&gt;=$A331,SUMIFS(Tabla1[Avance_km],Tabla1[Fecha],"&lt;="&amp;EV!$A331-1,Tabla1[nombre_actividad],EV!H$1),NA())</f>
        <v>49.86350819346567</v>
      </c>
      <c r="I331" s="224">
        <f ca="1">+C331*Catalogo!$F$19+EV!D331*Catalogo!$F$14+EV!E331*Catalogo!$F$16+EV!F331*Catalogo!$F$18</f>
        <v>6653266.7939199992</v>
      </c>
      <c r="J331" s="224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0">
        <f ca="1">IF(TODAY()&gt;=$A332,SUMIFS(Tabla1[Avance_km],Tabla1[Fecha],"&lt;="&amp;EV!$A332,Tabla1[nombre_actividad],EV!C$1),NA())</f>
        <v>170.642</v>
      </c>
      <c r="D332" s="110">
        <f ca="1">IF(TODAY()&gt;=$A332,SUMIFS(Tabla1[Avance_km],Tabla1[Fecha],"&lt;="&amp;EV!$A332,Tabla1[nombre_actividad],EV!D$1),NA())</f>
        <v>165.80799999999991</v>
      </c>
      <c r="E332" s="110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0">
        <f ca="1">IF(TODAY()&gt;=$A332,SUMIFS(Tabla1[Avance_km],Tabla1[Fecha],"&lt;="&amp;EV!$A332-1,Tabla1[nombre_actividad],EV!H$1),NA())</f>
        <v>49.86350819346567</v>
      </c>
      <c r="I332" s="224">
        <f ca="1">+C332*Catalogo!$F$19+EV!D332*Catalogo!$F$14+EV!E332*Catalogo!$F$16+EV!F332*Catalogo!$F$18</f>
        <v>6653266.7939199992</v>
      </c>
      <c r="J332" s="224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0">
        <f ca="1">IF(TODAY()&gt;=$A333,SUMIFS(Tabla1[Avance_km],Tabla1[Fecha],"&lt;="&amp;EV!$A333,Tabla1[nombre_actividad],EV!C$1),NA())</f>
        <v>173.642</v>
      </c>
      <c r="D333" s="110">
        <f ca="1">IF(TODAY()&gt;=$A333,SUMIFS(Tabla1[Avance_km],Tabla1[Fecha],"&lt;="&amp;EV!$A333,Tabla1[nombre_actividad],EV!D$1),NA())</f>
        <v>165.80799999999991</v>
      </c>
      <c r="E333" s="110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0">
        <f ca="1">IF(TODAY()&gt;=$A333,SUMIFS(Tabla1[Avance_km],Tabla1[Fecha],"&lt;="&amp;EV!$A333-1,Tabla1[nombre_actividad],EV!H$1),NA())</f>
        <v>49.86350819346567</v>
      </c>
      <c r="I333" s="224">
        <f ca="1">+C333*Catalogo!$F$19+EV!D333*Catalogo!$F$14+EV!E333*Catalogo!$F$16+EV!F333*Catalogo!$F$18</f>
        <v>6660039.0539199989</v>
      </c>
      <c r="J333" s="224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0">
        <f ca="1">IF(TODAY()&gt;=$A334,SUMIFS(Tabla1[Avance_km],Tabla1[Fecha],"&lt;="&amp;EV!$A334,Tabla1[nombre_actividad],EV!C$1),NA())</f>
        <v>178.292</v>
      </c>
      <c r="D334" s="110">
        <f ca="1">IF(TODAY()&gt;=$A334,SUMIFS(Tabla1[Avance_km],Tabla1[Fecha],"&lt;="&amp;EV!$A334,Tabla1[nombre_actividad],EV!D$1),NA())</f>
        <v>165.80799999999991</v>
      </c>
      <c r="E334" s="110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0">
        <f ca="1">IF(TODAY()&gt;=$A334,SUMIFS(Tabla1[Avance_km],Tabla1[Fecha],"&lt;="&amp;EV!$A334-1,Tabla1[nombre_actividad],EV!H$1),NA())</f>
        <v>49.86350819346567</v>
      </c>
      <c r="I334" s="224">
        <f ca="1">+C334*Catalogo!$F$19+EV!D334*Catalogo!$F$14+EV!E334*Catalogo!$F$16+EV!F334*Catalogo!$F$18</f>
        <v>6670536.0569199994</v>
      </c>
      <c r="J334" s="224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0">
        <f ca="1">IF(TODAY()&gt;=$A335,SUMIFS(Tabla1[Avance_km],Tabla1[Fecha],"&lt;="&amp;EV!$A335,Tabla1[nombre_actividad],EV!C$1),NA())</f>
        <v>180.261</v>
      </c>
      <c r="D335" s="110">
        <f ca="1">IF(TODAY()&gt;=$A335,SUMIFS(Tabla1[Avance_km],Tabla1[Fecha],"&lt;="&amp;EV!$A335,Tabla1[nombre_actividad],EV!D$1),NA())</f>
        <v>165.80799999999991</v>
      </c>
      <c r="E335" s="110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0">
        <f ca="1">IF(TODAY()&gt;=$A335,SUMIFS(Tabla1[Avance_km],Tabla1[Fecha],"&lt;="&amp;EV!$A335-1,Tabla1[nombre_actividad],EV!H$1),NA())</f>
        <v>54.071918798389049</v>
      </c>
      <c r="I335" s="224">
        <f ca="1">+C335*Catalogo!$F$19+EV!D335*Catalogo!$F$14+EV!E335*Catalogo!$F$16+EV!F335*Catalogo!$F$18</f>
        <v>6674980.9168999996</v>
      </c>
      <c r="J335" s="224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0">
        <f ca="1">IF(TODAY()&gt;=$A336,SUMIFS(Tabla1[Avance_km],Tabla1[Fecha],"&lt;="&amp;EV!$A336,Tabla1[nombre_actividad],EV!C$1),NA())</f>
        <v>180.261</v>
      </c>
      <c r="D336" s="110">
        <f ca="1">IF(TODAY()&gt;=$A336,SUMIFS(Tabla1[Avance_km],Tabla1[Fecha],"&lt;="&amp;EV!$A336,Tabla1[nombre_actividad],EV!D$1),NA())</f>
        <v>167.3709999999999</v>
      </c>
      <c r="E336" s="110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0">
        <f ca="1">IF(TODAY()&gt;=$A336,SUMIFS(Tabla1[Avance_km],Tabla1[Fecha],"&lt;="&amp;EV!$A336-1,Tabla1[nombre_actividad],EV!H$1),NA())</f>
        <v>54.071918798389049</v>
      </c>
      <c r="I336" s="224">
        <f ca="1">+C336*Catalogo!$F$19+EV!D336*Catalogo!$F$14+EV!E336*Catalogo!$F$16+EV!F336*Catalogo!$F$18</f>
        <v>6697677.8807299994</v>
      </c>
      <c r="J336" s="224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0">
        <f ca="1">IF(TODAY()&gt;=$A337,SUMIFS(Tabla1[Avance_km],Tabla1[Fecha],"&lt;="&amp;EV!$A337,Tabla1[nombre_actividad],EV!C$1),NA())</f>
        <v>180.261</v>
      </c>
      <c r="D337" s="110">
        <f ca="1">IF(TODAY()&gt;=$A337,SUMIFS(Tabla1[Avance_km],Tabla1[Fecha],"&lt;="&amp;EV!$A337,Tabla1[nombre_actividad],EV!D$1),NA())</f>
        <v>169.77299999999988</v>
      </c>
      <c r="E337" s="110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0">
        <f ca="1">IF(TODAY()&gt;=$A337,SUMIFS(Tabla1[Avance_km],Tabla1[Fecha],"&lt;="&amp;EV!$A337-1,Tabla1[nombre_actividad],EV!H$1),NA())</f>
        <v>56.877525868337969</v>
      </c>
      <c r="I337" s="224">
        <f ca="1">+C337*Catalogo!$F$19+EV!D337*Catalogo!$F$14+EV!E337*Catalogo!$F$16+EV!F337*Catalogo!$F$18</f>
        <v>6732558.3075499991</v>
      </c>
      <c r="J337" s="224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0">
        <f ca="1">IF(TODAY()&gt;=$A338,SUMIFS(Tabla1[Avance_km],Tabla1[Fecha],"&lt;="&amp;EV!$A338,Tabla1[nombre_actividad],EV!C$1),NA())</f>
        <v>180.261</v>
      </c>
      <c r="D338" s="110">
        <f ca="1">IF(TODAY()&gt;=$A338,SUMIFS(Tabla1[Avance_km],Tabla1[Fecha],"&lt;="&amp;EV!$A338,Tabla1[nombre_actividad],EV!D$1),NA())</f>
        <v>169.77299999999988</v>
      </c>
      <c r="E338" s="110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0">
        <f ca="1">IF(TODAY()&gt;=$A338,SUMIFS(Tabla1[Avance_km],Tabla1[Fecha],"&lt;="&amp;EV!$A338-1,Tabla1[nombre_actividad],EV!H$1),NA())</f>
        <v>59.683132938286889</v>
      </c>
      <c r="I338" s="224">
        <f ca="1">+C338*Catalogo!$F$19+EV!D338*Catalogo!$F$14+EV!E338*Catalogo!$F$16+EV!F338*Catalogo!$F$18</f>
        <v>6732558.3075499991</v>
      </c>
      <c r="J338" s="224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0">
        <f ca="1">IF(TODAY()&gt;=$A339,SUMIFS(Tabla1[Avance_km],Tabla1[Fecha],"&lt;="&amp;EV!$A339,Tabla1[nombre_actividad],EV!C$1),NA())</f>
        <v>180.261</v>
      </c>
      <c r="D339" s="110">
        <f ca="1">IF(TODAY()&gt;=$A339,SUMIFS(Tabla1[Avance_km],Tabla1[Fecha],"&lt;="&amp;EV!$A339,Tabla1[nombre_actividad],EV!D$1),NA())</f>
        <v>169.77299999999988</v>
      </c>
      <c r="E339" s="110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0">
        <f ca="1">IF(TODAY()&gt;=$A339,SUMIFS(Tabla1[Avance_km],Tabla1[Fecha],"&lt;="&amp;EV!$A339-1,Tabla1[nombre_actividad],EV!H$1),NA())</f>
        <v>59.683132938286889</v>
      </c>
      <c r="I339" s="224">
        <f ca="1">+C339*Catalogo!$F$19+EV!D339*Catalogo!$F$14+EV!E339*Catalogo!$F$16+EV!F339*Catalogo!$F$18</f>
        <v>6732558.3075499991</v>
      </c>
      <c r="J339" s="224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0">
        <f ca="1">IF(TODAY()&gt;=$A340,SUMIFS(Tabla1[Avance_km],Tabla1[Fecha],"&lt;="&amp;EV!$A340,Tabla1[nombre_actividad],EV!C$1),NA())</f>
        <v>180.261</v>
      </c>
      <c r="D340" s="110">
        <f ca="1">IF(TODAY()&gt;=$A340,SUMIFS(Tabla1[Avance_km],Tabla1[Fecha],"&lt;="&amp;EV!$A340,Tabla1[nombre_actividad],EV!D$1),NA())</f>
        <v>170.68699999999987</v>
      </c>
      <c r="E340" s="110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0">
        <f ca="1">IF(TODAY()&gt;=$A340,SUMIFS(Tabla1[Avance_km],Tabla1[Fecha],"&lt;="&amp;EV!$A340-1,Tabla1[nombre_actividad],EV!H$1),NA())</f>
        <v>59.683132938286889</v>
      </c>
      <c r="I340" s="224">
        <f ca="1">+C340*Catalogo!$F$19+EV!D340*Catalogo!$F$14+EV!E340*Catalogo!$F$16+EV!F340*Catalogo!$F$18</f>
        <v>6745830.8762899991</v>
      </c>
      <c r="J340" s="224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0">
        <f ca="1">IF(TODAY()&gt;=$A341,SUMIFS(Tabla1[Avance_km],Tabla1[Fecha],"&lt;="&amp;EV!$A341,Tabla1[nombre_actividad],EV!C$1),NA())</f>
        <v>181.53599999999997</v>
      </c>
      <c r="D341" s="110">
        <f ca="1">IF(TODAY()&gt;=$A341,SUMIFS(Tabla1[Avance_km],Tabla1[Fecha],"&lt;="&amp;EV!$A341,Tabla1[nombre_actividad],EV!D$1),NA())</f>
        <v>170.68699999999987</v>
      </c>
      <c r="E341" s="110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0">
        <f ca="1">IF(TODAY()&gt;=$A341,SUMIFS(Tabla1[Avance_km],Tabla1[Fecha],"&lt;="&amp;EV!$A341-1,Tabla1[nombre_actividad],EV!H$1),NA())</f>
        <v>59.683132938286889</v>
      </c>
      <c r="I341" s="224">
        <f ca="1">+C341*Catalogo!$F$19+EV!D341*Catalogo!$F$14+EV!E341*Catalogo!$F$16+EV!F341*Catalogo!$F$18</f>
        <v>6748709.0867899992</v>
      </c>
      <c r="J341" s="224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0">
        <f ca="1">IF(TODAY()&gt;=$A342,SUMIFS(Tabla1[Avance_km],Tabla1[Fecha],"&lt;="&amp;EV!$A342,Tabla1[nombre_actividad],EV!C$1),NA())</f>
        <v>181.78849999999997</v>
      </c>
      <c r="D342" s="110">
        <f ca="1">IF(TODAY()&gt;=$A342,SUMIFS(Tabla1[Avance_km],Tabla1[Fecha],"&lt;="&amp;EV!$A342,Tabla1[nombre_actividad],EV!D$1),NA())</f>
        <v>170.68699999999987</v>
      </c>
      <c r="E342" s="110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0">
        <f ca="1">IF(TODAY()&gt;=$A342,SUMIFS(Tabla1[Avance_km],Tabla1[Fecha],"&lt;="&amp;EV!$A342-1,Tabla1[nombre_actividad],EV!H$1),NA())</f>
        <v>59.683132938286889</v>
      </c>
      <c r="I342" s="224">
        <f ca="1">+C342*Catalogo!$F$19+EV!D342*Catalogo!$F$14+EV!E342*Catalogo!$F$16+EV!F342*Catalogo!$F$18</f>
        <v>6749279.0853399988</v>
      </c>
      <c r="J342" s="224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0">
        <f ca="1">IF(TODAY()&gt;=$A343,SUMIFS(Tabla1[Avance_km],Tabla1[Fecha],"&lt;="&amp;EV!$A343,Tabla1[nombre_actividad],EV!C$1),NA())</f>
        <v>181.88549999999998</v>
      </c>
      <c r="D343" s="110">
        <f ca="1">IF(TODAY()&gt;=$A343,SUMIFS(Tabla1[Avance_km],Tabla1[Fecha],"&lt;="&amp;EV!$A343,Tabla1[nombre_actividad],EV!D$1),NA())</f>
        <v>170.68699999999987</v>
      </c>
      <c r="E343" s="110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0">
        <f ca="1">IF(TODAY()&gt;=$A343,SUMIFS(Tabla1[Avance_km],Tabla1[Fecha],"&lt;="&amp;EV!$A343-1,Tabla1[nombre_actividad],EV!H$1),NA())</f>
        <v>59.683132938286889</v>
      </c>
      <c r="I343" s="224">
        <f ca="1">+C343*Catalogo!$F$19+EV!D343*Catalogo!$F$14+EV!E343*Catalogo!$F$16+EV!F343*Catalogo!$F$18</f>
        <v>6771519.176014998</v>
      </c>
      <c r="J343" s="224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0">
        <f ca="1">IF(TODAY()&gt;=$A344,SUMIFS(Tabla1[Avance_km],Tabla1[Fecha],"&lt;="&amp;EV!$A344,Tabla1[nombre_actividad],EV!C$1),NA())</f>
        <v>181.88549999999998</v>
      </c>
      <c r="D344" s="110">
        <f ca="1">IF(TODAY()&gt;=$A344,SUMIFS(Tabla1[Avance_km],Tabla1[Fecha],"&lt;="&amp;EV!$A344,Tabla1[nombre_actividad],EV!D$1),NA())</f>
        <v>171.42099999999985</v>
      </c>
      <c r="E344" s="110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0">
        <f ca="1">IF(TODAY()&gt;=$A344,SUMIFS(Tabla1[Avance_km],Tabla1[Fecha],"&lt;="&amp;EV!$A344-1,Tabla1[nombre_actividad],EV!H$1),NA())</f>
        <v>59.683132938286889</v>
      </c>
      <c r="I344" s="224">
        <f ca="1">+C344*Catalogo!$F$19+EV!D344*Catalogo!$F$14+EV!E344*Catalogo!$F$16+EV!F344*Catalogo!$F$18</f>
        <v>6782177.8909549983</v>
      </c>
      <c r="J344" s="224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0">
        <f ca="1">IF(TODAY()&gt;=$A345,SUMIFS(Tabla1[Avance_km],Tabla1[Fecha],"&lt;="&amp;EV!$A345,Tabla1[nombre_actividad],EV!C$1),NA())</f>
        <v>181.88549999999998</v>
      </c>
      <c r="D345" s="110">
        <f ca="1">IF(TODAY()&gt;=$A345,SUMIFS(Tabla1[Avance_km],Tabla1[Fecha],"&lt;="&amp;EV!$A345,Tabla1[nombre_actividad],EV!D$1),NA())</f>
        <v>171.42099999999985</v>
      </c>
      <c r="E345" s="110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0">
        <f ca="1">IF(TODAY()&gt;=$A345,SUMIFS(Tabla1[Avance_km],Tabla1[Fecha],"&lt;="&amp;EV!$A345-1,Tabla1[nombre_actividad],EV!H$1),NA())</f>
        <v>59.683132938286889</v>
      </c>
      <c r="I345" s="224">
        <f ca="1">+C345*Catalogo!$F$19+EV!D345*Catalogo!$F$14+EV!E345*Catalogo!$F$16+EV!F345*Catalogo!$F$18</f>
        <v>6782177.8909549983</v>
      </c>
      <c r="J345" s="224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0">
        <f ca="1">IF(TODAY()&gt;=$A346,SUMIFS(Tabla1[Avance_km],Tabla1[Fecha],"&lt;="&amp;EV!$A346,Tabla1[nombre_actividad],EV!C$1),NA())</f>
        <v>181.88549999999998</v>
      </c>
      <c r="D346" s="110">
        <f ca="1">IF(TODAY()&gt;=$A346,SUMIFS(Tabla1[Avance_km],Tabla1[Fecha],"&lt;="&amp;EV!$A346,Tabla1[nombre_actividad],EV!D$1),NA())</f>
        <v>171.42099999999985</v>
      </c>
      <c r="E346" s="110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0">
        <f ca="1">IF(TODAY()&gt;=$A346,SUMIFS(Tabla1[Avance_km],Tabla1[Fecha],"&lt;="&amp;EV!$A346-1,Tabla1[nombre_actividad],EV!H$1),NA())</f>
        <v>68.325640246840763</v>
      </c>
      <c r="I346" s="224">
        <f ca="1">+C346*Catalogo!$F$19+EV!D346*Catalogo!$F$14+EV!E346*Catalogo!$F$16+EV!F346*Catalogo!$F$18</f>
        <v>6782177.8909549983</v>
      </c>
      <c r="J346" s="224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0">
        <f ca="1">IF(TODAY()&gt;=$A347,SUMIFS(Tabla1[Avance_km],Tabla1[Fecha],"&lt;="&amp;EV!$A347,Tabla1[nombre_actividad],EV!C$1),NA())</f>
        <v>181.88549999999998</v>
      </c>
      <c r="D347" s="110">
        <f ca="1">IF(TODAY()&gt;=$A347,SUMIFS(Tabla1[Avance_km],Tabla1[Fecha],"&lt;="&amp;EV!$A347,Tabla1[nombre_actividad],EV!D$1),NA())</f>
        <v>171.42099999999985</v>
      </c>
      <c r="E347" s="110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0">
        <f ca="1">IF(TODAY()&gt;=$A347,SUMIFS(Tabla1[Avance_km],Tabla1[Fecha],"&lt;="&amp;EV!$A347-1,Tabla1[nombre_actividad],EV!H$1),NA())</f>
        <v>75.904454348188025</v>
      </c>
      <c r="I347" s="224">
        <f ca="1">+C347*Catalogo!$F$19+EV!D347*Catalogo!$F$14+EV!E347*Catalogo!$F$16+EV!F347*Catalogo!$F$18</f>
        <v>6782177.8909549983</v>
      </c>
      <c r="J347" s="224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0">
        <f ca="1">IF(TODAY()&gt;=$A348,SUMIFS(Tabla1[Avance_km],Tabla1[Fecha],"&lt;="&amp;EV!$A348,Tabla1[nombre_actividad],EV!C$1),NA())</f>
        <v>181.88549999999998</v>
      </c>
      <c r="D348" s="110">
        <f ca="1">IF(TODAY()&gt;=$A348,SUMIFS(Tabla1[Avance_km],Tabla1[Fecha],"&lt;="&amp;EV!$A348,Tabla1[nombre_actividad],EV!D$1),NA())</f>
        <v>172.30449999999985</v>
      </c>
      <c r="E348" s="110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0">
        <f ca="1">IF(TODAY()&gt;=$A348,SUMIFS(Tabla1[Avance_km],Tabla1[Fecha],"&lt;="&amp;EV!$A348-1,Tabla1[nombre_actividad],EV!H$1),NA())</f>
        <v>86.275463118452663</v>
      </c>
      <c r="I348" s="224">
        <f ca="1">+C348*Catalogo!$F$19+EV!D348*Catalogo!$F$14+EV!E348*Catalogo!$F$16+EV!F348*Catalogo!$F$18</f>
        <v>6795007.5566899981</v>
      </c>
      <c r="J348" s="224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0">
        <f ca="1">IF(TODAY()&gt;=$A349,SUMIFS(Tabla1[Avance_km],Tabla1[Fecha],"&lt;="&amp;EV!$A349,Tabla1[nombre_actividad],EV!C$1),NA())</f>
        <v>181.88549999999998</v>
      </c>
      <c r="D349" s="110">
        <f ca="1">IF(TODAY()&gt;=$A349,SUMIFS(Tabla1[Avance_km],Tabla1[Fecha],"&lt;="&amp;EV!$A349,Tabla1[nombre_actividad],EV!D$1),NA())</f>
        <v>173.53649999999988</v>
      </c>
      <c r="E349" s="110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0">
        <f ca="1">IF(TODAY()&gt;=$A349,SUMIFS(Tabla1[Avance_km],Tabla1[Fecha],"&lt;="&amp;EV!$A349-1,Tabla1[nombre_actividad],EV!H$1),NA())</f>
        <v>86.275463118452663</v>
      </c>
      <c r="I349" s="224">
        <f ca="1">+C349*Catalogo!$F$19+EV!D349*Catalogo!$F$14+EV!E349*Catalogo!$F$16+EV!F349*Catalogo!$F$18</f>
        <v>6812897.9338099984</v>
      </c>
      <c r="J349" s="224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0">
        <f ca="1">IF(TODAY()&gt;=$A350,SUMIFS(Tabla1[Avance_km],Tabla1[Fecha],"&lt;="&amp;EV!$A350,Tabla1[nombre_actividad],EV!C$1),NA())</f>
        <v>181.88549999999998</v>
      </c>
      <c r="D350" s="110">
        <f ca="1">IF(TODAY()&gt;=$A350,SUMIFS(Tabla1[Avance_km],Tabla1[Fecha],"&lt;="&amp;EV!$A350,Tabla1[nombre_actividad],EV!D$1),NA())</f>
        <v>176.22249999999988</v>
      </c>
      <c r="E350" s="110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0">
        <f ca="1">IF(TODAY()&gt;=$A350,SUMIFS(Tabla1[Avance_km],Tabla1[Fecha],"&lt;="&amp;EV!$A350-1,Tabla1[nombre_actividad],EV!H$1),NA())</f>
        <v>86.275463118452663</v>
      </c>
      <c r="I350" s="224">
        <f ca="1">+C350*Catalogo!$F$19+EV!D350*Catalogo!$F$14+EV!E350*Catalogo!$F$16+EV!F350*Catalogo!$F$18</f>
        <v>6851902.4410699988</v>
      </c>
      <c r="J350" s="224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0">
        <f ca="1">IF(TODAY()&gt;=$A351,SUMIFS(Tabla1[Avance_km],Tabla1[Fecha],"&lt;="&amp;EV!$A351,Tabla1[nombre_actividad],EV!C$1),NA())</f>
        <v>181.88549999999998</v>
      </c>
      <c r="D351" s="110">
        <f ca="1">IF(TODAY()&gt;=$A351,SUMIFS(Tabla1[Avance_km],Tabla1[Fecha],"&lt;="&amp;EV!$A351,Tabla1[nombre_actividad],EV!D$1),NA())</f>
        <v>179.01449999999988</v>
      </c>
      <c r="E351" s="110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0">
        <f ca="1">IF(TODAY()&gt;=$A351,SUMIFS(Tabla1[Avance_km],Tabla1[Fecha],"&lt;="&amp;EV!$A351-1,Tabla1[nombre_actividad],EV!H$1),NA())</f>
        <v>86.275463118452663</v>
      </c>
      <c r="I351" s="224">
        <f ca="1">+C351*Catalogo!$F$19+EV!D351*Catalogo!$F$14+EV!E351*Catalogo!$F$16+EV!F351*Catalogo!$F$18</f>
        <v>6892446.2177899983</v>
      </c>
      <c r="J351" s="224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0">
        <f ca="1">IF(TODAY()&gt;=$A352,SUMIFS(Tabla1[Avance_km],Tabla1[Fecha],"&lt;="&amp;EV!$A352,Tabla1[nombre_actividad],EV!C$1),NA())</f>
        <v>181.88549999999998</v>
      </c>
      <c r="D352" s="110">
        <f ca="1">IF(TODAY()&gt;=$A352,SUMIFS(Tabla1[Avance_km],Tabla1[Fecha],"&lt;="&amp;EV!$A352,Tabla1[nombre_actividad],EV!D$1),NA())</f>
        <v>180.42549999999989</v>
      </c>
      <c r="E352" s="110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0">
        <f ca="1">IF(TODAY()&gt;=$A352,SUMIFS(Tabla1[Avance_km],Tabla1[Fecha],"&lt;="&amp;EV!$A352-1,Tabla1[nombre_actividad],EV!H$1),NA())</f>
        <v>86.275463118452663</v>
      </c>
      <c r="I352" s="224">
        <f ca="1">+C352*Catalogo!$F$19+EV!D352*Catalogo!$F$14+EV!E352*Catalogo!$F$16+EV!F352*Catalogo!$F$18</f>
        <v>6912935.9272999987</v>
      </c>
      <c r="J352" s="224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0">
        <f ca="1">IF(TODAY()&gt;=$A353,SUMIFS(Tabla1[Avance_km],Tabla1[Fecha],"&lt;="&amp;EV!$A353,Tabla1[nombre_actividad],EV!C$1),NA())</f>
        <v>181.88549999999998</v>
      </c>
      <c r="D353" s="110">
        <f ca="1">IF(TODAY()&gt;=$A353,SUMIFS(Tabla1[Avance_km],Tabla1[Fecha],"&lt;="&amp;EV!$A353,Tabla1[nombre_actividad],EV!D$1),NA())</f>
        <v>180.42549999999989</v>
      </c>
      <c r="E353" s="110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0">
        <f ca="1">IF(TODAY()&gt;=$A353,SUMIFS(Tabla1[Avance_km],Tabla1[Fecha],"&lt;="&amp;EV!$A353-1,Tabla1[nombre_actividad],EV!H$1),NA())</f>
        <v>86.275463118452663</v>
      </c>
      <c r="I353" s="224">
        <f ca="1">+C353*Catalogo!$F$19+EV!D353*Catalogo!$F$14+EV!E353*Catalogo!$F$16+EV!F353*Catalogo!$F$18</f>
        <v>6912935.9272999987</v>
      </c>
      <c r="J353" s="224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0">
        <f ca="1">IF(TODAY()&gt;=$A354,SUMIFS(Tabla1[Avance_km],Tabla1[Fecha],"&lt;="&amp;EV!$A354,Tabla1[nombre_actividad],EV!C$1),NA())</f>
        <v>181.88549999999998</v>
      </c>
      <c r="D354" s="110">
        <f ca="1">IF(TODAY()&gt;=$A354,SUMIFS(Tabla1[Avance_km],Tabla1[Fecha],"&lt;="&amp;EV!$A354,Tabla1[nombre_actividad],EV!D$1),NA())</f>
        <v>180.42549999999989</v>
      </c>
      <c r="E354" s="110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0">
        <f ca="1">IF(TODAY()&gt;=$A354,SUMIFS(Tabla1[Avance_km],Tabla1[Fecha],"&lt;="&amp;EV!$A354-1,Tabla1[nombre_actividad],EV!H$1),NA())</f>
        <v>86.275463118452663</v>
      </c>
      <c r="I354" s="224">
        <f ca="1">+C354*Catalogo!$F$19+EV!D354*Catalogo!$F$14+EV!E354*Catalogo!$F$16+EV!F354*Catalogo!$F$18</f>
        <v>6912935.9272999987</v>
      </c>
      <c r="J354" s="224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0">
        <f ca="1">IF(TODAY()&gt;=$A355,SUMIFS(Tabla1[Avance_km],Tabla1[Fecha],"&lt;="&amp;EV!$A355,Tabla1[nombre_actividad],EV!C$1),NA())</f>
        <v>181.88549999999998</v>
      </c>
      <c r="D355" s="110">
        <f ca="1">IF(TODAY()&gt;=$A355,SUMIFS(Tabla1[Avance_km],Tabla1[Fecha],"&lt;="&amp;EV!$A355,Tabla1[nombre_actividad],EV!D$1),NA())</f>
        <v>180.42549999999989</v>
      </c>
      <c r="E355" s="110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0">
        <f ca="1">IF(TODAY()&gt;=$A355,SUMIFS(Tabla1[Avance_km],Tabla1[Fecha],"&lt;="&amp;EV!$A355-1,Tabla1[nombre_actividad],EV!H$1),NA())</f>
        <v>89.593444351312982</v>
      </c>
      <c r="I355" s="224">
        <f ca="1">+C355*Catalogo!$F$19+EV!D355*Catalogo!$F$14+EV!E355*Catalogo!$F$16+EV!F355*Catalogo!$F$18</f>
        <v>6912935.9272999987</v>
      </c>
      <c r="J355" s="224">
        <f ca="1">IF(TODAY()&gt;=$A355,SUMIFS(Tabla1[EV],Tabla1[Fecha],"&lt;="&amp;A355,Tabla1[EV],"&gt;0"),NA())</f>
        <v>10886644.457299985</v>
      </c>
      <c r="L355"/>
    </row>
    <row r="356" spans="1:12" x14ac:dyDescent="0.25">
      <c r="A356" s="62">
        <f t="shared" si="7"/>
        <v>46316</v>
      </c>
      <c r="B356" s="62"/>
      <c r="C356" s="110">
        <f ca="1">IF(TODAY()&gt;=$A356,SUMIFS(Tabla1[Avance_km],Tabla1[Fecha],"&lt;="&amp;EV!$A356,Tabla1[nombre_actividad],EV!C$1),NA())</f>
        <v>181.88549999999998</v>
      </c>
      <c r="D356" s="110">
        <f ca="1">IF(TODAY()&gt;=$A356,SUMIFS(Tabla1[Avance_km],Tabla1[Fecha],"&lt;="&amp;EV!$A356,Tabla1[nombre_actividad],EV!D$1),NA())</f>
        <v>180.42549999999989</v>
      </c>
      <c r="E356" s="110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0">
        <f ca="1">IF(TODAY()&gt;=$A356,SUMIFS(Tabla1[Avance_km],Tabla1[Fecha],"&lt;="&amp;EV!$A356-1,Tabla1[nombre_actividad],EV!H$1),NA())</f>
        <v>96.450605565890939</v>
      </c>
      <c r="I356" s="224">
        <f ca="1">+C356*Catalogo!$F$19+EV!D356*Catalogo!$F$14+EV!E356*Catalogo!$F$16+EV!F356*Catalogo!$F$18</f>
        <v>6912935.9272999987</v>
      </c>
      <c r="J356" s="224">
        <f ca="1">IF(TODAY()&gt;=$A356,SUMIFS(Tabla1[EV],Tabla1[Fecha],"&lt;="&amp;A356,Tabla1[EV],"&gt;0"),NA())</f>
        <v>10944206.857299985</v>
      </c>
      <c r="L356"/>
    </row>
    <row r="357" spans="1:12" x14ac:dyDescent="0.25">
      <c r="A357" s="62">
        <f t="shared" si="7"/>
        <v>46317</v>
      </c>
      <c r="B357" s="62"/>
      <c r="C357" s="110">
        <f ca="1">IF(TODAY()&gt;=$A357,SUMIFS(Tabla1[Avance_km],Tabla1[Fecha],"&lt;="&amp;EV!$A357,Tabla1[nombre_actividad],EV!C$1),NA())</f>
        <v>181.88549999999998</v>
      </c>
      <c r="D357" s="110">
        <f ca="1">IF(TODAY()&gt;=$A357,SUMIFS(Tabla1[Avance_km],Tabla1[Fecha],"&lt;="&amp;EV!$A357,Tabla1[nombre_actividad],EV!D$1),NA())</f>
        <v>180.42549999999989</v>
      </c>
      <c r="E357" s="110">
        <f ca="1">IF(TODAY()&gt;=$A357,SUMIFS(Tabla1[Avance_km],Tabla1[Fecha],"&lt;="&amp;EV!$A357,Tabla1[nombre_actividad],EV!E$1,Tabla1[Avance_km],"&gt;0"),NA())</f>
        <v>150.32450000000006</v>
      </c>
      <c r="F357" s="67">
        <f ca="1">IF(TODAY()&gt;=$A357,SUMIFS(Tabla1[Avance_Med],Tabla1[Fecha],"&lt;="&amp;EV!$A357,Tabla1[nombre_actividad],EV!F$1),NA())</f>
        <v>396</v>
      </c>
      <c r="G357" s="67"/>
      <c r="H357" s="110">
        <f ca="1">IF(TODAY()&gt;=$A357,SUMIFS(Tabla1[Avance_km],Tabla1[Fecha],"&lt;="&amp;EV!$A357-1,Tabla1[nombre_actividad],EV!H$1),NA())</f>
        <v>100.65338179418067</v>
      </c>
      <c r="I357" s="224">
        <f ca="1">+C357*Catalogo!$F$19+EV!D357*Catalogo!$F$14+EV!E357*Catalogo!$F$16+EV!F357*Catalogo!$F$18</f>
        <v>6912935.9272999987</v>
      </c>
      <c r="J357" s="224">
        <f ca="1">IF(TODAY()&gt;=$A357,SUMIFS(Tabla1[EV],Tabla1[Fecha],"&lt;="&amp;A357,Tabla1[EV],"&gt;0"),NA())</f>
        <v>11085039.387299985</v>
      </c>
      <c r="L357"/>
    </row>
    <row r="358" spans="1:12" x14ac:dyDescent="0.25">
      <c r="A358" s="62">
        <f t="shared" si="7"/>
        <v>46318</v>
      </c>
      <c r="B358" s="62"/>
      <c r="C358" s="110">
        <f ca="1">IF(TODAY()&gt;=$A358,SUMIFS(Tabla1[Avance_km],Tabla1[Fecha],"&lt;="&amp;EV!$A358,Tabla1[nombre_actividad],EV!C$1),NA())</f>
        <v>181.88549999999998</v>
      </c>
      <c r="D358" s="110">
        <f ca="1">IF(TODAY()&gt;=$A358,SUMIFS(Tabla1[Avance_km],Tabla1[Fecha],"&lt;="&amp;EV!$A358,Tabla1[nombre_actividad],EV!D$1),NA())</f>
        <v>180.42549999999989</v>
      </c>
      <c r="E358" s="110">
        <f ca="1">IF(TODAY()&gt;=$A358,SUMIFS(Tabla1[Avance_km],Tabla1[Fecha],"&lt;="&amp;EV!$A358,Tabla1[nombre_actividad],EV!E$1,Tabla1[Avance_km],"&gt;0"),NA())</f>
        <v>150.32450000000006</v>
      </c>
      <c r="F358" s="67">
        <f ca="1">IF(TODAY()&gt;=$A358,SUMIFS(Tabla1[Avance_Med],Tabla1[Fecha],"&lt;="&amp;EV!$A358,Tabla1[nombre_actividad],EV!F$1),NA())</f>
        <v>396</v>
      </c>
      <c r="G358" s="67"/>
      <c r="H358" s="110">
        <f ca="1">IF(TODAY()&gt;=$A358,SUMIFS(Tabla1[Avance_km],Tabla1[Fecha],"&lt;="&amp;EV!$A358-1,Tabla1[nombre_actividad],EV!H$1),NA())</f>
        <v>109.50133174847481</v>
      </c>
      <c r="I358" s="224">
        <f ca="1">+C358*Catalogo!$F$19+EV!D358*Catalogo!$F$14+EV!E358*Catalogo!$F$16+EV!F358*Catalogo!$F$18</f>
        <v>6912935.9272999987</v>
      </c>
      <c r="J358" s="224">
        <f ca="1">IF(TODAY()&gt;=$A358,SUMIFS(Tabla1[EV],Tabla1[Fecha],"&lt;="&amp;A358,Tabla1[EV],"&gt;0"),NA())</f>
        <v>11212282.587299984</v>
      </c>
      <c r="L358"/>
    </row>
    <row r="359" spans="1:12" x14ac:dyDescent="0.25">
      <c r="A359" s="62">
        <f t="shared" si="7"/>
        <v>46319</v>
      </c>
      <c r="B359" s="62"/>
      <c r="C359" s="110">
        <f ca="1">IF(TODAY()&gt;=$A359,SUMIFS(Tabla1[Avance_km],Tabla1[Fecha],"&lt;="&amp;EV!$A359,Tabla1[nombre_actividad],EV!C$1),NA())</f>
        <v>183.38549999999998</v>
      </c>
      <c r="D359" s="110">
        <f ca="1">IF(TODAY()&gt;=$A359,SUMIFS(Tabla1[Avance_km],Tabla1[Fecha],"&lt;="&amp;EV!$A359,Tabla1[nombre_actividad],EV!D$1),NA())</f>
        <v>180.42549999999989</v>
      </c>
      <c r="E359" s="110">
        <f ca="1">IF(TODAY()&gt;=$A359,SUMIFS(Tabla1[Avance_km],Tabla1[Fecha],"&lt;="&amp;EV!$A359,Tabla1[nombre_actividad],EV!E$1,Tabla1[Avance_km],"&gt;0"),NA())</f>
        <v>150.32450000000006</v>
      </c>
      <c r="F359" s="67">
        <f ca="1">IF(TODAY()&gt;=$A359,SUMIFS(Tabla1[Avance_Med],Tabla1[Fecha],"&lt;="&amp;EV!$A359,Tabla1[nombre_actividad],EV!F$1),NA())</f>
        <v>396</v>
      </c>
      <c r="G359" s="67"/>
      <c r="H359" s="110">
        <f ca="1">IF(TODAY()&gt;=$A359,SUMIFS(Tabla1[Avance_km],Tabla1[Fecha],"&lt;="&amp;EV!$A359-1,Tabla1[nombre_actividad],EV!H$1),NA())</f>
        <v>118.7916792004837</v>
      </c>
      <c r="I359" s="224">
        <f ca="1">+C359*Catalogo!$F$19+EV!D359*Catalogo!$F$14+EV!E359*Catalogo!$F$16+EV!F359*Catalogo!$F$18</f>
        <v>6916322.0572999986</v>
      </c>
      <c r="J359" s="224">
        <f ca="1">IF(TODAY()&gt;=$A359,SUMIFS(Tabla1[EV],Tabla1[Fecha],"&lt;="&amp;A359,Tabla1[EV],"&gt;0"),NA())</f>
        <v>11215668.717299985</v>
      </c>
      <c r="L359"/>
    </row>
    <row r="360" spans="1:12" x14ac:dyDescent="0.25">
      <c r="A360" s="62">
        <f t="shared" si="7"/>
        <v>46320</v>
      </c>
      <c r="B360" s="62"/>
      <c r="C360" s="110">
        <f ca="1">IF(TODAY()&gt;=$A360,SUMIFS(Tabla1[Avance_km],Tabla1[Fecha],"&lt;="&amp;EV!$A360,Tabla1[nombre_actividad],EV!C$1),NA())</f>
        <v>183.38549999999998</v>
      </c>
      <c r="D360" s="110">
        <f ca="1">IF(TODAY()&gt;=$A360,SUMIFS(Tabla1[Avance_km],Tabla1[Fecha],"&lt;="&amp;EV!$A360,Tabla1[nombre_actividad],EV!D$1),NA())</f>
        <v>180.42549999999989</v>
      </c>
      <c r="E360" s="110">
        <f ca="1">IF(TODAY()&gt;=$A360,SUMIFS(Tabla1[Avance_km],Tabla1[Fecha],"&lt;="&amp;EV!$A360,Tabla1[nombre_actividad],EV!E$1,Tabla1[Avance_km],"&gt;0"),NA())</f>
        <v>150.32450000000006</v>
      </c>
      <c r="F360" s="67">
        <f ca="1">IF(TODAY()&gt;=$A360,SUMIFS(Tabla1[Avance_Med],Tabla1[Fecha],"&lt;="&amp;EV!$A360,Tabla1[nombre_actividad],EV!F$1),NA())</f>
        <v>396</v>
      </c>
      <c r="G360" s="67"/>
      <c r="H360" s="110">
        <f ca="1">IF(TODAY()&gt;=$A360,SUMIFS(Tabla1[Avance_km],Tabla1[Fecha],"&lt;="&amp;EV!$A360-1,Tabla1[nombre_actividad],EV!H$1),NA())</f>
        <v>118.7916792004837</v>
      </c>
      <c r="I360" s="224">
        <f ca="1">+C360*Catalogo!$F$19+EV!D360*Catalogo!$F$14+EV!E360*Catalogo!$F$16+EV!F360*Catalogo!$F$18</f>
        <v>6916322.0572999986</v>
      </c>
      <c r="J360" s="224">
        <f ca="1">IF(TODAY()&gt;=$A360,SUMIFS(Tabla1[EV],Tabla1[Fecha],"&lt;="&amp;A360,Tabla1[EV],"&gt;0"),NA())</f>
        <v>11215668.717299985</v>
      </c>
      <c r="L360"/>
    </row>
    <row r="361" spans="1:12" x14ac:dyDescent="0.25">
      <c r="A361" s="62">
        <f t="shared" si="7"/>
        <v>46321</v>
      </c>
      <c r="B361" s="62"/>
      <c r="C361" s="110">
        <f ca="1">IF(TODAY()&gt;=$A361,SUMIFS(Tabla1[Avance_km],Tabla1[Fecha],"&lt;="&amp;EV!$A361,Tabla1[nombre_actividad],EV!C$1),NA())</f>
        <v>185.66649999999998</v>
      </c>
      <c r="D361" s="110">
        <f ca="1">IF(TODAY()&gt;=$A361,SUMIFS(Tabla1[Avance_km],Tabla1[Fecha],"&lt;="&amp;EV!$A361,Tabla1[nombre_actividad],EV!D$1),NA())</f>
        <v>180.42549999999989</v>
      </c>
      <c r="E361" s="110">
        <f ca="1">IF(TODAY()&gt;=$A361,SUMIFS(Tabla1[Avance_km],Tabla1[Fecha],"&lt;="&amp;EV!$A361,Tabla1[nombre_actividad],EV!E$1,Tabla1[Avance_km],"&gt;0"),NA())</f>
        <v>150.32450000000006</v>
      </c>
      <c r="F361" s="67">
        <f ca="1">IF(TODAY()&gt;=$A361,SUMIFS(Tabla1[Avance_Med],Tabla1[Fecha],"&lt;="&amp;EV!$A361,Tabla1[nombre_actividad],EV!F$1),NA())</f>
        <v>396</v>
      </c>
      <c r="G361" s="67"/>
      <c r="H361" s="110">
        <f ca="1">IF(TODAY()&gt;=$A361,SUMIFS(Tabla1[Avance_km],Tabla1[Fecha],"&lt;="&amp;EV!$A361-1,Tabla1[nombre_actividad],EV!H$1),NA())</f>
        <v>118.7916792004837</v>
      </c>
      <c r="I361" s="224">
        <f ca="1">+C361*Catalogo!$F$19+EV!D361*Catalogo!$F$14+EV!E361*Catalogo!$F$16+EV!F361*Catalogo!$F$18</f>
        <v>6921471.2323199986</v>
      </c>
      <c r="J361" s="224">
        <f ca="1">IF(TODAY()&gt;=$A361,SUMIFS(Tabla1[EV],Tabla1[Fecha],"&lt;="&amp;A361,Tabla1[EV],"&gt;0"),NA())</f>
        <v>11220817.892319985</v>
      </c>
      <c r="L361"/>
    </row>
    <row r="362" spans="1:12" x14ac:dyDescent="0.25">
      <c r="A362" s="62">
        <f t="shared" si="7"/>
        <v>46322</v>
      </c>
      <c r="B362" s="62"/>
      <c r="C362" s="110">
        <f ca="1">IF(TODAY()&gt;=$A362,SUMIFS(Tabla1[Avance_km],Tabla1[Fecha],"&lt;="&amp;EV!$A362,Tabla1[nombre_actividad],EV!C$1),NA())</f>
        <v>185.66649999999998</v>
      </c>
      <c r="D362" s="110">
        <f ca="1">IF(TODAY()&gt;=$A362,SUMIFS(Tabla1[Avance_km],Tabla1[Fecha],"&lt;="&amp;EV!$A362,Tabla1[nombre_actividad],EV!D$1),NA())</f>
        <v>182.43749999999989</v>
      </c>
      <c r="E362" s="110">
        <f ca="1">IF(TODAY()&gt;=$A362,SUMIFS(Tabla1[Avance_km],Tabla1[Fecha],"&lt;="&amp;EV!$A362,Tabla1[nombre_actividad],EV!E$1,Tabla1[Avance_km],"&gt;0"),NA())</f>
        <v>150.32450000000006</v>
      </c>
      <c r="F362" s="67">
        <f ca="1">IF(TODAY()&gt;=$A362,SUMIFS(Tabla1[Avance_Med],Tabla1[Fecha],"&lt;="&amp;EV!$A362,Tabla1[nombre_actividad],EV!F$1),NA())</f>
        <v>396</v>
      </c>
      <c r="G362" s="67"/>
      <c r="H362" s="110">
        <f ca="1">IF(TODAY()&gt;=$A362,SUMIFS(Tabla1[Avance_km],Tabla1[Fecha],"&lt;="&amp;EV!$A362-1,Tabla1[nombre_actividad],EV!H$1),NA())</f>
        <v>118.7916792004837</v>
      </c>
      <c r="I362" s="224">
        <f ca="1">+C362*Catalogo!$F$19+EV!D362*Catalogo!$F$14+EV!E362*Catalogo!$F$16+EV!F362*Catalogo!$F$18</f>
        <v>6950688.3092399994</v>
      </c>
      <c r="J362" s="224">
        <f ca="1">IF(TODAY()&gt;=$A362,SUMIFS(Tabla1[EV],Tabla1[Fecha],"&lt;="&amp;A362,Tabla1[EV],"&gt;0"),NA())</f>
        <v>11250034.969239984</v>
      </c>
      <c r="L362"/>
    </row>
    <row r="363" spans="1:12" x14ac:dyDescent="0.25">
      <c r="A363" s="62">
        <f t="shared" si="7"/>
        <v>46323</v>
      </c>
      <c r="B363" s="62"/>
      <c r="C363" s="110">
        <f ca="1">IF(TODAY()&gt;=$A363,SUMIFS(Tabla1[Avance_km],Tabla1[Fecha],"&lt;="&amp;EV!$A363,Tabla1[nombre_actividad],EV!C$1),NA())</f>
        <v>186.66649999999998</v>
      </c>
      <c r="D363" s="110">
        <f ca="1">IF(TODAY()&gt;=$A363,SUMIFS(Tabla1[Avance_km],Tabla1[Fecha],"&lt;="&amp;EV!$A363,Tabla1[nombre_actividad],EV!D$1),NA())</f>
        <v>182.43749999999989</v>
      </c>
      <c r="E363" s="110">
        <f ca="1">IF(TODAY()&gt;=$A363,SUMIFS(Tabla1[Avance_km],Tabla1[Fecha],"&lt;="&amp;EV!$A363,Tabla1[nombre_actividad],EV!E$1,Tabla1[Avance_km],"&gt;0"),NA())</f>
        <v>150.32450000000006</v>
      </c>
      <c r="F363" s="67">
        <f ca="1">IF(TODAY()&gt;=$A363,SUMIFS(Tabla1[Avance_Med],Tabla1[Fecha],"&lt;="&amp;EV!$A363,Tabla1[nombre_actividad],EV!F$1),NA())</f>
        <v>396</v>
      </c>
      <c r="G363" s="67"/>
      <c r="H363" s="110">
        <f ca="1">IF(TODAY()&gt;=$A363,SUMIFS(Tabla1[Avance_km],Tabla1[Fecha],"&lt;="&amp;EV!$A363-1,Tabla1[nombre_actividad],EV!H$1),NA())</f>
        <v>118.7916792004837</v>
      </c>
      <c r="I363" s="224">
        <f ca="1">+C363*Catalogo!$F$19+EV!D363*Catalogo!$F$14+EV!E363*Catalogo!$F$16+EV!F363*Catalogo!$F$18</f>
        <v>6952945.7292399993</v>
      </c>
      <c r="J363" s="224">
        <f ca="1">IF(TODAY()&gt;=$A363,SUMIFS(Tabla1[EV],Tabla1[Fecha],"&lt;="&amp;A363,Tabla1[EV],"&gt;0"),NA())</f>
        <v>11252292.389239984</v>
      </c>
      <c r="L363"/>
    </row>
    <row r="364" spans="1:12" x14ac:dyDescent="0.25">
      <c r="A364" s="62">
        <f t="shared" si="7"/>
        <v>46324</v>
      </c>
      <c r="B364" s="62"/>
      <c r="C364" s="110" t="e">
        <f ca="1">IF(TODAY()&gt;=$A364,SUMIFS(Tabla1[Avance_km],Tabla1[Fecha],"&lt;="&amp;EV!$A364,Tabla1[nombre_actividad],EV!C$1),NA())</f>
        <v>#N/A</v>
      </c>
      <c r="D364" s="110" t="e">
        <f ca="1">IF(TODAY()&gt;=$A364,SUMIFS(Tabla1[Avance_km],Tabla1[Fecha],"&lt;="&amp;EV!$A364,Tabla1[nombre_actividad],EV!D$1),NA())</f>
        <v>#N/A</v>
      </c>
      <c r="E364" s="110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0" t="e">
        <f ca="1">IF(TODAY()&gt;=$A364,SUMIFS(Tabla1[Avance_km],Tabla1[Fecha],"&lt;="&amp;EV!$A364-1,Tabla1[nombre_actividad],EV!H$1),NA())</f>
        <v>#N/A</v>
      </c>
      <c r="I364" s="224" t="e">
        <f ca="1">+C364*Catalogo!$F$19+EV!D364*Catalogo!$F$14+EV!E364*Catalogo!$F$16+EV!F364*Catalogo!$F$18</f>
        <v>#N/A</v>
      </c>
      <c r="J364" s="224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0" t="e">
        <f ca="1">IF(TODAY()&gt;=$A365,SUMIFS(Tabla1[Avance_km],Tabla1[Fecha],"&lt;="&amp;EV!$A365,Tabla1[nombre_actividad],EV!C$1),NA())</f>
        <v>#N/A</v>
      </c>
      <c r="D365" s="110" t="e">
        <f ca="1">IF(TODAY()&gt;=$A365,SUMIFS(Tabla1[Avance_km],Tabla1[Fecha],"&lt;="&amp;EV!$A365,Tabla1[nombre_actividad],EV!D$1),NA())</f>
        <v>#N/A</v>
      </c>
      <c r="E365" s="110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0" t="e">
        <f ca="1">IF(TODAY()&gt;=$A365,SUMIFS(Tabla1[Avance_km],Tabla1[Fecha],"&lt;="&amp;EV!$A365-1,Tabla1[nombre_actividad],EV!H$1),NA())</f>
        <v>#N/A</v>
      </c>
      <c r="I365" s="224" t="e">
        <f ca="1">+C365*Catalogo!$F$19+EV!D365*Catalogo!$F$14+EV!E365*Catalogo!$F$16+EV!F365*Catalogo!$F$18</f>
        <v>#N/A</v>
      </c>
      <c r="J365" s="224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0" t="e">
        <f ca="1">IF(TODAY()&gt;=$A366,SUMIFS(Tabla1[Avance_km],Tabla1[Fecha],"&lt;="&amp;EV!$A366,Tabla1[nombre_actividad],EV!C$1),NA())</f>
        <v>#N/A</v>
      </c>
      <c r="D366" s="110" t="e">
        <f ca="1">IF(TODAY()&gt;=$A366,SUMIFS(Tabla1[Avance_km],Tabla1[Fecha],"&lt;="&amp;EV!$A366,Tabla1[nombre_actividad],EV!D$1),NA())</f>
        <v>#N/A</v>
      </c>
      <c r="E366" s="110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0" t="e">
        <f ca="1">IF(TODAY()&gt;=$A366,SUMIFS(Tabla1[Avance_km],Tabla1[Fecha],"&lt;="&amp;EV!$A366-1,Tabla1[nombre_actividad],EV!H$1),NA())</f>
        <v>#N/A</v>
      </c>
      <c r="I366" s="224" t="e">
        <f ca="1">+C366*Catalogo!$F$19+EV!D366*Catalogo!$F$14+EV!E366*Catalogo!$F$16+EV!F366*Catalogo!$F$18</f>
        <v>#N/A</v>
      </c>
      <c r="J366" s="224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0" t="e">
        <f ca="1">IF(TODAY()&gt;=$A367,SUMIFS(Tabla1[Avance_km],Tabla1[Fecha],"&lt;="&amp;EV!$A367,Tabla1[nombre_actividad],EV!C$1),NA())</f>
        <v>#N/A</v>
      </c>
      <c r="D367" s="110" t="e">
        <f ca="1">IF(TODAY()&gt;=$A367,SUMIFS(Tabla1[Avance_km],Tabla1[Fecha],"&lt;="&amp;EV!$A367,Tabla1[nombre_actividad],EV!D$1),NA())</f>
        <v>#N/A</v>
      </c>
      <c r="E367" s="110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0" t="e">
        <f ca="1">IF(TODAY()&gt;=$A367,SUMIFS(Tabla1[Avance_km],Tabla1[Fecha],"&lt;="&amp;EV!$A367-1,Tabla1[nombre_actividad],EV!H$1),NA())</f>
        <v>#N/A</v>
      </c>
      <c r="I367" s="224" t="e">
        <f ca="1">+C367*Catalogo!$F$19+EV!D367*Catalogo!$F$14+EV!E367*Catalogo!$F$16+EV!F367*Catalogo!$F$18</f>
        <v>#N/A</v>
      </c>
      <c r="J367" s="224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0" t="e">
        <f ca="1">IF(TODAY()&gt;=$A368,SUMIFS(Tabla1[Avance_km],Tabla1[Fecha],"&lt;="&amp;EV!$A368,Tabla1[nombre_actividad],EV!C$1),NA())</f>
        <v>#N/A</v>
      </c>
      <c r="D368" s="110" t="e">
        <f ca="1">IF(TODAY()&gt;=$A368,SUMIFS(Tabla1[Avance_km],Tabla1[Fecha],"&lt;="&amp;EV!$A368,Tabla1[nombre_actividad],EV!D$1),NA())</f>
        <v>#N/A</v>
      </c>
      <c r="E368" s="110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0" t="e">
        <f ca="1">IF(TODAY()&gt;=$A368,SUMIFS(Tabla1[Avance_km],Tabla1[Fecha],"&lt;="&amp;EV!$A368-1,Tabla1[nombre_actividad],EV!H$1),NA())</f>
        <v>#N/A</v>
      </c>
      <c r="I368" s="224" t="e">
        <f ca="1">+C368*Catalogo!$F$19+EV!D368*Catalogo!$F$14+EV!E368*Catalogo!$F$16+EV!F368*Catalogo!$F$18</f>
        <v>#N/A</v>
      </c>
      <c r="J368" s="224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0" t="e">
        <f ca="1">IF(TODAY()&gt;=$A369,SUMIFS(Tabla1[Avance_km],Tabla1[Fecha],"&lt;="&amp;EV!$A369,Tabla1[nombre_actividad],EV!C$1),NA())</f>
        <v>#N/A</v>
      </c>
      <c r="D369" s="110" t="e">
        <f ca="1">IF(TODAY()&gt;=$A369,SUMIFS(Tabla1[Avance_km],Tabla1[Fecha],"&lt;="&amp;EV!$A369,Tabla1[nombre_actividad],EV!D$1),NA())</f>
        <v>#N/A</v>
      </c>
      <c r="E369" s="110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0" t="e">
        <f ca="1">IF(TODAY()&gt;=$A369,SUMIFS(Tabla1[Avance_km],Tabla1[Fecha],"&lt;="&amp;EV!$A369-1,Tabla1[nombre_actividad],EV!H$1),NA())</f>
        <v>#N/A</v>
      </c>
      <c r="I369" s="224" t="e">
        <f ca="1">+C369*Catalogo!$F$19+EV!D369*Catalogo!$F$14+EV!E369*Catalogo!$F$16+EV!F369*Catalogo!$F$18</f>
        <v>#N/A</v>
      </c>
      <c r="J369" s="224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0" t="e">
        <f ca="1">IF(TODAY()&gt;=$A370,SUMIFS(Tabla1[Avance_km],Tabla1[Fecha],"&lt;="&amp;EV!$A370,Tabla1[nombre_actividad],EV!C$1),NA())</f>
        <v>#N/A</v>
      </c>
      <c r="D370" s="110" t="e">
        <f ca="1">IF(TODAY()&gt;=$A370,SUMIFS(Tabla1[Avance_km],Tabla1[Fecha],"&lt;="&amp;EV!$A370,Tabla1[nombre_actividad],EV!D$1),NA())</f>
        <v>#N/A</v>
      </c>
      <c r="E370" s="110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0" t="e">
        <f ca="1">IF(TODAY()&gt;=$A370,SUMIFS(Tabla1[Avance_km],Tabla1[Fecha],"&lt;="&amp;EV!$A370-1,Tabla1[nombre_actividad],EV!H$1),NA())</f>
        <v>#N/A</v>
      </c>
      <c r="I370" s="224" t="e">
        <f ca="1">+C370*Catalogo!$F$19+EV!D370*Catalogo!$F$14+EV!E370*Catalogo!$F$16+EV!F370*Catalogo!$F$18</f>
        <v>#N/A</v>
      </c>
      <c r="J370" s="224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0" t="e">
        <f ca="1">IF(TODAY()&gt;=$A371,SUMIFS(Tabla1[Avance_km],Tabla1[Fecha],"&lt;="&amp;EV!$A371,Tabla1[nombre_actividad],EV!C$1),NA())</f>
        <v>#N/A</v>
      </c>
      <c r="D371" s="110" t="e">
        <f ca="1">IF(TODAY()&gt;=$A371,SUMIFS(Tabla1[Avance_km],Tabla1[Fecha],"&lt;="&amp;EV!$A371,Tabla1[nombre_actividad],EV!D$1),NA())</f>
        <v>#N/A</v>
      </c>
      <c r="E371" s="110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0" t="e">
        <f ca="1">IF(TODAY()&gt;=$A371,SUMIFS(Tabla1[Avance_km],Tabla1[Fecha],"&lt;="&amp;EV!$A371-1,Tabla1[nombre_actividad],EV!H$1),NA())</f>
        <v>#N/A</v>
      </c>
      <c r="I371" s="224" t="e">
        <f ca="1">+C371*Catalogo!$F$19+EV!D371*Catalogo!$F$14+EV!E371*Catalogo!$F$16+EV!F371*Catalogo!$F$18</f>
        <v>#N/A</v>
      </c>
      <c r="J371" s="224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0" t="e">
        <f ca="1">IF(TODAY()&gt;=$A372,SUMIFS(Tabla1[Avance_km],Tabla1[Fecha],"&lt;="&amp;EV!$A372,Tabla1[nombre_actividad],EV!C$1),NA())</f>
        <v>#N/A</v>
      </c>
      <c r="D372" s="110" t="e">
        <f ca="1">IF(TODAY()&gt;=$A372,SUMIFS(Tabla1[Avance_km],Tabla1[Fecha],"&lt;="&amp;EV!$A372,Tabla1[nombre_actividad],EV!D$1),NA())</f>
        <v>#N/A</v>
      </c>
      <c r="E372" s="110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0" t="e">
        <f ca="1">IF(TODAY()&gt;=$A372,SUMIFS(Tabla1[Avance_km],Tabla1[Fecha],"&lt;="&amp;EV!$A372-1,Tabla1[nombre_actividad],EV!H$1),NA())</f>
        <v>#N/A</v>
      </c>
      <c r="I372" s="224" t="e">
        <f ca="1">+C372*Catalogo!$F$19+EV!D372*Catalogo!$F$14+EV!E372*Catalogo!$F$16+EV!F372*Catalogo!$F$18</f>
        <v>#N/A</v>
      </c>
      <c r="J372" s="224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0" t="e">
        <f ca="1">IF(TODAY()&gt;=$A373,SUMIFS(Tabla1[Avance_km],Tabla1[Fecha],"&lt;="&amp;EV!$A373,Tabla1[nombre_actividad],EV!C$1),NA())</f>
        <v>#N/A</v>
      </c>
      <c r="D373" s="110" t="e">
        <f ca="1">IF(TODAY()&gt;=$A373,SUMIFS(Tabla1[Avance_km],Tabla1[Fecha],"&lt;="&amp;EV!$A373,Tabla1[nombre_actividad],EV!D$1),NA())</f>
        <v>#N/A</v>
      </c>
      <c r="E373" s="110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0" t="e">
        <f ca="1">IF(TODAY()&gt;=$A373,SUMIFS(Tabla1[Avance_km],Tabla1[Fecha],"&lt;="&amp;EV!$A373-1,Tabla1[nombre_actividad],EV!H$1),NA())</f>
        <v>#N/A</v>
      </c>
      <c r="I373" s="224" t="e">
        <f ca="1">+C373*Catalogo!$F$19+EV!D373*Catalogo!$F$14+EV!E373*Catalogo!$F$16+EV!F373*Catalogo!$F$18</f>
        <v>#N/A</v>
      </c>
      <c r="J373" s="224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0" t="e">
        <f ca="1">IF(TODAY()&gt;=$A374,SUMIFS(Tabla1[Avance_km],Tabla1[Fecha],"&lt;="&amp;EV!$A374,Tabla1[nombre_actividad],EV!C$1),NA())</f>
        <v>#N/A</v>
      </c>
      <c r="D374" s="110" t="e">
        <f ca="1">IF(TODAY()&gt;=$A374,SUMIFS(Tabla1[Avance_km],Tabla1[Fecha],"&lt;="&amp;EV!$A374,Tabla1[nombre_actividad],EV!D$1),NA())</f>
        <v>#N/A</v>
      </c>
      <c r="E374" s="110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0" t="e">
        <f ca="1">IF(TODAY()&gt;=$A374,SUMIFS(Tabla1[Avance_km],Tabla1[Fecha],"&lt;="&amp;EV!$A374-1,Tabla1[nombre_actividad],EV!H$1),NA())</f>
        <v>#N/A</v>
      </c>
      <c r="I374" s="224" t="e">
        <f ca="1">+C374*Catalogo!$F$19+EV!D374*Catalogo!$F$14+EV!E374*Catalogo!$F$16+EV!F374*Catalogo!$F$18</f>
        <v>#N/A</v>
      </c>
      <c r="J374" s="224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0" t="e">
        <f ca="1">IF(TODAY()&gt;=$A375,SUMIFS(Tabla1[Avance_km],Tabla1[Fecha],"&lt;="&amp;EV!$A375,Tabla1[nombre_actividad],EV!C$1),NA())</f>
        <v>#N/A</v>
      </c>
      <c r="D375" s="110" t="e">
        <f ca="1">IF(TODAY()&gt;=$A375,SUMIFS(Tabla1[Avance_km],Tabla1[Fecha],"&lt;="&amp;EV!$A375,Tabla1[nombre_actividad],EV!D$1),NA())</f>
        <v>#N/A</v>
      </c>
      <c r="E375" s="110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0" t="e">
        <f ca="1">IF(TODAY()&gt;=$A375,SUMIFS(Tabla1[Avance_km],Tabla1[Fecha],"&lt;="&amp;EV!$A375-1,Tabla1[nombre_actividad],EV!H$1),NA())</f>
        <v>#N/A</v>
      </c>
      <c r="I375" s="224" t="e">
        <f ca="1">+C375*Catalogo!$F$19+EV!D375*Catalogo!$F$14+EV!E375*Catalogo!$F$16+EV!F375*Catalogo!$F$18</f>
        <v>#N/A</v>
      </c>
      <c r="J375" s="224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0" t="e">
        <f ca="1">IF(TODAY()&gt;=$A376,SUMIFS(Tabla1[Avance_km],Tabla1[Fecha],"&lt;="&amp;EV!$A376,Tabla1[nombre_actividad],EV!C$1),NA())</f>
        <v>#N/A</v>
      </c>
      <c r="D376" s="110" t="e">
        <f ca="1">IF(TODAY()&gt;=$A376,SUMIFS(Tabla1[Avance_km],Tabla1[Fecha],"&lt;="&amp;EV!$A376,Tabla1[nombre_actividad],EV!D$1),NA())</f>
        <v>#N/A</v>
      </c>
      <c r="E376" s="110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0" t="e">
        <f ca="1">IF(TODAY()&gt;=$A376,SUMIFS(Tabla1[Avance_km],Tabla1[Fecha],"&lt;="&amp;EV!$A376-1,Tabla1[nombre_actividad],EV!H$1),NA())</f>
        <v>#N/A</v>
      </c>
      <c r="I376" s="224" t="e">
        <f ca="1">+C376*Catalogo!$F$19+EV!D376*Catalogo!$F$14+EV!E376*Catalogo!$F$16+EV!F376*Catalogo!$F$18</f>
        <v>#N/A</v>
      </c>
      <c r="J376" s="224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0" t="e">
        <f ca="1">IF(TODAY()&gt;=$A377,SUMIFS(Tabla1[Avance_km],Tabla1[Fecha],"&lt;="&amp;EV!$A377,Tabla1[nombre_actividad],EV!C$1),NA())</f>
        <v>#N/A</v>
      </c>
      <c r="D377" s="110" t="e">
        <f ca="1">IF(TODAY()&gt;=$A377,SUMIFS(Tabla1[Avance_km],Tabla1[Fecha],"&lt;="&amp;EV!$A377,Tabla1[nombre_actividad],EV!D$1),NA())</f>
        <v>#N/A</v>
      </c>
      <c r="E377" s="110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0" t="e">
        <f ca="1">IF(TODAY()&gt;=$A377,SUMIFS(Tabla1[Avance_km],Tabla1[Fecha],"&lt;="&amp;EV!$A377-1,Tabla1[nombre_actividad],EV!H$1),NA())</f>
        <v>#N/A</v>
      </c>
      <c r="I377" s="224" t="e">
        <f ca="1">+C377*Catalogo!$F$19+EV!D377*Catalogo!$F$14+EV!E377*Catalogo!$F$16+EV!F377*Catalogo!$F$18</f>
        <v>#N/A</v>
      </c>
      <c r="J377" s="224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0" t="e">
        <f ca="1">IF(TODAY()&gt;=$A378,SUMIFS(Tabla1[Avance_km],Tabla1[Fecha],"&lt;="&amp;EV!$A378,Tabla1[nombre_actividad],EV!C$1),NA())</f>
        <v>#N/A</v>
      </c>
      <c r="D378" s="110" t="e">
        <f ca="1">IF(TODAY()&gt;=$A378,SUMIFS(Tabla1[Avance_km],Tabla1[Fecha],"&lt;="&amp;EV!$A378,Tabla1[nombre_actividad],EV!D$1),NA())</f>
        <v>#N/A</v>
      </c>
      <c r="E378" s="110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0" t="e">
        <f ca="1">IF(TODAY()&gt;=$A378,SUMIFS(Tabla1[Avance_km],Tabla1[Fecha],"&lt;="&amp;EV!$A378-1,Tabla1[nombre_actividad],EV!H$1),NA())</f>
        <v>#N/A</v>
      </c>
      <c r="I378" s="224" t="e">
        <f ca="1">+C378*Catalogo!$F$19+EV!D378*Catalogo!$F$14+EV!E378*Catalogo!$F$16+EV!F378*Catalogo!$F$18</f>
        <v>#N/A</v>
      </c>
      <c r="J378" s="224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0" t="e">
        <f ca="1">IF(TODAY()&gt;=$A379,SUMIFS(Tabla1[Avance_km],Tabla1[Fecha],"&lt;="&amp;EV!$A379,Tabla1[nombre_actividad],EV!C$1),NA())</f>
        <v>#N/A</v>
      </c>
      <c r="D379" s="110" t="e">
        <f ca="1">IF(TODAY()&gt;=$A379,SUMIFS(Tabla1[Avance_km],Tabla1[Fecha],"&lt;="&amp;EV!$A379,Tabla1[nombre_actividad],EV!D$1),NA())</f>
        <v>#N/A</v>
      </c>
      <c r="E379" s="110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0" t="e">
        <f ca="1">IF(TODAY()&gt;=$A379,SUMIFS(Tabla1[Avance_km],Tabla1[Fecha],"&lt;="&amp;EV!$A379-1,Tabla1[nombre_actividad],EV!H$1),NA())</f>
        <v>#N/A</v>
      </c>
      <c r="I379" s="224" t="e">
        <f ca="1">+C379*Catalogo!$F$19+EV!D379*Catalogo!$F$14+EV!E379*Catalogo!$F$16+EV!F379*Catalogo!$F$18</f>
        <v>#N/A</v>
      </c>
      <c r="J379" s="224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0" t="e">
        <f ca="1">IF(TODAY()&gt;=$A380,SUMIFS(Tabla1[Avance_km],Tabla1[Fecha],"&lt;="&amp;EV!$A380,Tabla1[nombre_actividad],EV!C$1),NA())</f>
        <v>#N/A</v>
      </c>
      <c r="D380" s="110" t="e">
        <f ca="1">IF(TODAY()&gt;=$A380,SUMIFS(Tabla1[Avance_km],Tabla1[Fecha],"&lt;="&amp;EV!$A380,Tabla1[nombre_actividad],EV!D$1),NA())</f>
        <v>#N/A</v>
      </c>
      <c r="E380" s="110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0" t="e">
        <f ca="1">IF(TODAY()&gt;=$A380,SUMIFS(Tabla1[Avance_km],Tabla1[Fecha],"&lt;="&amp;EV!$A380-1,Tabla1[nombre_actividad],EV!H$1),NA())</f>
        <v>#N/A</v>
      </c>
      <c r="I380" s="224" t="e">
        <f ca="1">+C380*Catalogo!$F$19+EV!D380*Catalogo!$F$14+EV!E380*Catalogo!$F$16+EV!F380*Catalogo!$F$18</f>
        <v>#N/A</v>
      </c>
      <c r="J380" s="224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0" t="e">
        <f ca="1">IF(TODAY()&gt;=$A381,SUMIFS(Tabla1[Avance_km],Tabla1[Fecha],"&lt;="&amp;EV!$A381,Tabla1[nombre_actividad],EV!C$1),NA())</f>
        <v>#N/A</v>
      </c>
      <c r="D381" s="110" t="e">
        <f ca="1">IF(TODAY()&gt;=$A381,SUMIFS(Tabla1[Avance_km],Tabla1[Fecha],"&lt;="&amp;EV!$A381,Tabla1[nombre_actividad],EV!D$1),NA())</f>
        <v>#N/A</v>
      </c>
      <c r="E381" s="110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0" t="e">
        <f ca="1">IF(TODAY()&gt;=$A381,SUMIFS(Tabla1[Avance_km],Tabla1[Fecha],"&lt;="&amp;EV!$A381-1,Tabla1[nombre_actividad],EV!H$1),NA())</f>
        <v>#N/A</v>
      </c>
      <c r="I381" s="224" t="e">
        <f ca="1">+C381*Catalogo!$F$19+EV!D381*Catalogo!$F$14+EV!E381*Catalogo!$F$16+EV!F381*Catalogo!$F$18</f>
        <v>#N/A</v>
      </c>
      <c r="J381" s="224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0" t="e">
        <f ca="1">IF(TODAY()&gt;=$A382,SUMIFS(Tabla1[Avance_km],Tabla1[Fecha],"&lt;="&amp;EV!$A382,Tabla1[nombre_actividad],EV!C$1),NA())</f>
        <v>#N/A</v>
      </c>
      <c r="D382" s="110" t="e">
        <f ca="1">IF(TODAY()&gt;=$A382,SUMIFS(Tabla1[Avance_km],Tabla1[Fecha],"&lt;="&amp;EV!$A382,Tabla1[nombre_actividad],EV!D$1),NA())</f>
        <v>#N/A</v>
      </c>
      <c r="E382" s="110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0" t="e">
        <f ca="1">IF(TODAY()&gt;=$A382,SUMIFS(Tabla1[Avance_km],Tabla1[Fecha],"&lt;="&amp;EV!$A382-1,Tabla1[nombre_actividad],EV!H$1),NA())</f>
        <v>#N/A</v>
      </c>
      <c r="I382" s="224" t="e">
        <f ca="1">+C382*Catalogo!$F$19+EV!D382*Catalogo!$F$14+EV!E382*Catalogo!$F$16+EV!F382*Catalogo!$F$18</f>
        <v>#N/A</v>
      </c>
      <c r="J382" s="224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0" t="e">
        <f ca="1">IF(TODAY()&gt;=$A383,SUMIFS(Tabla1[Avance_km],Tabla1[Fecha],"&lt;="&amp;EV!$A383,Tabla1[nombre_actividad],EV!C$1),NA())</f>
        <v>#N/A</v>
      </c>
      <c r="D383" s="110" t="e">
        <f ca="1">IF(TODAY()&gt;=$A383,SUMIFS(Tabla1[Avance_km],Tabla1[Fecha],"&lt;="&amp;EV!$A383,Tabla1[nombre_actividad],EV!D$1),NA())</f>
        <v>#N/A</v>
      </c>
      <c r="E383" s="110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0" t="e">
        <f ca="1">IF(TODAY()&gt;=$A383,SUMIFS(Tabla1[Avance_km],Tabla1[Fecha],"&lt;="&amp;EV!$A383-1,Tabla1[nombre_actividad],EV!H$1),NA())</f>
        <v>#N/A</v>
      </c>
      <c r="I383" s="224" t="e">
        <f ca="1">+C383*Catalogo!$F$19+EV!D383*Catalogo!$F$14+EV!E383*Catalogo!$F$16+EV!F383*Catalogo!$F$18</f>
        <v>#N/A</v>
      </c>
      <c r="J383" s="224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0" t="e">
        <f ca="1">IF(TODAY()&gt;=$A384,SUMIFS(Tabla1[Avance_km],Tabla1[Fecha],"&lt;="&amp;EV!$A384,Tabla1[nombre_actividad],EV!C$1),NA())</f>
        <v>#N/A</v>
      </c>
      <c r="D384" s="110" t="e">
        <f ca="1">IF(TODAY()&gt;=$A384,SUMIFS(Tabla1[Avance_km],Tabla1[Fecha],"&lt;="&amp;EV!$A384,Tabla1[nombre_actividad],EV!D$1),NA())</f>
        <v>#N/A</v>
      </c>
      <c r="E384" s="110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0" t="e">
        <f ca="1">IF(TODAY()&gt;=$A384,SUMIFS(Tabla1[Avance_km],Tabla1[Fecha],"&lt;="&amp;EV!$A384-1,Tabla1[nombre_actividad],EV!H$1),NA())</f>
        <v>#N/A</v>
      </c>
      <c r="I384" s="224" t="e">
        <f ca="1">+C384*Catalogo!$F$19+EV!D384*Catalogo!$F$14+EV!E384*Catalogo!$F$16+EV!F384*Catalogo!$F$18</f>
        <v>#N/A</v>
      </c>
      <c r="J384" s="224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0" t="e">
        <f ca="1">IF(TODAY()&gt;=$A385,SUMIFS(Tabla1[Avance_km],Tabla1[Fecha],"&lt;="&amp;EV!$A385,Tabla1[nombre_actividad],EV!C$1),NA())</f>
        <v>#N/A</v>
      </c>
      <c r="D385" s="110" t="e">
        <f ca="1">IF(TODAY()&gt;=$A385,SUMIFS(Tabla1[Avance_km],Tabla1[Fecha],"&lt;="&amp;EV!$A385,Tabla1[nombre_actividad],EV!D$1),NA())</f>
        <v>#N/A</v>
      </c>
      <c r="E385" s="110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0" t="e">
        <f ca="1">IF(TODAY()&gt;=$A385,SUMIFS(Tabla1[Avance_km],Tabla1[Fecha],"&lt;="&amp;EV!$A385-1,Tabla1[nombre_actividad],EV!H$1),NA())</f>
        <v>#N/A</v>
      </c>
      <c r="I385" s="224" t="e">
        <f ca="1">+C385*Catalogo!$F$19+EV!D385*Catalogo!$F$14+EV!E385*Catalogo!$F$16+EV!F385*Catalogo!$F$18</f>
        <v>#N/A</v>
      </c>
      <c r="J385" s="224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0" t="e">
        <f ca="1">IF(TODAY()&gt;=$A386,SUMIFS(Tabla1[Avance_km],Tabla1[Fecha],"&lt;="&amp;EV!$A386,Tabla1[nombre_actividad],EV!C$1),NA())</f>
        <v>#N/A</v>
      </c>
      <c r="D386" s="110" t="e">
        <f ca="1">IF(TODAY()&gt;=$A386,SUMIFS(Tabla1[Avance_km],Tabla1[Fecha],"&lt;="&amp;EV!$A386,Tabla1[nombre_actividad],EV!D$1),NA())</f>
        <v>#N/A</v>
      </c>
      <c r="E386" s="110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0" t="e">
        <f ca="1">IF(TODAY()&gt;=$A386,SUMIFS(Tabla1[Avance_km],Tabla1[Fecha],"&lt;="&amp;EV!$A386-1,Tabla1[nombre_actividad],EV!H$1),NA())</f>
        <v>#N/A</v>
      </c>
      <c r="I386" s="224" t="e">
        <f ca="1">+C386*Catalogo!$F$19+EV!D386*Catalogo!$F$14+EV!E386*Catalogo!$F$16+EV!F386*Catalogo!$F$18</f>
        <v>#N/A</v>
      </c>
      <c r="J386" s="224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0" t="e">
        <f ca="1">IF(TODAY()&gt;=$A387,SUMIFS(Tabla1[Avance_km],Tabla1[Fecha],"&lt;="&amp;EV!$A387,Tabla1[nombre_actividad],EV!C$1),NA())</f>
        <v>#N/A</v>
      </c>
      <c r="D387" s="110" t="e">
        <f ca="1">IF(TODAY()&gt;=$A387,SUMIFS(Tabla1[Avance_km],Tabla1[Fecha],"&lt;="&amp;EV!$A387,Tabla1[nombre_actividad],EV!D$1),NA())</f>
        <v>#N/A</v>
      </c>
      <c r="E387" s="110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0" t="e">
        <f ca="1">IF(TODAY()&gt;=$A387,SUMIFS(Tabla1[Avance_km],Tabla1[Fecha],"&lt;="&amp;EV!$A387-1,Tabla1[nombre_actividad],EV!H$1),NA())</f>
        <v>#N/A</v>
      </c>
      <c r="I387" s="224" t="e">
        <f ca="1">+C387*Catalogo!$F$19+EV!D387*Catalogo!$F$14+EV!E387*Catalogo!$F$16+EV!F387*Catalogo!$F$18</f>
        <v>#N/A</v>
      </c>
      <c r="J387" s="224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0" t="e">
        <f ca="1">IF(TODAY()&gt;=$A388,SUMIFS(Tabla1[Avance_km],Tabla1[Fecha],"&lt;="&amp;EV!$A388,Tabla1[nombre_actividad],EV!C$1),NA())</f>
        <v>#N/A</v>
      </c>
      <c r="D388" s="110" t="e">
        <f ca="1">IF(TODAY()&gt;=$A388,SUMIFS(Tabla1[Avance_km],Tabla1[Fecha],"&lt;="&amp;EV!$A388,Tabla1[nombre_actividad],EV!D$1),NA())</f>
        <v>#N/A</v>
      </c>
      <c r="E388" s="110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0" t="e">
        <f ca="1">IF(TODAY()&gt;=$A388,SUMIFS(Tabla1[Avance_km],Tabla1[Fecha],"&lt;="&amp;EV!$A388-1,Tabla1[nombre_actividad],EV!H$1),NA())</f>
        <v>#N/A</v>
      </c>
      <c r="I388" s="224" t="e">
        <f ca="1">+C388*Catalogo!$F$19+EV!D388*Catalogo!$F$14+EV!E388*Catalogo!$F$16+EV!F388*Catalogo!$F$18</f>
        <v>#N/A</v>
      </c>
      <c r="J388" s="224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0" t="e">
        <f ca="1">IF(TODAY()&gt;=$A389,SUMIFS(Tabla1[Avance_km],Tabla1[Fecha],"&lt;="&amp;EV!$A389,Tabla1[nombre_actividad],EV!C$1),NA())</f>
        <v>#N/A</v>
      </c>
      <c r="D389" s="110" t="e">
        <f ca="1">IF(TODAY()&gt;=$A389,SUMIFS(Tabla1[Avance_km],Tabla1[Fecha],"&lt;="&amp;EV!$A389,Tabla1[nombre_actividad],EV!D$1),NA())</f>
        <v>#N/A</v>
      </c>
      <c r="E389" s="110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0" t="e">
        <f ca="1">IF(TODAY()&gt;=$A389,SUMIFS(Tabla1[Avance_km],Tabla1[Fecha],"&lt;="&amp;EV!$A389-1,Tabla1[nombre_actividad],EV!H$1),NA())</f>
        <v>#N/A</v>
      </c>
      <c r="I389" s="224" t="e">
        <f ca="1">+C389*Catalogo!$F$19+EV!D389*Catalogo!$F$14+EV!E389*Catalogo!$F$16+EV!F389*Catalogo!$F$18</f>
        <v>#N/A</v>
      </c>
      <c r="J389" s="224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0" t="e">
        <f ca="1">IF(TODAY()&gt;=$A390,SUMIFS(Tabla1[Avance_km],Tabla1[Fecha],"&lt;="&amp;EV!$A390,Tabla1[nombre_actividad],EV!C$1),NA())</f>
        <v>#N/A</v>
      </c>
      <c r="D390" s="110" t="e">
        <f ca="1">IF(TODAY()&gt;=$A390,SUMIFS(Tabla1[Avance_km],Tabla1[Fecha],"&lt;="&amp;EV!$A390,Tabla1[nombre_actividad],EV!D$1),NA())</f>
        <v>#N/A</v>
      </c>
      <c r="E390" s="110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0" t="e">
        <f ca="1">IF(TODAY()&gt;=$A390,SUMIFS(Tabla1[Avance_km],Tabla1[Fecha],"&lt;="&amp;EV!$A390-1,Tabla1[nombre_actividad],EV!H$1),NA())</f>
        <v>#N/A</v>
      </c>
      <c r="I390" s="224" t="e">
        <f ca="1">+C390*Catalogo!$F$19+EV!D390*Catalogo!$F$14+EV!E390*Catalogo!$F$16+EV!F390*Catalogo!$F$18</f>
        <v>#N/A</v>
      </c>
      <c r="J390" s="224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0" t="e">
        <f ca="1">IF(TODAY()&gt;=$A391,SUMIFS(Tabla1[Avance_km],Tabla1[Fecha],"&lt;="&amp;EV!$A391,Tabla1[nombre_actividad],EV!C$1),NA())</f>
        <v>#N/A</v>
      </c>
      <c r="D391" s="110" t="e">
        <f ca="1">IF(TODAY()&gt;=$A391,SUMIFS(Tabla1[Avance_km],Tabla1[Fecha],"&lt;="&amp;EV!$A391,Tabla1[nombre_actividad],EV!D$1),NA())</f>
        <v>#N/A</v>
      </c>
      <c r="E391" s="110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0" t="e">
        <f ca="1">IF(TODAY()&gt;=$A391,SUMIFS(Tabla1[Avance_km],Tabla1[Fecha],"&lt;="&amp;EV!$A391-1,Tabla1[nombre_actividad],EV!H$1),NA())</f>
        <v>#N/A</v>
      </c>
      <c r="I391" s="224" t="e">
        <f ca="1">+C391*Catalogo!$F$19+EV!D391*Catalogo!$F$14+EV!E391*Catalogo!$F$16+EV!F391*Catalogo!$F$18</f>
        <v>#N/A</v>
      </c>
      <c r="J391" s="224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0" t="e">
        <f ca="1">IF(TODAY()&gt;=$A392,SUMIFS(Tabla1[Avance_km],Tabla1[Fecha],"&lt;="&amp;EV!$A392,Tabla1[nombre_actividad],EV!C$1),NA())</f>
        <v>#N/A</v>
      </c>
      <c r="D392" s="110" t="e">
        <f ca="1">IF(TODAY()&gt;=$A392,SUMIFS(Tabla1[Avance_km],Tabla1[Fecha],"&lt;="&amp;EV!$A392,Tabla1[nombre_actividad],EV!D$1),NA())</f>
        <v>#N/A</v>
      </c>
      <c r="E392" s="110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0" t="e">
        <f ca="1">IF(TODAY()&gt;=$A392,SUMIFS(Tabla1[Avance_km],Tabla1[Fecha],"&lt;="&amp;EV!$A392-1,Tabla1[nombre_actividad],EV!H$1),NA())</f>
        <v>#N/A</v>
      </c>
      <c r="I392" s="224" t="e">
        <f ca="1">+C392*Catalogo!$F$19+EV!D392*Catalogo!$F$14+EV!E392*Catalogo!$F$16+EV!F392*Catalogo!$F$18</f>
        <v>#N/A</v>
      </c>
      <c r="J392" s="224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0" t="e">
        <f ca="1">IF(TODAY()&gt;=$A393,SUMIFS(Tabla1[Avance_km],Tabla1[Fecha],"&lt;="&amp;EV!$A393,Tabla1[nombre_actividad],EV!C$1),NA())</f>
        <v>#N/A</v>
      </c>
      <c r="D393" s="110" t="e">
        <f ca="1">IF(TODAY()&gt;=$A393,SUMIFS(Tabla1[Avance_km],Tabla1[Fecha],"&lt;="&amp;EV!$A393,Tabla1[nombre_actividad],EV!D$1),NA())</f>
        <v>#N/A</v>
      </c>
      <c r="E393" s="110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0" t="e">
        <f ca="1">IF(TODAY()&gt;=$A393,SUMIFS(Tabla1[Avance_km],Tabla1[Fecha],"&lt;="&amp;EV!$A393-1,Tabla1[nombre_actividad],EV!H$1),NA())</f>
        <v>#N/A</v>
      </c>
      <c r="I393" s="224" t="e">
        <f ca="1">+C393*Catalogo!$F$19+EV!D393*Catalogo!$F$14+EV!E393*Catalogo!$F$16+EV!F393*Catalogo!$F$18</f>
        <v>#N/A</v>
      </c>
      <c r="J393" s="224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0" t="e">
        <f ca="1">IF(TODAY()&gt;=$A394,SUMIFS(Tabla1[Avance_km],Tabla1[Fecha],"&lt;="&amp;EV!$A394,Tabla1[nombre_actividad],EV!C$1),NA())</f>
        <v>#N/A</v>
      </c>
      <c r="D394" s="110" t="e">
        <f ca="1">IF(TODAY()&gt;=$A394,SUMIFS(Tabla1[Avance_km],Tabla1[Fecha],"&lt;="&amp;EV!$A394,Tabla1[nombre_actividad],EV!D$1),NA())</f>
        <v>#N/A</v>
      </c>
      <c r="E394" s="110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0" t="e">
        <f ca="1">IF(TODAY()&gt;=$A394,SUMIFS(Tabla1[Avance_km],Tabla1[Fecha],"&lt;="&amp;EV!$A394-1,Tabla1[nombre_actividad],EV!H$1),NA())</f>
        <v>#N/A</v>
      </c>
      <c r="I394" s="224" t="e">
        <f ca="1">+C394*Catalogo!$F$19+EV!D394*Catalogo!$F$14+EV!E394*Catalogo!$F$16+EV!F394*Catalogo!$F$18</f>
        <v>#N/A</v>
      </c>
      <c r="J394" s="224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0" t="e">
        <f ca="1">IF(TODAY()&gt;=$A395,SUMIFS(Tabla1[Avance_km],Tabla1[Fecha],"&lt;="&amp;EV!$A395,Tabla1[nombre_actividad],EV!C$1),NA())</f>
        <v>#N/A</v>
      </c>
      <c r="D395" s="110" t="e">
        <f ca="1">IF(TODAY()&gt;=$A395,SUMIFS(Tabla1[Avance_km],Tabla1[Fecha],"&lt;="&amp;EV!$A395,Tabla1[nombre_actividad],EV!D$1),NA())</f>
        <v>#N/A</v>
      </c>
      <c r="E395" s="110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0" t="e">
        <f ca="1">IF(TODAY()&gt;=$A395,SUMIFS(Tabla1[Avance_km],Tabla1[Fecha],"&lt;="&amp;EV!$A395-1,Tabla1[nombre_actividad],EV!H$1),NA())</f>
        <v>#N/A</v>
      </c>
      <c r="I395" s="224" t="e">
        <f ca="1">+C395*Catalogo!$F$19+EV!D395*Catalogo!$F$14+EV!E395*Catalogo!$F$16+EV!F395*Catalogo!$F$18</f>
        <v>#N/A</v>
      </c>
      <c r="J395" s="224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0" t="e">
        <f ca="1">IF(TODAY()&gt;=$A396,SUMIFS(Tabla1[Avance_km],Tabla1[Fecha],"&lt;="&amp;EV!$A396,Tabla1[nombre_actividad],EV!C$1),NA())</f>
        <v>#N/A</v>
      </c>
      <c r="D396" s="110" t="e">
        <f ca="1">IF(TODAY()&gt;=$A396,SUMIFS(Tabla1[Avance_km],Tabla1[Fecha],"&lt;="&amp;EV!$A396,Tabla1[nombre_actividad],EV!D$1),NA())</f>
        <v>#N/A</v>
      </c>
      <c r="E396" s="110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0" t="e">
        <f ca="1">IF(TODAY()&gt;=$A396,SUMIFS(Tabla1[Avance_km],Tabla1[Fecha],"&lt;="&amp;EV!$A396-1,Tabla1[nombre_actividad],EV!H$1),NA())</f>
        <v>#N/A</v>
      </c>
      <c r="I396" s="224" t="e">
        <f ca="1">+C396*Catalogo!$F$19+EV!D396*Catalogo!$F$14+EV!E396*Catalogo!$F$16+EV!F396*Catalogo!$F$18</f>
        <v>#N/A</v>
      </c>
      <c r="J396" s="224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0" t="e">
        <f ca="1">IF(TODAY()&gt;=$A397,SUMIFS(Tabla1[Avance_km],Tabla1[Fecha],"&lt;="&amp;EV!$A397,Tabla1[nombre_actividad],EV!C$1),NA())</f>
        <v>#N/A</v>
      </c>
      <c r="D397" s="110" t="e">
        <f ca="1">IF(TODAY()&gt;=$A397,SUMIFS(Tabla1[Avance_km],Tabla1[Fecha],"&lt;="&amp;EV!$A397,Tabla1[nombre_actividad],EV!D$1),NA())</f>
        <v>#N/A</v>
      </c>
      <c r="E397" s="110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0" t="e">
        <f ca="1">IF(TODAY()&gt;=$A397,SUMIFS(Tabla1[Avance_km],Tabla1[Fecha],"&lt;="&amp;EV!$A397-1,Tabla1[nombre_actividad],EV!H$1),NA())</f>
        <v>#N/A</v>
      </c>
      <c r="I397" s="224" t="e">
        <f ca="1">+C397*Catalogo!$F$19+EV!D397*Catalogo!$F$14+EV!E397*Catalogo!$F$16+EV!F397*Catalogo!$F$18</f>
        <v>#N/A</v>
      </c>
      <c r="J397" s="224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0" t="e">
        <f ca="1">IF(TODAY()&gt;=$A398,SUMIFS(Tabla1[Avance_km],Tabla1[Fecha],"&lt;="&amp;EV!$A398,Tabla1[nombre_actividad],EV!C$1),NA())</f>
        <v>#N/A</v>
      </c>
      <c r="D398" s="110" t="e">
        <f ca="1">IF(TODAY()&gt;=$A398,SUMIFS(Tabla1[Avance_km],Tabla1[Fecha],"&lt;="&amp;EV!$A398,Tabla1[nombre_actividad],EV!D$1),NA())</f>
        <v>#N/A</v>
      </c>
      <c r="E398" s="110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0" t="e">
        <f ca="1">IF(TODAY()&gt;=$A398,SUMIFS(Tabla1[Avance_km],Tabla1[Fecha],"&lt;="&amp;EV!$A398-1,Tabla1[nombre_actividad],EV!H$1),NA())</f>
        <v>#N/A</v>
      </c>
      <c r="I398" s="224" t="e">
        <f ca="1">+C398*Catalogo!$F$19+EV!D398*Catalogo!$F$14+EV!E398*Catalogo!$F$16+EV!F398*Catalogo!$F$18</f>
        <v>#N/A</v>
      </c>
      <c r="J398" s="224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0" t="e">
        <f ca="1">IF(TODAY()&gt;=$A399,SUMIFS(Tabla1[Avance_km],Tabla1[Fecha],"&lt;="&amp;EV!$A399,Tabla1[nombre_actividad],EV!C$1),NA())</f>
        <v>#N/A</v>
      </c>
      <c r="D399" s="110" t="e">
        <f ca="1">IF(TODAY()&gt;=$A399,SUMIFS(Tabla1[Avance_km],Tabla1[Fecha],"&lt;="&amp;EV!$A399,Tabla1[nombre_actividad],EV!D$1),NA())</f>
        <v>#N/A</v>
      </c>
      <c r="E399" s="110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0" t="e">
        <f ca="1">IF(TODAY()&gt;=$A399,SUMIFS(Tabla1[Avance_km],Tabla1[Fecha],"&lt;="&amp;EV!$A399-1,Tabla1[nombre_actividad],EV!H$1),NA())</f>
        <v>#N/A</v>
      </c>
      <c r="I399" s="224" t="e">
        <f ca="1">+C399*Catalogo!$F$19+EV!D399*Catalogo!$F$14+EV!E399*Catalogo!$F$16+EV!F399*Catalogo!$F$18</f>
        <v>#N/A</v>
      </c>
      <c r="J399" s="224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0" t="e">
        <f ca="1">IF(TODAY()&gt;=$A400,SUMIFS(Tabla1[Avance_km],Tabla1[Fecha],"&lt;="&amp;EV!$A400,Tabla1[nombre_actividad],EV!C$1),NA())</f>
        <v>#N/A</v>
      </c>
      <c r="D400" s="110" t="e">
        <f ca="1">IF(TODAY()&gt;=$A400,SUMIFS(Tabla1[Avance_km],Tabla1[Fecha],"&lt;="&amp;EV!$A400,Tabla1[nombre_actividad],EV!D$1),NA())</f>
        <v>#N/A</v>
      </c>
      <c r="E400" s="110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0" t="e">
        <f ca="1">IF(TODAY()&gt;=$A400,SUMIFS(Tabla1[Avance_km],Tabla1[Fecha],"&lt;="&amp;EV!$A400-1,Tabla1[nombre_actividad],EV!H$1),NA())</f>
        <v>#N/A</v>
      </c>
      <c r="I400" s="224" t="e">
        <f ca="1">+C400*Catalogo!$F$19+EV!D400*Catalogo!$F$14+EV!E400*Catalogo!$F$16+EV!F400*Catalogo!$F$18</f>
        <v>#N/A</v>
      </c>
      <c r="J400" s="224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0" t="e">
        <f ca="1">IF(TODAY()&gt;=$A401,SUMIFS(Tabla1[Avance_km],Tabla1[Fecha],"&lt;="&amp;EV!$A401,Tabla1[nombre_actividad],EV!C$1),NA())</f>
        <v>#N/A</v>
      </c>
      <c r="D401" s="110" t="e">
        <f ca="1">IF(TODAY()&gt;=$A401,SUMIFS(Tabla1[Avance_km],Tabla1[Fecha],"&lt;="&amp;EV!$A401,Tabla1[nombre_actividad],EV!D$1),NA())</f>
        <v>#N/A</v>
      </c>
      <c r="E401" s="110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0" t="e">
        <f ca="1">IF(TODAY()&gt;=$A401,SUMIFS(Tabla1[Avance_km],Tabla1[Fecha],"&lt;="&amp;EV!$A401-1,Tabla1[nombre_actividad],EV!H$1),NA())</f>
        <v>#N/A</v>
      </c>
      <c r="I401" s="224" t="e">
        <f ca="1">+C401*Catalogo!$F$19+EV!D401*Catalogo!$F$14+EV!E401*Catalogo!$F$16+EV!F401*Catalogo!$F$18</f>
        <v>#N/A</v>
      </c>
      <c r="J401" s="224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0" t="e">
        <f ca="1">IF(TODAY()&gt;=$A402,SUMIFS(Tabla1[Avance_km],Tabla1[Fecha],"&lt;="&amp;EV!$A402,Tabla1[nombre_actividad],EV!C$1),NA())</f>
        <v>#N/A</v>
      </c>
      <c r="D402" s="110" t="e">
        <f ca="1">IF(TODAY()&gt;=$A402,SUMIFS(Tabla1[Avance_km],Tabla1[Fecha],"&lt;="&amp;EV!$A402,Tabla1[nombre_actividad],EV!D$1),NA())</f>
        <v>#N/A</v>
      </c>
      <c r="E402" s="110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0" t="e">
        <f ca="1">IF(TODAY()&gt;=$A402,SUMIFS(Tabla1[Avance_km],Tabla1[Fecha],"&lt;="&amp;EV!$A402-1,Tabla1[nombre_actividad],EV!H$1),NA())</f>
        <v>#N/A</v>
      </c>
      <c r="I402" s="224" t="e">
        <f ca="1">+C402*Catalogo!$F$19+EV!D402*Catalogo!$F$14+EV!E402*Catalogo!$F$16+EV!F402*Catalogo!$F$18</f>
        <v>#N/A</v>
      </c>
      <c r="J402" s="224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0" t="e">
        <f ca="1">IF(TODAY()&gt;=$A403,SUMIFS(Tabla1[Avance_km],Tabla1[Fecha],"&lt;="&amp;EV!$A403,Tabla1[nombre_actividad],EV!C$1),NA())</f>
        <v>#N/A</v>
      </c>
      <c r="D403" s="110" t="e">
        <f ca="1">IF(TODAY()&gt;=$A403,SUMIFS(Tabla1[Avance_km],Tabla1[Fecha],"&lt;="&amp;EV!$A403,Tabla1[nombre_actividad],EV!D$1),NA())</f>
        <v>#N/A</v>
      </c>
      <c r="E403" s="110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0" t="e">
        <f ca="1">IF(TODAY()&gt;=$A403,SUMIFS(Tabla1[Avance_km],Tabla1[Fecha],"&lt;="&amp;EV!$A403-1,Tabla1[nombre_actividad],EV!H$1),NA())</f>
        <v>#N/A</v>
      </c>
      <c r="I403" s="224" t="e">
        <f ca="1">+C403*Catalogo!$F$19+EV!D403*Catalogo!$F$14+EV!E403*Catalogo!$F$16+EV!F403*Catalogo!$F$18</f>
        <v>#N/A</v>
      </c>
      <c r="J403" s="224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0" t="e">
        <f ca="1">IF(TODAY()&gt;=$A404,SUMIFS(Tabla1[Avance_km],Tabla1[Fecha],"&lt;="&amp;EV!$A404,Tabla1[nombre_actividad],EV!C$1),NA())</f>
        <v>#N/A</v>
      </c>
      <c r="D404" s="110" t="e">
        <f ca="1">IF(TODAY()&gt;=$A404,SUMIFS(Tabla1[Avance_km],Tabla1[Fecha],"&lt;="&amp;EV!$A404,Tabla1[nombre_actividad],EV!D$1),NA())</f>
        <v>#N/A</v>
      </c>
      <c r="E404" s="110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0" t="e">
        <f ca="1">IF(TODAY()&gt;=$A404,SUMIFS(Tabla1[Avance_km],Tabla1[Fecha],"&lt;="&amp;EV!$A404-1,Tabla1[nombre_actividad],EV!H$1),NA())</f>
        <v>#N/A</v>
      </c>
      <c r="I404" s="224" t="e">
        <f ca="1">+C404*Catalogo!$F$19+EV!D404*Catalogo!$F$14+EV!E404*Catalogo!$F$16+EV!F404*Catalogo!$F$18</f>
        <v>#N/A</v>
      </c>
      <c r="J404" s="224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0" t="e">
        <f ca="1">IF(TODAY()&gt;=$A405,SUMIFS(Tabla1[Avance_km],Tabla1[Fecha],"&lt;="&amp;EV!$A405,Tabla1[nombre_actividad],EV!C$1),NA())</f>
        <v>#N/A</v>
      </c>
      <c r="D405" s="110" t="e">
        <f ca="1">IF(TODAY()&gt;=$A405,SUMIFS(Tabla1[Avance_km],Tabla1[Fecha],"&lt;="&amp;EV!$A405,Tabla1[nombre_actividad],EV!D$1),NA())</f>
        <v>#N/A</v>
      </c>
      <c r="E405" s="110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0" t="e">
        <f ca="1">IF(TODAY()&gt;=$A405,SUMIFS(Tabla1[Avance_km],Tabla1[Fecha],"&lt;="&amp;EV!$A405-1,Tabla1[nombre_actividad],EV!H$1),NA())</f>
        <v>#N/A</v>
      </c>
      <c r="I405" s="224" t="e">
        <f ca="1">+C405*Catalogo!$F$19+EV!D405*Catalogo!$F$14+EV!E405*Catalogo!$F$16+EV!F405*Catalogo!$F$18</f>
        <v>#N/A</v>
      </c>
      <c r="J405" s="224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0" t="e">
        <f ca="1">IF(TODAY()&gt;=$A406,SUMIFS(Tabla1[Avance_km],Tabla1[Fecha],"&lt;="&amp;EV!$A406,Tabla1[nombre_actividad],EV!C$1),NA())</f>
        <v>#N/A</v>
      </c>
      <c r="D406" s="110" t="e">
        <f ca="1">IF(TODAY()&gt;=$A406,SUMIFS(Tabla1[Avance_km],Tabla1[Fecha],"&lt;="&amp;EV!$A406,Tabla1[nombre_actividad],EV!D$1),NA())</f>
        <v>#N/A</v>
      </c>
      <c r="E406" s="110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0" t="e">
        <f ca="1">IF(TODAY()&gt;=$A406,SUMIFS(Tabla1[Avance_km],Tabla1[Fecha],"&lt;="&amp;EV!$A406-1,Tabla1[nombre_actividad],EV!H$1),NA())</f>
        <v>#N/A</v>
      </c>
      <c r="I406" s="224" t="e">
        <f ca="1">+C406*Catalogo!$F$19+EV!D406*Catalogo!$F$14+EV!E406*Catalogo!$F$16+EV!F406*Catalogo!$F$18</f>
        <v>#N/A</v>
      </c>
      <c r="J406" s="224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0" t="e">
        <f ca="1">IF(TODAY()&gt;=$A407,SUMIFS(Tabla1[Avance_km],Tabla1[Fecha],"&lt;="&amp;EV!$A407,Tabla1[nombre_actividad],EV!C$1),NA())</f>
        <v>#N/A</v>
      </c>
      <c r="D407" s="110" t="e">
        <f ca="1">IF(TODAY()&gt;=$A407,SUMIFS(Tabla1[Avance_km],Tabla1[Fecha],"&lt;="&amp;EV!$A407,Tabla1[nombre_actividad],EV!D$1),NA())</f>
        <v>#N/A</v>
      </c>
      <c r="E407" s="110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0" t="e">
        <f ca="1">IF(TODAY()&gt;=$A407,SUMIFS(Tabla1[Avance_km],Tabla1[Fecha],"&lt;="&amp;EV!$A407-1,Tabla1[nombre_actividad],EV!H$1),NA())</f>
        <v>#N/A</v>
      </c>
      <c r="I407" s="224" t="e">
        <f ca="1">+C407*Catalogo!$F$19+EV!D407*Catalogo!$F$14+EV!E407*Catalogo!$F$16+EV!F407*Catalogo!$F$18</f>
        <v>#N/A</v>
      </c>
      <c r="J407" s="224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0" t="e">
        <f ca="1">IF(TODAY()&gt;=$A408,SUMIFS(Tabla1[Avance_km],Tabla1[Fecha],"&lt;="&amp;EV!$A408,Tabla1[nombre_actividad],EV!C$1),NA())</f>
        <v>#N/A</v>
      </c>
      <c r="D408" s="110" t="e">
        <f ca="1">IF(TODAY()&gt;=$A408,SUMIFS(Tabla1[Avance_km],Tabla1[Fecha],"&lt;="&amp;EV!$A408,Tabla1[nombre_actividad],EV!D$1),NA())</f>
        <v>#N/A</v>
      </c>
      <c r="E408" s="110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0" t="e">
        <f ca="1">IF(TODAY()&gt;=$A408,SUMIFS(Tabla1[Avance_km],Tabla1[Fecha],"&lt;="&amp;EV!$A408-1,Tabla1[nombre_actividad],EV!H$1),NA())</f>
        <v>#N/A</v>
      </c>
      <c r="I408" s="224" t="e">
        <f ca="1">+C408*Catalogo!$F$19+EV!D408*Catalogo!$F$14+EV!E408*Catalogo!$F$16+EV!F408*Catalogo!$F$18</f>
        <v>#N/A</v>
      </c>
      <c r="J408" s="224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0" t="e">
        <f ca="1">IF(TODAY()&gt;=$A409,SUMIFS(Tabla1[Avance_km],Tabla1[Fecha],"&lt;="&amp;EV!$A409,Tabla1[nombre_actividad],EV!C$1),NA())</f>
        <v>#N/A</v>
      </c>
      <c r="D409" s="110" t="e">
        <f ca="1">IF(TODAY()&gt;=$A409,SUMIFS(Tabla1[Avance_km],Tabla1[Fecha],"&lt;="&amp;EV!$A409,Tabla1[nombre_actividad],EV!D$1),NA())</f>
        <v>#N/A</v>
      </c>
      <c r="E409" s="110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0" t="e">
        <f ca="1">IF(TODAY()&gt;=$A409,SUMIFS(Tabla1[Avance_km],Tabla1[Fecha],"&lt;="&amp;EV!$A409-1,Tabla1[nombre_actividad],EV!H$1),NA())</f>
        <v>#N/A</v>
      </c>
      <c r="I409" s="224" t="e">
        <f ca="1">+C409*Catalogo!$F$19+EV!D409*Catalogo!$F$14+EV!E409*Catalogo!$F$16+EV!F409*Catalogo!$F$18</f>
        <v>#N/A</v>
      </c>
      <c r="J409" s="224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0" t="e">
        <f ca="1">IF(TODAY()&gt;=$A410,SUMIFS(Tabla1[Avance_km],Tabla1[Fecha],"&lt;="&amp;EV!$A410,Tabla1[nombre_actividad],EV!C$1),NA())</f>
        <v>#N/A</v>
      </c>
      <c r="D410" s="110" t="e">
        <f ca="1">IF(TODAY()&gt;=$A410,SUMIFS(Tabla1[Avance_km],Tabla1[Fecha],"&lt;="&amp;EV!$A410,Tabla1[nombre_actividad],EV!D$1),NA())</f>
        <v>#N/A</v>
      </c>
      <c r="E410" s="110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0" t="e">
        <f ca="1">IF(TODAY()&gt;=$A410,SUMIFS(Tabla1[Avance_km],Tabla1[Fecha],"&lt;="&amp;EV!$A410-1,Tabla1[nombre_actividad],EV!H$1),NA())</f>
        <v>#N/A</v>
      </c>
      <c r="I410" s="224" t="e">
        <f ca="1">+C410*Catalogo!$F$19+EV!D410*Catalogo!$F$14+EV!E410*Catalogo!$F$16+EV!F410*Catalogo!$F$18</f>
        <v>#N/A</v>
      </c>
      <c r="J410" s="224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0" t="e">
        <f ca="1">IF(TODAY()&gt;=$A411,SUMIFS(Tabla1[Avance_km],Tabla1[Fecha],"&lt;="&amp;EV!$A411,Tabla1[nombre_actividad],EV!C$1),NA())</f>
        <v>#N/A</v>
      </c>
      <c r="D411" s="110" t="e">
        <f ca="1">IF(TODAY()&gt;=$A411,SUMIFS(Tabla1[Avance_km],Tabla1[Fecha],"&lt;="&amp;EV!$A411,Tabla1[nombre_actividad],EV!D$1),NA())</f>
        <v>#N/A</v>
      </c>
      <c r="E411" s="110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0" t="e">
        <f ca="1">IF(TODAY()&gt;=$A411,SUMIFS(Tabla1[Avance_km],Tabla1[Fecha],"&lt;="&amp;EV!$A411-1,Tabla1[nombre_actividad],EV!H$1),NA())</f>
        <v>#N/A</v>
      </c>
      <c r="I411" s="224" t="e">
        <f ca="1">+C411*Catalogo!$F$19+EV!D411*Catalogo!$F$14+EV!E411*Catalogo!$F$16+EV!F411*Catalogo!$F$18</f>
        <v>#N/A</v>
      </c>
      <c r="J411" s="224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0" t="e">
        <f ca="1">IF(TODAY()&gt;=$A412,SUMIFS(Tabla1[Avance_km],Tabla1[Fecha],"&lt;="&amp;EV!$A412,Tabla1[nombre_actividad],EV!C$1),NA())</f>
        <v>#N/A</v>
      </c>
      <c r="D412" s="110" t="e">
        <f ca="1">IF(TODAY()&gt;=$A412,SUMIFS(Tabla1[Avance_km],Tabla1[Fecha],"&lt;="&amp;EV!$A412,Tabla1[nombre_actividad],EV!D$1),NA())</f>
        <v>#N/A</v>
      </c>
      <c r="E412" s="110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0" t="e">
        <f ca="1">IF(TODAY()&gt;=$A412,SUMIFS(Tabla1[Avance_km],Tabla1[Fecha],"&lt;="&amp;EV!$A412-1,Tabla1[nombre_actividad],EV!H$1),NA())</f>
        <v>#N/A</v>
      </c>
      <c r="I412" s="224" t="e">
        <f ca="1">+C412*Catalogo!$F$19+EV!D412*Catalogo!$F$14+EV!E412*Catalogo!$F$16+EV!F412*Catalogo!$F$18</f>
        <v>#N/A</v>
      </c>
      <c r="J412" s="224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0" t="e">
        <f ca="1">IF(TODAY()&gt;=$A413,SUMIFS(Tabla1[Avance_km],Tabla1[Fecha],"&lt;="&amp;EV!$A413,Tabla1[nombre_actividad],EV!C$1),NA())</f>
        <v>#N/A</v>
      </c>
      <c r="D413" s="110" t="e">
        <f ca="1">IF(TODAY()&gt;=$A413,SUMIFS(Tabla1[Avance_km],Tabla1[Fecha],"&lt;="&amp;EV!$A413,Tabla1[nombre_actividad],EV!D$1),NA())</f>
        <v>#N/A</v>
      </c>
      <c r="E413" s="110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0" t="e">
        <f ca="1">IF(TODAY()&gt;=$A413,SUMIFS(Tabla1[Avance_km],Tabla1[Fecha],"&lt;="&amp;EV!$A413-1,Tabla1[nombre_actividad],EV!H$1),NA())</f>
        <v>#N/A</v>
      </c>
      <c r="I413" s="224" t="e">
        <f ca="1">+C413*Catalogo!$F$19+EV!D413*Catalogo!$F$14+EV!E413*Catalogo!$F$16+EV!F413*Catalogo!$F$18</f>
        <v>#N/A</v>
      </c>
      <c r="J413" s="224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0" t="e">
        <f ca="1">IF(TODAY()&gt;=$A414,SUMIFS(Tabla1[Avance_km],Tabla1[Fecha],"&lt;="&amp;EV!$A414,Tabla1[nombre_actividad],EV!C$1),NA())</f>
        <v>#N/A</v>
      </c>
      <c r="D414" s="110" t="e">
        <f ca="1">IF(TODAY()&gt;=$A414,SUMIFS(Tabla1[Avance_km],Tabla1[Fecha],"&lt;="&amp;EV!$A414,Tabla1[nombre_actividad],EV!D$1),NA())</f>
        <v>#N/A</v>
      </c>
      <c r="E414" s="110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0" t="e">
        <f ca="1">IF(TODAY()&gt;=$A414,SUMIFS(Tabla1[Avance_km],Tabla1[Fecha],"&lt;="&amp;EV!$A414-1,Tabla1[nombre_actividad],EV!H$1),NA())</f>
        <v>#N/A</v>
      </c>
      <c r="I414" s="224" t="e">
        <f ca="1">+C414*Catalogo!$F$19+EV!D414*Catalogo!$F$14+EV!E414*Catalogo!$F$16+EV!F414*Catalogo!$F$18</f>
        <v>#N/A</v>
      </c>
      <c r="J414" s="224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0" t="e">
        <f ca="1">IF(TODAY()&gt;=$A415,SUMIFS(Tabla1[Avance_km],Tabla1[Fecha],"&lt;="&amp;EV!$A415,Tabla1[nombre_actividad],EV!C$1),NA())</f>
        <v>#N/A</v>
      </c>
      <c r="D415" s="110" t="e">
        <f ca="1">IF(TODAY()&gt;=$A415,SUMIFS(Tabla1[Avance_km],Tabla1[Fecha],"&lt;="&amp;EV!$A415,Tabla1[nombre_actividad],EV!D$1),NA())</f>
        <v>#N/A</v>
      </c>
      <c r="E415" s="110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0" t="e">
        <f ca="1">IF(TODAY()&gt;=$A415,SUMIFS(Tabla1[Avance_km],Tabla1[Fecha],"&lt;="&amp;EV!$A415-1,Tabla1[nombre_actividad],EV!H$1),NA())</f>
        <v>#N/A</v>
      </c>
      <c r="I415" s="224" t="e">
        <f ca="1">+C415*Catalogo!$F$19+EV!D415*Catalogo!$F$14+EV!E415*Catalogo!$F$16+EV!F415*Catalogo!$F$18</f>
        <v>#N/A</v>
      </c>
      <c r="J415" s="224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0" t="e">
        <f ca="1">IF(TODAY()&gt;=$A416,SUMIFS(Tabla1[Avance_km],Tabla1[Fecha],"&lt;="&amp;EV!$A416,Tabla1[nombre_actividad],EV!C$1),NA())</f>
        <v>#N/A</v>
      </c>
      <c r="D416" s="110" t="e">
        <f ca="1">IF(TODAY()&gt;=$A416,SUMIFS(Tabla1[Avance_km],Tabla1[Fecha],"&lt;="&amp;EV!$A416,Tabla1[nombre_actividad],EV!D$1),NA())</f>
        <v>#N/A</v>
      </c>
      <c r="E416" s="110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0" t="e">
        <f ca="1">IF(TODAY()&gt;=$A416,SUMIFS(Tabla1[Avance_km],Tabla1[Fecha],"&lt;="&amp;EV!$A416-1,Tabla1[nombre_actividad],EV!H$1),NA())</f>
        <v>#N/A</v>
      </c>
      <c r="I416" s="224" t="e">
        <f ca="1">+C416*Catalogo!$F$19+EV!D416*Catalogo!$F$14+EV!E416*Catalogo!$F$16+EV!F416*Catalogo!$F$18</f>
        <v>#N/A</v>
      </c>
      <c r="J416" s="224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0" t="e">
        <f ca="1">IF(TODAY()&gt;=$A417,SUMIFS(Tabla1[Avance_km],Tabla1[Fecha],"&lt;="&amp;EV!$A417,Tabla1[nombre_actividad],EV!C$1),NA())</f>
        <v>#N/A</v>
      </c>
      <c r="D417" s="110" t="e">
        <f ca="1">IF(TODAY()&gt;=$A417,SUMIFS(Tabla1[Avance_km],Tabla1[Fecha],"&lt;="&amp;EV!$A417,Tabla1[nombre_actividad],EV!D$1),NA())</f>
        <v>#N/A</v>
      </c>
      <c r="E417" s="110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0" t="e">
        <f ca="1">IF(TODAY()&gt;=$A417,SUMIFS(Tabla1[Avance_km],Tabla1[Fecha],"&lt;="&amp;EV!$A417-1,Tabla1[nombre_actividad],EV!H$1),NA())</f>
        <v>#N/A</v>
      </c>
      <c r="I417" s="224" t="e">
        <f ca="1">+C417*Catalogo!$F$19+EV!D417*Catalogo!$F$14+EV!E417*Catalogo!$F$16+EV!F417*Catalogo!$F$18</f>
        <v>#N/A</v>
      </c>
      <c r="J417" s="224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0" t="e">
        <f ca="1">IF(TODAY()&gt;=$A418,SUMIFS(Tabla1[Avance_km],Tabla1[Fecha],"&lt;="&amp;EV!$A418,Tabla1[nombre_actividad],EV!C$1),NA())</f>
        <v>#N/A</v>
      </c>
      <c r="D418" s="110" t="e">
        <f ca="1">IF(TODAY()&gt;=$A418,SUMIFS(Tabla1[Avance_km],Tabla1[Fecha],"&lt;="&amp;EV!$A418,Tabla1[nombre_actividad],EV!D$1),NA())</f>
        <v>#N/A</v>
      </c>
      <c r="E418" s="110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0" t="e">
        <f ca="1">IF(TODAY()&gt;=$A418,SUMIFS(Tabla1[Avance_km],Tabla1[Fecha],"&lt;="&amp;EV!$A418-1,Tabla1[nombre_actividad],EV!H$1),NA())</f>
        <v>#N/A</v>
      </c>
      <c r="I418" s="224" t="e">
        <f ca="1">+C418*Catalogo!$F$19+EV!D418*Catalogo!$F$14+EV!E418*Catalogo!$F$16+EV!F418*Catalogo!$F$18</f>
        <v>#N/A</v>
      </c>
      <c r="J418" s="224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0" t="e">
        <f ca="1">IF(TODAY()&gt;=$A419,SUMIFS(Tabla1[Avance_km],Tabla1[Fecha],"&lt;="&amp;EV!$A419,Tabla1[nombre_actividad],EV!C$1),NA())</f>
        <v>#N/A</v>
      </c>
      <c r="D419" s="110" t="e">
        <f ca="1">IF(TODAY()&gt;=$A419,SUMIFS(Tabla1[Avance_km],Tabla1[Fecha],"&lt;="&amp;EV!$A419,Tabla1[nombre_actividad],EV!D$1),NA())</f>
        <v>#N/A</v>
      </c>
      <c r="E419" s="110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0" t="e">
        <f ca="1">IF(TODAY()&gt;=$A419,SUMIFS(Tabla1[Avance_km],Tabla1[Fecha],"&lt;="&amp;EV!$A419-1,Tabla1[nombre_actividad],EV!H$1),NA())</f>
        <v>#N/A</v>
      </c>
      <c r="I419" s="224" t="e">
        <f ca="1">+C419*Catalogo!$F$19+EV!D419*Catalogo!$F$14+EV!E419*Catalogo!$F$16+EV!F419*Catalogo!$F$18</f>
        <v>#N/A</v>
      </c>
      <c r="J419" s="224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0" t="e">
        <f ca="1">IF(TODAY()&gt;=$A420,SUMIFS(Tabla1[Avance_km],Tabla1[Fecha],"&lt;="&amp;EV!$A420,Tabla1[nombre_actividad],EV!C$1),NA())</f>
        <v>#N/A</v>
      </c>
      <c r="D420" s="110" t="e">
        <f ca="1">IF(TODAY()&gt;=$A420,SUMIFS(Tabla1[Avance_km],Tabla1[Fecha],"&lt;="&amp;EV!$A420,Tabla1[nombre_actividad],EV!D$1),NA())</f>
        <v>#N/A</v>
      </c>
      <c r="E420" s="110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0" t="e">
        <f ca="1">IF(TODAY()&gt;=$A420,SUMIFS(Tabla1[Avance_km],Tabla1[Fecha],"&lt;="&amp;EV!$A420-1,Tabla1[nombre_actividad],EV!H$1),NA())</f>
        <v>#N/A</v>
      </c>
      <c r="I420" s="224" t="e">
        <f ca="1">+C420*Catalogo!$F$19+EV!D420*Catalogo!$F$14+EV!E420*Catalogo!$F$16+EV!F420*Catalogo!$F$18</f>
        <v>#N/A</v>
      </c>
      <c r="J420" s="224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0" t="e">
        <f ca="1">IF(TODAY()&gt;=$A421,SUMIFS(Tabla1[Avance_km],Tabla1[Fecha],"&lt;="&amp;EV!$A421,Tabla1[nombre_actividad],EV!C$1),NA())</f>
        <v>#N/A</v>
      </c>
      <c r="D421" s="110" t="e">
        <f ca="1">IF(TODAY()&gt;=$A421,SUMIFS(Tabla1[Avance_km],Tabla1[Fecha],"&lt;="&amp;EV!$A421,Tabla1[nombre_actividad],EV!D$1),NA())</f>
        <v>#N/A</v>
      </c>
      <c r="E421" s="110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0" t="e">
        <f ca="1">IF(TODAY()&gt;=$A421,SUMIFS(Tabla1[Avance_km],Tabla1[Fecha],"&lt;="&amp;EV!$A421-1,Tabla1[nombre_actividad],EV!H$1),NA())</f>
        <v>#N/A</v>
      </c>
      <c r="I421" s="224" t="e">
        <f ca="1">+C421*Catalogo!$F$19+EV!D421*Catalogo!$F$14+EV!E421*Catalogo!$F$16+EV!F421*Catalogo!$F$18</f>
        <v>#N/A</v>
      </c>
      <c r="J421" s="224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0" t="e">
        <f ca="1">IF(TODAY()&gt;=$A422,SUMIFS(Tabla1[Avance_km],Tabla1[Fecha],"&lt;="&amp;EV!$A422,Tabla1[nombre_actividad],EV!C$1),NA())</f>
        <v>#N/A</v>
      </c>
      <c r="D422" s="110" t="e">
        <f ca="1">IF(TODAY()&gt;=$A422,SUMIFS(Tabla1[Avance_km],Tabla1[Fecha],"&lt;="&amp;EV!$A422,Tabla1[nombre_actividad],EV!D$1),NA())</f>
        <v>#N/A</v>
      </c>
      <c r="E422" s="110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0" t="e">
        <f ca="1">IF(TODAY()&gt;=$A422,SUMIFS(Tabla1[Avance_km],Tabla1[Fecha],"&lt;="&amp;EV!$A422-1,Tabla1[nombre_actividad],EV!H$1),NA())</f>
        <v>#N/A</v>
      </c>
      <c r="I422" s="224" t="e">
        <f ca="1">+C422*Catalogo!$F$19+EV!D422*Catalogo!$F$14+EV!E422*Catalogo!$F$16+EV!F422*Catalogo!$F$18</f>
        <v>#N/A</v>
      </c>
      <c r="J422" s="224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0" t="e">
        <f ca="1">IF(TODAY()&gt;=$A423,SUMIFS(Tabla1[Avance_km],Tabla1[Fecha],"&lt;="&amp;EV!$A423,Tabla1[nombre_actividad],EV!C$1),NA())</f>
        <v>#N/A</v>
      </c>
      <c r="D423" s="110" t="e">
        <f ca="1">IF(TODAY()&gt;=$A423,SUMIFS(Tabla1[Avance_km],Tabla1[Fecha],"&lt;="&amp;EV!$A423,Tabla1[nombre_actividad],EV!D$1),NA())</f>
        <v>#N/A</v>
      </c>
      <c r="E423" s="110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0" t="e">
        <f ca="1">IF(TODAY()&gt;=$A423,SUMIFS(Tabla1[Avance_km],Tabla1[Fecha],"&lt;="&amp;EV!$A423-1,Tabla1[nombre_actividad],EV!H$1),NA())</f>
        <v>#N/A</v>
      </c>
      <c r="I423" s="224" t="e">
        <f ca="1">+C423*Catalogo!$F$19+EV!D423*Catalogo!$F$14+EV!E423*Catalogo!$F$16+EV!F423*Catalogo!$F$18</f>
        <v>#N/A</v>
      </c>
      <c r="J423" s="224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0" t="e">
        <f ca="1">IF(TODAY()&gt;=$A424,SUMIFS(Tabla1[Avance_km],Tabla1[Fecha],"&lt;="&amp;EV!$A424,Tabla1[nombre_actividad],EV!C$1),NA())</f>
        <v>#N/A</v>
      </c>
      <c r="D424" s="110" t="e">
        <f ca="1">IF(TODAY()&gt;=$A424,SUMIFS(Tabla1[Avance_km],Tabla1[Fecha],"&lt;="&amp;EV!$A424,Tabla1[nombre_actividad],EV!D$1),NA())</f>
        <v>#N/A</v>
      </c>
      <c r="E424" s="110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0" t="e">
        <f ca="1">IF(TODAY()&gt;=$A424,SUMIFS(Tabla1[Avance_km],Tabla1[Fecha],"&lt;="&amp;EV!$A424-1,Tabla1[nombre_actividad],EV!H$1),NA())</f>
        <v>#N/A</v>
      </c>
      <c r="I424" s="224" t="e">
        <f ca="1">+C424*Catalogo!$F$19+EV!D424*Catalogo!$F$14+EV!E424*Catalogo!$F$16+EV!F424*Catalogo!$F$18</f>
        <v>#N/A</v>
      </c>
      <c r="J424" s="224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0" t="e">
        <f ca="1">IF(TODAY()&gt;=$A425,SUMIFS(Tabla1[Avance_km],Tabla1[Fecha],"&lt;="&amp;EV!$A425,Tabla1[nombre_actividad],EV!C$1),NA())</f>
        <v>#N/A</v>
      </c>
      <c r="D425" s="110" t="e">
        <f ca="1">IF(TODAY()&gt;=$A425,SUMIFS(Tabla1[Avance_km],Tabla1[Fecha],"&lt;="&amp;EV!$A425,Tabla1[nombre_actividad],EV!D$1),NA())</f>
        <v>#N/A</v>
      </c>
      <c r="E425" s="110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0" t="e">
        <f ca="1">IF(TODAY()&gt;=$A425,SUMIFS(Tabla1[Avance_km],Tabla1[Fecha],"&lt;="&amp;EV!$A425-1,Tabla1[nombre_actividad],EV!H$1),NA())</f>
        <v>#N/A</v>
      </c>
      <c r="I425" s="224" t="e">
        <f ca="1">+C425*Catalogo!$F$19+EV!D425*Catalogo!$F$14+EV!E425*Catalogo!$F$16+EV!F425*Catalogo!$F$18</f>
        <v>#N/A</v>
      </c>
      <c r="J425" s="224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0" t="e">
        <f ca="1">IF(TODAY()&gt;=$A426,SUMIFS(Tabla1[Avance_km],Tabla1[Fecha],"&lt;="&amp;EV!$A426,Tabla1[nombre_actividad],EV!C$1),NA())</f>
        <v>#N/A</v>
      </c>
      <c r="D426" s="110" t="e">
        <f ca="1">IF(TODAY()&gt;=$A426,SUMIFS(Tabla1[Avance_km],Tabla1[Fecha],"&lt;="&amp;EV!$A426,Tabla1[nombre_actividad],EV!D$1),NA())</f>
        <v>#N/A</v>
      </c>
      <c r="E426" s="110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0" t="e">
        <f ca="1">IF(TODAY()&gt;=$A426,SUMIFS(Tabla1[Avance_km],Tabla1[Fecha],"&lt;="&amp;EV!$A426-1,Tabla1[nombre_actividad],EV!H$1),NA())</f>
        <v>#N/A</v>
      </c>
      <c r="I426" s="224" t="e">
        <f ca="1">+C426*Catalogo!$F$19+EV!D426*Catalogo!$F$14+EV!E426*Catalogo!$F$16+EV!F426*Catalogo!$F$18</f>
        <v>#N/A</v>
      </c>
      <c r="J426" s="224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0" t="e">
        <f ca="1">IF(TODAY()&gt;=$A427,SUMIFS(Tabla1[Avance_km],Tabla1[Fecha],"&lt;="&amp;EV!$A427,Tabla1[nombre_actividad],EV!C$1),NA())</f>
        <v>#N/A</v>
      </c>
      <c r="D427" s="110" t="e">
        <f ca="1">IF(TODAY()&gt;=$A427,SUMIFS(Tabla1[Avance_km],Tabla1[Fecha],"&lt;="&amp;EV!$A427,Tabla1[nombre_actividad],EV!D$1),NA())</f>
        <v>#N/A</v>
      </c>
      <c r="E427" s="110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0" t="e">
        <f ca="1">IF(TODAY()&gt;=$A427,SUMIFS(Tabla1[Avance_km],Tabla1[Fecha],"&lt;="&amp;EV!$A427-1,Tabla1[nombre_actividad],EV!H$1),NA())</f>
        <v>#N/A</v>
      </c>
      <c r="I427" s="224" t="e">
        <f ca="1">+C427*Catalogo!$F$19+EV!D427*Catalogo!$F$14+EV!E427*Catalogo!$F$16+EV!F427*Catalogo!$F$18</f>
        <v>#N/A</v>
      </c>
      <c r="J427" s="224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0" t="e">
        <f ca="1">IF(TODAY()&gt;=$A428,SUMIFS(Tabla1[Avance_km],Tabla1[Fecha],"&lt;="&amp;EV!$A428,Tabla1[nombre_actividad],EV!C$1),NA())</f>
        <v>#N/A</v>
      </c>
      <c r="D428" s="110" t="e">
        <f ca="1">IF(TODAY()&gt;=$A428,SUMIFS(Tabla1[Avance_km],Tabla1[Fecha],"&lt;="&amp;EV!$A428,Tabla1[nombre_actividad],EV!D$1),NA())</f>
        <v>#N/A</v>
      </c>
      <c r="E428" s="110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0" t="e">
        <f ca="1">IF(TODAY()&gt;=$A428,SUMIFS(Tabla1[Avance_km],Tabla1[Fecha],"&lt;="&amp;EV!$A428-1,Tabla1[nombre_actividad],EV!H$1),NA())</f>
        <v>#N/A</v>
      </c>
      <c r="I428" s="224" t="e">
        <f ca="1">+C428*Catalogo!$F$19+EV!D428*Catalogo!$F$14+EV!E428*Catalogo!$F$16+EV!F428*Catalogo!$F$18</f>
        <v>#N/A</v>
      </c>
      <c r="J428" s="224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0" t="e">
        <f ca="1">IF(TODAY()&gt;=$A429,SUMIFS(Tabla1[Avance_km],Tabla1[Fecha],"&lt;="&amp;EV!$A429,Tabla1[nombre_actividad],EV!C$1),NA())</f>
        <v>#N/A</v>
      </c>
      <c r="D429" s="110" t="e">
        <f ca="1">IF(TODAY()&gt;=$A429,SUMIFS(Tabla1[Avance_km],Tabla1[Fecha],"&lt;="&amp;EV!$A429,Tabla1[nombre_actividad],EV!D$1),NA())</f>
        <v>#N/A</v>
      </c>
      <c r="E429" s="110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0" t="e">
        <f ca="1">IF(TODAY()&gt;=$A429,SUMIFS(Tabla1[Avance_km],Tabla1[Fecha],"&lt;="&amp;EV!$A429-1,Tabla1[nombre_actividad],EV!H$1),NA())</f>
        <v>#N/A</v>
      </c>
      <c r="I429" s="224" t="e">
        <f ca="1">+C429*Catalogo!$F$19+EV!D429*Catalogo!$F$14+EV!E429*Catalogo!$F$16+EV!F429*Catalogo!$F$18</f>
        <v>#N/A</v>
      </c>
      <c r="J429" s="224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0" t="e">
        <f ca="1">IF(TODAY()&gt;=$A430,SUMIFS(Tabla1[Avance_km],Tabla1[Fecha],"&lt;="&amp;EV!$A430,Tabla1[nombre_actividad],EV!C$1),NA())</f>
        <v>#N/A</v>
      </c>
      <c r="D430" s="110" t="e">
        <f ca="1">IF(TODAY()&gt;=$A430,SUMIFS(Tabla1[Avance_km],Tabla1[Fecha],"&lt;="&amp;EV!$A430,Tabla1[nombre_actividad],EV!D$1),NA())</f>
        <v>#N/A</v>
      </c>
      <c r="E430" s="110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0" t="e">
        <f ca="1">IF(TODAY()&gt;=$A430,SUMIFS(Tabla1[Avance_km],Tabla1[Fecha],"&lt;="&amp;EV!$A430-1,Tabla1[nombre_actividad],EV!H$1),NA())</f>
        <v>#N/A</v>
      </c>
      <c r="I430" s="224" t="e">
        <f ca="1">+C430*Catalogo!$F$19+EV!D430*Catalogo!$F$14+EV!E430*Catalogo!$F$16+EV!F430*Catalogo!$F$18</f>
        <v>#N/A</v>
      </c>
      <c r="J430" s="224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0" t="e">
        <f ca="1">IF(TODAY()&gt;=$A431,SUMIFS(Tabla1[Avance_km],Tabla1[Fecha],"&lt;="&amp;EV!$A431,Tabla1[nombre_actividad],EV!C$1),NA())</f>
        <v>#N/A</v>
      </c>
      <c r="D431" s="110" t="e">
        <f ca="1">IF(TODAY()&gt;=$A431,SUMIFS(Tabla1[Avance_km],Tabla1[Fecha],"&lt;="&amp;EV!$A431,Tabla1[nombre_actividad],EV!D$1),NA())</f>
        <v>#N/A</v>
      </c>
      <c r="E431" s="110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0" t="e">
        <f ca="1">IF(TODAY()&gt;=$A431,SUMIFS(Tabla1[Avance_km],Tabla1[Fecha],"&lt;="&amp;EV!$A431-1,Tabla1[nombre_actividad],EV!H$1),NA())</f>
        <v>#N/A</v>
      </c>
      <c r="I431" s="224" t="e">
        <f ca="1">+C431*Catalogo!$F$19+EV!D431*Catalogo!$F$14+EV!E431*Catalogo!$F$16+EV!F431*Catalogo!$F$18</f>
        <v>#N/A</v>
      </c>
      <c r="J431" s="224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0" t="e">
        <f ca="1">IF(TODAY()&gt;=$A432,SUMIFS(Tabla1[Avance_km],Tabla1[Fecha],"&lt;="&amp;EV!$A432,Tabla1[nombre_actividad],EV!C$1),NA())</f>
        <v>#N/A</v>
      </c>
      <c r="D432" s="110" t="e">
        <f ca="1">IF(TODAY()&gt;=$A432,SUMIFS(Tabla1[Avance_km],Tabla1[Fecha],"&lt;="&amp;EV!$A432,Tabla1[nombre_actividad],EV!D$1),NA())</f>
        <v>#N/A</v>
      </c>
      <c r="E432" s="110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0" t="e">
        <f ca="1">IF(TODAY()&gt;=$A432,SUMIFS(Tabla1[Avance_km],Tabla1[Fecha],"&lt;="&amp;EV!$A432-1,Tabla1[nombre_actividad],EV!H$1),NA())</f>
        <v>#N/A</v>
      </c>
      <c r="I432" s="224" t="e">
        <f ca="1">+C432*Catalogo!$F$19+EV!D432*Catalogo!$F$14+EV!E432*Catalogo!$F$16+EV!F432*Catalogo!$F$18</f>
        <v>#N/A</v>
      </c>
      <c r="J432" s="224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0" t="e">
        <f ca="1">IF(TODAY()&gt;=$A433,SUMIFS(Tabla1[Avance_km],Tabla1[Fecha],"&lt;="&amp;EV!$A433,Tabla1[nombre_actividad],EV!C$1),NA())</f>
        <v>#N/A</v>
      </c>
      <c r="D433" s="110" t="e">
        <f ca="1">IF(TODAY()&gt;=$A433,SUMIFS(Tabla1[Avance_km],Tabla1[Fecha],"&lt;="&amp;EV!$A433,Tabla1[nombre_actividad],EV!D$1),NA())</f>
        <v>#N/A</v>
      </c>
      <c r="E433" s="110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0" t="e">
        <f ca="1">IF(TODAY()&gt;=$A433,SUMIFS(Tabla1[Avance_km],Tabla1[Fecha],"&lt;="&amp;EV!$A433-1,Tabla1[nombre_actividad],EV!H$1),NA())</f>
        <v>#N/A</v>
      </c>
      <c r="I433" s="224" t="e">
        <f ca="1">+C433*Catalogo!$F$19+EV!D433*Catalogo!$F$14+EV!E433*Catalogo!$F$16+EV!F433*Catalogo!$F$18</f>
        <v>#N/A</v>
      </c>
      <c r="J433" s="224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0" t="e">
        <f ca="1">IF(TODAY()&gt;=$A434,SUMIFS(Tabla1[Avance_km],Tabla1[Fecha],"&lt;="&amp;EV!$A434,Tabla1[nombre_actividad],EV!C$1),NA())</f>
        <v>#N/A</v>
      </c>
      <c r="D434" s="110" t="e">
        <f ca="1">IF(TODAY()&gt;=$A434,SUMIFS(Tabla1[Avance_km],Tabla1[Fecha],"&lt;="&amp;EV!$A434,Tabla1[nombre_actividad],EV!D$1),NA())</f>
        <v>#N/A</v>
      </c>
      <c r="E434" s="110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0" t="e">
        <f ca="1">IF(TODAY()&gt;=$A434,SUMIFS(Tabla1[Avance_km],Tabla1[Fecha],"&lt;="&amp;EV!$A434-1,Tabla1[nombre_actividad],EV!H$1),NA())</f>
        <v>#N/A</v>
      </c>
      <c r="I434" s="224" t="e">
        <f ca="1">+C434*Catalogo!$F$19+EV!D434*Catalogo!$F$14+EV!E434*Catalogo!$F$16+EV!F434*Catalogo!$F$18</f>
        <v>#N/A</v>
      </c>
      <c r="J434" s="224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0" t="e">
        <f ca="1">IF(TODAY()&gt;=$A435,SUMIFS(Tabla1[Avance_km],Tabla1[Fecha],"&lt;="&amp;EV!$A435,Tabla1[nombre_actividad],EV!C$1),NA())</f>
        <v>#N/A</v>
      </c>
      <c r="D435" s="110" t="e">
        <f ca="1">IF(TODAY()&gt;=$A435,SUMIFS(Tabla1[Avance_km],Tabla1[Fecha],"&lt;="&amp;EV!$A435,Tabla1[nombre_actividad],EV!D$1),NA())</f>
        <v>#N/A</v>
      </c>
      <c r="E435" s="110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0" t="e">
        <f ca="1">IF(TODAY()&gt;=$A435,SUMIFS(Tabla1[Avance_km],Tabla1[Fecha],"&lt;="&amp;EV!$A435-1,Tabla1[nombre_actividad],EV!H$1),NA())</f>
        <v>#N/A</v>
      </c>
      <c r="I435" s="224" t="e">
        <f ca="1">+C435*Catalogo!$F$19+EV!D435*Catalogo!$F$14+EV!E435*Catalogo!$F$16+EV!F435*Catalogo!$F$18</f>
        <v>#N/A</v>
      </c>
      <c r="J435" s="224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0" t="e">
        <f ca="1">IF(TODAY()&gt;=$A436,SUMIFS(Tabla1[Avance_km],Tabla1[Fecha],"&lt;="&amp;EV!$A436,Tabla1[nombre_actividad],EV!C$1),NA())</f>
        <v>#N/A</v>
      </c>
      <c r="D436" s="110" t="e">
        <f ca="1">IF(TODAY()&gt;=$A436,SUMIFS(Tabla1[Avance_km],Tabla1[Fecha],"&lt;="&amp;EV!$A436,Tabla1[nombre_actividad],EV!D$1),NA())</f>
        <v>#N/A</v>
      </c>
      <c r="E436" s="110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0" t="e">
        <f ca="1">IF(TODAY()&gt;=$A436,SUMIFS(Tabla1[Avance_km],Tabla1[Fecha],"&lt;="&amp;EV!$A436-1,Tabla1[nombre_actividad],EV!H$1),NA())</f>
        <v>#N/A</v>
      </c>
      <c r="I436" s="224" t="e">
        <f ca="1">+C436*Catalogo!$F$19+EV!D436*Catalogo!$F$14+EV!E436*Catalogo!$F$16+EV!F436*Catalogo!$F$18</f>
        <v>#N/A</v>
      </c>
      <c r="J436" s="224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0" t="e">
        <f ca="1">IF(TODAY()&gt;=$A437,SUMIFS(Tabla1[Avance_km],Tabla1[Fecha],"&lt;="&amp;EV!$A437,Tabla1[nombre_actividad],EV!C$1),NA())</f>
        <v>#N/A</v>
      </c>
      <c r="D437" s="110" t="e">
        <f ca="1">IF(TODAY()&gt;=$A437,SUMIFS(Tabla1[Avance_km],Tabla1[Fecha],"&lt;="&amp;EV!$A437,Tabla1[nombre_actividad],EV!D$1),NA())</f>
        <v>#N/A</v>
      </c>
      <c r="E437" s="110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0" t="e">
        <f ca="1">IF(TODAY()&gt;=$A437,SUMIFS(Tabla1[Avance_km],Tabla1[Fecha],"&lt;="&amp;EV!$A437-1,Tabla1[nombre_actividad],EV!H$1),NA())</f>
        <v>#N/A</v>
      </c>
      <c r="I437" s="224" t="e">
        <f ca="1">+C437*Catalogo!$F$19+EV!D437*Catalogo!$F$14+EV!E437*Catalogo!$F$16+EV!F437*Catalogo!$F$18</f>
        <v>#N/A</v>
      </c>
      <c r="J437" s="224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0" t="e">
        <f ca="1">IF(TODAY()&gt;=$A438,SUMIFS(Tabla1[Avance_km],Tabla1[Fecha],"&lt;="&amp;EV!$A438,Tabla1[nombre_actividad],EV!C$1),NA())</f>
        <v>#N/A</v>
      </c>
      <c r="D438" s="110" t="e">
        <f ca="1">IF(TODAY()&gt;=$A438,SUMIFS(Tabla1[Avance_km],Tabla1[Fecha],"&lt;="&amp;EV!$A438,Tabla1[nombre_actividad],EV!D$1),NA())</f>
        <v>#N/A</v>
      </c>
      <c r="E438" s="110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0" t="e">
        <f ca="1">IF(TODAY()&gt;=$A438,SUMIFS(Tabla1[Avance_km],Tabla1[Fecha],"&lt;="&amp;EV!$A438-1,Tabla1[nombre_actividad],EV!H$1),NA())</f>
        <v>#N/A</v>
      </c>
      <c r="I438" s="224" t="e">
        <f ca="1">+C438*Catalogo!$F$19+EV!D438*Catalogo!$F$14+EV!E438*Catalogo!$F$16+EV!F438*Catalogo!$F$18</f>
        <v>#N/A</v>
      </c>
      <c r="J438" s="224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0" t="e">
        <f ca="1">IF(TODAY()&gt;=$A439,SUMIFS(Tabla1[Avance_km],Tabla1[Fecha],"&lt;="&amp;EV!$A439,Tabla1[nombre_actividad],EV!C$1),NA())</f>
        <v>#N/A</v>
      </c>
      <c r="D439" s="110" t="e">
        <f ca="1">IF(TODAY()&gt;=$A439,SUMIFS(Tabla1[Avance_km],Tabla1[Fecha],"&lt;="&amp;EV!$A439,Tabla1[nombre_actividad],EV!D$1),NA())</f>
        <v>#N/A</v>
      </c>
      <c r="E439" s="110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0" t="e">
        <f ca="1">IF(TODAY()&gt;=$A439,SUMIFS(Tabla1[Avance_km],Tabla1[Fecha],"&lt;="&amp;EV!$A439-1,Tabla1[nombre_actividad],EV!H$1),NA())</f>
        <v>#N/A</v>
      </c>
      <c r="I439" s="224" t="e">
        <f ca="1">+C439*Catalogo!$F$19+EV!D439*Catalogo!$F$14+EV!E439*Catalogo!$F$16+EV!F439*Catalogo!$F$18</f>
        <v>#N/A</v>
      </c>
      <c r="J439" s="224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0" t="e">
        <f ca="1">IF(TODAY()&gt;=$A440,SUMIFS(Tabla1[Avance_km],Tabla1[Fecha],"&lt;="&amp;EV!$A440,Tabla1[nombre_actividad],EV!C$1),NA())</f>
        <v>#N/A</v>
      </c>
      <c r="D440" s="110" t="e">
        <f ca="1">IF(TODAY()&gt;=$A440,SUMIFS(Tabla1[Avance_km],Tabla1[Fecha],"&lt;="&amp;EV!$A440,Tabla1[nombre_actividad],EV!D$1),NA())</f>
        <v>#N/A</v>
      </c>
      <c r="E440" s="110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0" t="e">
        <f ca="1">IF(TODAY()&gt;=$A440,SUMIFS(Tabla1[Avance_km],Tabla1[Fecha],"&lt;="&amp;EV!$A440-1,Tabla1[nombre_actividad],EV!H$1),NA())</f>
        <v>#N/A</v>
      </c>
      <c r="I440" s="224" t="e">
        <f ca="1">+C440*Catalogo!$F$19+EV!D440*Catalogo!$F$14+EV!E440*Catalogo!$F$16+EV!F440*Catalogo!$F$18</f>
        <v>#N/A</v>
      </c>
      <c r="J440" s="224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0" t="e">
        <f ca="1">IF(TODAY()&gt;=$A441,SUMIFS(Tabla1[Avance_km],Tabla1[Fecha],"&lt;="&amp;EV!$A441,Tabla1[nombre_actividad],EV!C$1),NA())</f>
        <v>#N/A</v>
      </c>
      <c r="D441" s="110" t="e">
        <f ca="1">IF(TODAY()&gt;=$A441,SUMIFS(Tabla1[Avance_km],Tabla1[Fecha],"&lt;="&amp;EV!$A441,Tabla1[nombre_actividad],EV!D$1),NA())</f>
        <v>#N/A</v>
      </c>
      <c r="E441" s="110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0" t="e">
        <f ca="1">IF(TODAY()&gt;=$A441,SUMIFS(Tabla1[Avance_km],Tabla1[Fecha],"&lt;="&amp;EV!$A441-1,Tabla1[nombre_actividad],EV!H$1),NA())</f>
        <v>#N/A</v>
      </c>
      <c r="I441" s="224" t="e">
        <f ca="1">+C441*Catalogo!$F$19+EV!D441*Catalogo!$F$14+EV!E441*Catalogo!$F$16+EV!F441*Catalogo!$F$18</f>
        <v>#N/A</v>
      </c>
      <c r="J441" s="224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0" t="e">
        <f ca="1">IF(TODAY()&gt;=$A442,SUMIFS(Tabla1[Avance_km],Tabla1[Fecha],"&lt;="&amp;EV!$A442,Tabla1[nombre_actividad],EV!C$1),NA())</f>
        <v>#N/A</v>
      </c>
      <c r="D442" s="110" t="e">
        <f ca="1">IF(TODAY()&gt;=$A442,SUMIFS(Tabla1[Avance_km],Tabla1[Fecha],"&lt;="&amp;EV!$A442,Tabla1[nombre_actividad],EV!D$1),NA())</f>
        <v>#N/A</v>
      </c>
      <c r="E442" s="110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0" t="e">
        <f ca="1">IF(TODAY()&gt;=$A442,SUMIFS(Tabla1[Avance_km],Tabla1[Fecha],"&lt;="&amp;EV!$A442-1,Tabla1[nombre_actividad],EV!H$1),NA())</f>
        <v>#N/A</v>
      </c>
      <c r="I442" s="224" t="e">
        <f ca="1">+C442*Catalogo!$F$19+EV!D442*Catalogo!$F$14+EV!E442*Catalogo!$F$16+EV!F442*Catalogo!$F$18</f>
        <v>#N/A</v>
      </c>
      <c r="J442" s="224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0" t="e">
        <f ca="1">IF(TODAY()&gt;=$A443,SUMIFS(Tabla1[Avance_km],Tabla1[Fecha],"&lt;="&amp;EV!$A443,Tabla1[nombre_actividad],EV!C$1),NA())</f>
        <v>#N/A</v>
      </c>
      <c r="D443" s="110" t="e">
        <f ca="1">IF(TODAY()&gt;=$A443,SUMIFS(Tabla1[Avance_km],Tabla1[Fecha],"&lt;="&amp;EV!$A443,Tabla1[nombre_actividad],EV!D$1),NA())</f>
        <v>#N/A</v>
      </c>
      <c r="E443" s="110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0" t="e">
        <f ca="1">IF(TODAY()&gt;=$A443,SUMIFS(Tabla1[Avance_km],Tabla1[Fecha],"&lt;="&amp;EV!$A443-1,Tabla1[nombre_actividad],EV!H$1),NA())</f>
        <v>#N/A</v>
      </c>
      <c r="I443" s="224" t="e">
        <f ca="1">+C443*Catalogo!$F$19+EV!D443*Catalogo!$F$14+EV!E443*Catalogo!$F$16+EV!F443*Catalogo!$F$18</f>
        <v>#N/A</v>
      </c>
      <c r="J443" s="224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0" t="e">
        <f ca="1">IF(TODAY()&gt;=$A444,SUMIFS(Tabla1[Avance_km],Tabla1[Fecha],"&lt;="&amp;EV!$A444,Tabla1[nombre_actividad],EV!C$1),NA())</f>
        <v>#N/A</v>
      </c>
      <c r="D444" s="110" t="e">
        <f ca="1">IF(TODAY()&gt;=$A444,SUMIFS(Tabla1[Avance_km],Tabla1[Fecha],"&lt;="&amp;EV!$A444,Tabla1[nombre_actividad],EV!D$1),NA())</f>
        <v>#N/A</v>
      </c>
      <c r="E444" s="110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0" t="e">
        <f ca="1">IF(TODAY()&gt;=$A444,SUMIFS(Tabla1[Avance_km],Tabla1[Fecha],"&lt;="&amp;EV!$A444-1,Tabla1[nombre_actividad],EV!H$1),NA())</f>
        <v>#N/A</v>
      </c>
      <c r="I444" s="224" t="e">
        <f ca="1">+C444*Catalogo!$F$19+EV!D444*Catalogo!$F$14+EV!E444*Catalogo!$F$16+EV!F444*Catalogo!$F$18</f>
        <v>#N/A</v>
      </c>
      <c r="J444" s="224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0" t="e">
        <f ca="1">IF(TODAY()&gt;=$A445,SUMIFS(Tabla1[Avance_km],Tabla1[Fecha],"&lt;="&amp;EV!$A445,Tabla1[nombre_actividad],EV!C$1),NA())</f>
        <v>#N/A</v>
      </c>
      <c r="D445" s="110" t="e">
        <f ca="1">IF(TODAY()&gt;=$A445,SUMIFS(Tabla1[Avance_km],Tabla1[Fecha],"&lt;="&amp;EV!$A445,Tabla1[nombre_actividad],EV!D$1),NA())</f>
        <v>#N/A</v>
      </c>
      <c r="E445" s="110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0" t="e">
        <f ca="1">IF(TODAY()&gt;=$A445,SUMIFS(Tabla1[Avance_km],Tabla1[Fecha],"&lt;="&amp;EV!$A445-1,Tabla1[nombre_actividad],EV!H$1),NA())</f>
        <v>#N/A</v>
      </c>
      <c r="I445" s="224" t="e">
        <f ca="1">+C445*Catalogo!$F$19+EV!D445*Catalogo!$F$14+EV!E445*Catalogo!$F$16+EV!F445*Catalogo!$F$18</f>
        <v>#N/A</v>
      </c>
      <c r="J445" s="224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0" t="e">
        <f ca="1">IF(TODAY()&gt;=$A446,SUMIFS(Tabla1[Avance_km],Tabla1[Fecha],"&lt;="&amp;EV!$A446,Tabla1[nombre_actividad],EV!C$1),NA())</f>
        <v>#N/A</v>
      </c>
      <c r="D446" s="110" t="e">
        <f ca="1">IF(TODAY()&gt;=$A446,SUMIFS(Tabla1[Avance_km],Tabla1[Fecha],"&lt;="&amp;EV!$A446,Tabla1[nombre_actividad],EV!D$1),NA())</f>
        <v>#N/A</v>
      </c>
      <c r="E446" s="110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0" t="e">
        <f ca="1">IF(TODAY()&gt;=$A446,SUMIFS(Tabla1[Avance_km],Tabla1[Fecha],"&lt;="&amp;EV!$A446-1,Tabla1[nombre_actividad],EV!H$1),NA())</f>
        <v>#N/A</v>
      </c>
      <c r="I446" s="224" t="e">
        <f ca="1">+C446*Catalogo!$F$19+EV!D446*Catalogo!$F$14+EV!E446*Catalogo!$F$16+EV!F446*Catalogo!$F$18</f>
        <v>#N/A</v>
      </c>
      <c r="J446" s="224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0" t="e">
        <f ca="1">IF(TODAY()&gt;=$A447,SUMIFS(Tabla1[Avance_km],Tabla1[Fecha],"&lt;="&amp;EV!$A447,Tabla1[nombre_actividad],EV!C$1),NA())</f>
        <v>#N/A</v>
      </c>
      <c r="D447" s="110" t="e">
        <f ca="1">IF(TODAY()&gt;=$A447,SUMIFS(Tabla1[Avance_km],Tabla1[Fecha],"&lt;="&amp;EV!$A447,Tabla1[nombre_actividad],EV!D$1),NA())</f>
        <v>#N/A</v>
      </c>
      <c r="E447" s="110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0" t="e">
        <f ca="1">IF(TODAY()&gt;=$A447,SUMIFS(Tabla1[Avance_km],Tabla1[Fecha],"&lt;="&amp;EV!$A447-1,Tabla1[nombre_actividad],EV!H$1),NA())</f>
        <v>#N/A</v>
      </c>
      <c r="I447" s="224" t="e">
        <f ca="1">+C447*Catalogo!$F$19+EV!D447*Catalogo!$F$14+EV!E447*Catalogo!$F$16+EV!F447*Catalogo!$F$18</f>
        <v>#N/A</v>
      </c>
      <c r="J447" s="224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0" t="e">
        <f ca="1">IF(TODAY()&gt;=$A448,SUMIFS(Tabla1[Avance_km],Tabla1[Fecha],"&lt;="&amp;EV!$A448,Tabla1[nombre_actividad],EV!C$1),NA())</f>
        <v>#N/A</v>
      </c>
      <c r="D448" s="110" t="e">
        <f ca="1">IF(TODAY()&gt;=$A448,SUMIFS(Tabla1[Avance_km],Tabla1[Fecha],"&lt;="&amp;EV!$A448,Tabla1[nombre_actividad],EV!D$1),NA())</f>
        <v>#N/A</v>
      </c>
      <c r="E448" s="110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0" t="e">
        <f ca="1">IF(TODAY()&gt;=$A448,SUMIFS(Tabla1[Avance_km],Tabla1[Fecha],"&lt;="&amp;EV!$A448-1,Tabla1[nombre_actividad],EV!H$1),NA())</f>
        <v>#N/A</v>
      </c>
      <c r="I448" s="224" t="e">
        <f ca="1">+C448*Catalogo!$F$19+EV!D448*Catalogo!$F$14+EV!E448*Catalogo!$F$16+EV!F448*Catalogo!$F$18</f>
        <v>#N/A</v>
      </c>
      <c r="J448" s="224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0" t="e">
        <f ca="1">IF(TODAY()&gt;=$A449,SUMIFS(Tabla1[Avance_km],Tabla1[Fecha],"&lt;="&amp;EV!$A449,Tabla1[nombre_actividad],EV!C$1),NA())</f>
        <v>#N/A</v>
      </c>
      <c r="D449" s="110" t="e">
        <f ca="1">IF(TODAY()&gt;=$A449,SUMIFS(Tabla1[Avance_km],Tabla1[Fecha],"&lt;="&amp;EV!$A449,Tabla1[nombre_actividad],EV!D$1),NA())</f>
        <v>#N/A</v>
      </c>
      <c r="E449" s="110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0" t="e">
        <f ca="1">IF(TODAY()&gt;=$A449,SUMIFS(Tabla1[Avance_km],Tabla1[Fecha],"&lt;="&amp;EV!$A449-1,Tabla1[nombre_actividad],EV!H$1),NA())</f>
        <v>#N/A</v>
      </c>
      <c r="I449" s="224" t="e">
        <f ca="1">+C449*Catalogo!$F$19+EV!D449*Catalogo!$F$14+EV!E449*Catalogo!$F$16+EV!F449*Catalogo!$F$18</f>
        <v>#N/A</v>
      </c>
      <c r="J449" s="224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0" t="e">
        <f ca="1">IF(TODAY()&gt;=$A450,SUMIFS(Tabla1[Avance_km],Tabla1[Fecha],"&lt;="&amp;EV!$A450,Tabla1[nombre_actividad],EV!C$1),NA())</f>
        <v>#N/A</v>
      </c>
      <c r="D450" s="110" t="e">
        <f ca="1">IF(TODAY()&gt;=$A450,SUMIFS(Tabla1[Avance_km],Tabla1[Fecha],"&lt;="&amp;EV!$A450,Tabla1[nombre_actividad],EV!D$1),NA())</f>
        <v>#N/A</v>
      </c>
      <c r="E450" s="110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0" t="e">
        <f ca="1">IF(TODAY()&gt;=$A450,SUMIFS(Tabla1[Avance_km],Tabla1[Fecha],"&lt;="&amp;EV!$A450-1,Tabla1[nombre_actividad],EV!H$1),NA())</f>
        <v>#N/A</v>
      </c>
      <c r="I450" s="224" t="e">
        <f ca="1">+C450*Catalogo!$F$19+EV!D450*Catalogo!$F$14+EV!E450*Catalogo!$F$16+EV!F450*Catalogo!$F$18</f>
        <v>#N/A</v>
      </c>
      <c r="J450" s="224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0" t="e">
        <f ca="1">IF(TODAY()&gt;=$A451,SUMIFS(Tabla1[Avance_km],Tabla1[Fecha],"&lt;="&amp;EV!$A451,Tabla1[nombre_actividad],EV!C$1),NA())</f>
        <v>#N/A</v>
      </c>
      <c r="D451" s="110" t="e">
        <f ca="1">IF(TODAY()&gt;=$A451,SUMIFS(Tabla1[Avance_km],Tabla1[Fecha],"&lt;="&amp;EV!$A451,Tabla1[nombre_actividad],EV!D$1),NA())</f>
        <v>#N/A</v>
      </c>
      <c r="E451" s="110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0" t="e">
        <f ca="1">IF(TODAY()&gt;=$A451,SUMIFS(Tabla1[Avance_km],Tabla1[Fecha],"&lt;="&amp;EV!$A451-1,Tabla1[nombre_actividad],EV!H$1),NA())</f>
        <v>#N/A</v>
      </c>
      <c r="I451" s="224" t="e">
        <f ca="1">+C451*Catalogo!$F$19+EV!D451*Catalogo!$F$14+EV!E451*Catalogo!$F$16+EV!F451*Catalogo!$F$18</f>
        <v>#N/A</v>
      </c>
      <c r="J451" s="224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0" t="e">
        <f ca="1">IF(TODAY()&gt;=$A452,SUMIFS(Tabla1[Avance_km],Tabla1[Fecha],"&lt;="&amp;EV!$A452,Tabla1[nombre_actividad],EV!C$1),NA())</f>
        <v>#N/A</v>
      </c>
      <c r="D452" s="110" t="e">
        <f ca="1">IF(TODAY()&gt;=$A452,SUMIFS(Tabla1[Avance_km],Tabla1[Fecha],"&lt;="&amp;EV!$A452,Tabla1[nombre_actividad],EV!D$1),NA())</f>
        <v>#N/A</v>
      </c>
      <c r="E452" s="110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0" t="e">
        <f ca="1">IF(TODAY()&gt;=$A452,SUMIFS(Tabla1[Avance_km],Tabla1[Fecha],"&lt;="&amp;EV!$A452-1,Tabla1[nombre_actividad],EV!H$1),NA())</f>
        <v>#N/A</v>
      </c>
      <c r="I452" s="224" t="e">
        <f ca="1">+C452*Catalogo!$F$19+EV!D452*Catalogo!$F$14+EV!E452*Catalogo!$F$16+EV!F452*Catalogo!$F$18</f>
        <v>#N/A</v>
      </c>
      <c r="J452" s="224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0" t="e">
        <f ca="1">IF(TODAY()&gt;=$A453,SUMIFS(Tabla1[Avance_km],Tabla1[Fecha],"&lt;="&amp;EV!$A453,Tabla1[nombre_actividad],EV!C$1),NA())</f>
        <v>#N/A</v>
      </c>
      <c r="D453" s="110" t="e">
        <f ca="1">IF(TODAY()&gt;=$A453,SUMIFS(Tabla1[Avance_km],Tabla1[Fecha],"&lt;="&amp;EV!$A453,Tabla1[nombre_actividad],EV!D$1),NA())</f>
        <v>#N/A</v>
      </c>
      <c r="E453" s="110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0" t="e">
        <f ca="1">IF(TODAY()&gt;=$A453,SUMIFS(Tabla1[Avance_km],Tabla1[Fecha],"&lt;="&amp;EV!$A453-1,Tabla1[nombre_actividad],EV!H$1),NA())</f>
        <v>#N/A</v>
      </c>
      <c r="I453" s="224" t="e">
        <f ca="1">+C453*Catalogo!$F$19+EV!D453*Catalogo!$F$14+EV!E453*Catalogo!$F$16+EV!F453*Catalogo!$F$18</f>
        <v>#N/A</v>
      </c>
      <c r="J453" s="224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0" t="e">
        <f ca="1">IF(TODAY()&gt;=$A454,SUMIFS(Tabla1[Avance_km],Tabla1[Fecha],"&lt;="&amp;EV!$A454,Tabla1[nombre_actividad],EV!C$1),NA())</f>
        <v>#N/A</v>
      </c>
      <c r="D454" s="110" t="e">
        <f ca="1">IF(TODAY()&gt;=$A454,SUMIFS(Tabla1[Avance_km],Tabla1[Fecha],"&lt;="&amp;EV!$A454,Tabla1[nombre_actividad],EV!D$1),NA())</f>
        <v>#N/A</v>
      </c>
      <c r="E454" s="110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0" t="e">
        <f ca="1">IF(TODAY()&gt;=$A454,SUMIFS(Tabla1[Avance_km],Tabla1[Fecha],"&lt;="&amp;EV!$A454-1,Tabla1[nombre_actividad],EV!H$1),NA())</f>
        <v>#N/A</v>
      </c>
      <c r="I454" s="224" t="e">
        <f ca="1">+C454*Catalogo!$F$19+EV!D454*Catalogo!$F$14+EV!E454*Catalogo!$F$16+EV!F454*Catalogo!$F$18</f>
        <v>#N/A</v>
      </c>
      <c r="J454" s="224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0" t="e">
        <f ca="1">IF(TODAY()&gt;=$A455,SUMIFS(Tabla1[Avance_km],Tabla1[Fecha],"&lt;="&amp;EV!$A455,Tabla1[nombre_actividad],EV!C$1),NA())</f>
        <v>#N/A</v>
      </c>
      <c r="D455" s="110" t="e">
        <f ca="1">IF(TODAY()&gt;=$A455,SUMIFS(Tabla1[Avance_km],Tabla1[Fecha],"&lt;="&amp;EV!$A455,Tabla1[nombre_actividad],EV!D$1),NA())</f>
        <v>#N/A</v>
      </c>
      <c r="E455" s="110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0" t="e">
        <f ca="1">IF(TODAY()&gt;=$A455,SUMIFS(Tabla1[Avance_km],Tabla1[Fecha],"&lt;="&amp;EV!$A455-1,Tabla1[nombre_actividad],EV!H$1),NA())</f>
        <v>#N/A</v>
      </c>
      <c r="I455" s="224" t="e">
        <f ca="1">+C455*Catalogo!$F$19+EV!D455*Catalogo!$F$14+EV!E455*Catalogo!$F$16+EV!F455*Catalogo!$F$18</f>
        <v>#N/A</v>
      </c>
      <c r="J455" s="224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0" t="e">
        <f ca="1">IF(TODAY()&gt;=$A456,SUMIFS(Tabla1[Avance_km],Tabla1[Fecha],"&lt;="&amp;EV!$A456,Tabla1[nombre_actividad],EV!C$1),NA())</f>
        <v>#N/A</v>
      </c>
      <c r="D456" s="110" t="e">
        <f ca="1">IF(TODAY()&gt;=$A456,SUMIFS(Tabla1[Avance_km],Tabla1[Fecha],"&lt;="&amp;EV!$A456,Tabla1[nombre_actividad],EV!D$1),NA())</f>
        <v>#N/A</v>
      </c>
      <c r="E456" s="110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0" t="e">
        <f ca="1">IF(TODAY()&gt;=$A456,SUMIFS(Tabla1[Avance_km],Tabla1[Fecha],"&lt;="&amp;EV!$A456-1,Tabla1[nombre_actividad],EV!H$1),NA())</f>
        <v>#N/A</v>
      </c>
      <c r="I456" s="224" t="e">
        <f ca="1">+C456*Catalogo!$F$19+EV!D456*Catalogo!$F$14+EV!E456*Catalogo!$F$16+EV!F456*Catalogo!$F$18</f>
        <v>#N/A</v>
      </c>
      <c r="J456" s="224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0" t="e">
        <f ca="1">IF(TODAY()&gt;=$A457,SUMIFS(Tabla1[Avance_km],Tabla1[Fecha],"&lt;="&amp;EV!$A457,Tabla1[nombre_actividad],EV!C$1),NA())</f>
        <v>#N/A</v>
      </c>
      <c r="D457" s="110" t="e">
        <f ca="1">IF(TODAY()&gt;=$A457,SUMIFS(Tabla1[Avance_km],Tabla1[Fecha],"&lt;="&amp;EV!$A457,Tabla1[nombre_actividad],EV!D$1),NA())</f>
        <v>#N/A</v>
      </c>
      <c r="E457" s="110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0" t="e">
        <f ca="1">IF(TODAY()&gt;=$A457,SUMIFS(Tabla1[Avance_km],Tabla1[Fecha],"&lt;="&amp;EV!$A457-1,Tabla1[nombre_actividad],EV!H$1),NA())</f>
        <v>#N/A</v>
      </c>
      <c r="I457" s="224" t="e">
        <f ca="1">+C457*Catalogo!$F$19+EV!D457*Catalogo!$F$14+EV!E457*Catalogo!$F$16+EV!F457*Catalogo!$F$18</f>
        <v>#N/A</v>
      </c>
      <c r="J457" s="224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0" t="e">
        <f ca="1">IF(TODAY()&gt;=$A458,SUMIFS(Tabla1[Avance_km],Tabla1[Fecha],"&lt;="&amp;EV!$A458,Tabla1[nombre_actividad],EV!C$1),NA())</f>
        <v>#N/A</v>
      </c>
      <c r="D458" s="110" t="e">
        <f ca="1">IF(TODAY()&gt;=$A458,SUMIFS(Tabla1[Avance_km],Tabla1[Fecha],"&lt;="&amp;EV!$A458,Tabla1[nombre_actividad],EV!D$1),NA())</f>
        <v>#N/A</v>
      </c>
      <c r="E458" s="110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0" t="e">
        <f ca="1">IF(TODAY()&gt;=$A458,SUMIFS(Tabla1[Avance_km],Tabla1[Fecha],"&lt;="&amp;EV!$A458-1,Tabla1[nombre_actividad],EV!H$1),NA())</f>
        <v>#N/A</v>
      </c>
      <c r="I458" s="224" t="e">
        <f ca="1">+C458*Catalogo!$F$19+EV!D458*Catalogo!$F$14+EV!E458*Catalogo!$F$16+EV!F458*Catalogo!$F$18</f>
        <v>#N/A</v>
      </c>
      <c r="J458" s="224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0" t="e">
        <f ca="1">IF(TODAY()&gt;=$A459,SUMIFS(Tabla1[Avance_km],Tabla1[Fecha],"&lt;="&amp;EV!$A459,Tabla1[nombre_actividad],EV!C$1),NA())</f>
        <v>#N/A</v>
      </c>
      <c r="D459" s="110" t="e">
        <f ca="1">IF(TODAY()&gt;=$A459,SUMIFS(Tabla1[Avance_km],Tabla1[Fecha],"&lt;="&amp;EV!$A459,Tabla1[nombre_actividad],EV!D$1),NA())</f>
        <v>#N/A</v>
      </c>
      <c r="E459" s="110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0" t="e">
        <f ca="1">IF(TODAY()&gt;=$A459,SUMIFS(Tabla1[Avance_km],Tabla1[Fecha],"&lt;="&amp;EV!$A459-1,Tabla1[nombre_actividad],EV!H$1),NA())</f>
        <v>#N/A</v>
      </c>
      <c r="I459" s="224" t="e">
        <f ca="1">+C459*Catalogo!$F$19+EV!D459*Catalogo!$F$14+EV!E459*Catalogo!$F$16+EV!F459*Catalogo!$F$18</f>
        <v>#N/A</v>
      </c>
      <c r="J459" s="224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0" t="e">
        <f ca="1">IF(TODAY()&gt;=$A460,SUMIFS(Tabla1[Avance_km],Tabla1[Fecha],"&lt;="&amp;EV!$A460,Tabla1[nombre_actividad],EV!C$1),NA())</f>
        <v>#N/A</v>
      </c>
      <c r="D460" s="110" t="e">
        <f ca="1">IF(TODAY()&gt;=$A460,SUMIFS(Tabla1[Avance_km],Tabla1[Fecha],"&lt;="&amp;EV!$A460,Tabla1[nombre_actividad],EV!D$1),NA())</f>
        <v>#N/A</v>
      </c>
      <c r="E460" s="110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0" t="e">
        <f ca="1">IF(TODAY()&gt;=$A460,SUMIFS(Tabla1[Avance_km],Tabla1[Fecha],"&lt;="&amp;EV!$A460-1,Tabla1[nombre_actividad],EV!H$1),NA())</f>
        <v>#N/A</v>
      </c>
      <c r="I460" s="224" t="e">
        <f ca="1">+C460*Catalogo!$F$19+EV!D460*Catalogo!$F$14+EV!E460*Catalogo!$F$16+EV!F460*Catalogo!$F$18</f>
        <v>#N/A</v>
      </c>
      <c r="J460" s="224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0" t="e">
        <f ca="1">IF(TODAY()&gt;=$A461,SUMIFS(Tabla1[Avance_km],Tabla1[Fecha],"&lt;="&amp;EV!$A461,Tabla1[nombre_actividad],EV!C$1),NA())</f>
        <v>#N/A</v>
      </c>
      <c r="D461" s="110" t="e">
        <f ca="1">IF(TODAY()&gt;=$A461,SUMIFS(Tabla1[Avance_km],Tabla1[Fecha],"&lt;="&amp;EV!$A461,Tabla1[nombre_actividad],EV!D$1),NA())</f>
        <v>#N/A</v>
      </c>
      <c r="E461" s="110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0" t="e">
        <f ca="1">IF(TODAY()&gt;=$A461,SUMIFS(Tabla1[Avance_km],Tabla1[Fecha],"&lt;="&amp;EV!$A461-1,Tabla1[nombre_actividad],EV!H$1),NA())</f>
        <v>#N/A</v>
      </c>
      <c r="I461" s="224" t="e">
        <f ca="1">+C461*Catalogo!$F$19+EV!D461*Catalogo!$F$14+EV!E461*Catalogo!$F$16+EV!F461*Catalogo!$F$18</f>
        <v>#N/A</v>
      </c>
      <c r="J461" s="224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0" t="e">
        <f ca="1">IF(TODAY()&gt;=$A462,SUMIFS(Tabla1[Avance_km],Tabla1[Fecha],"&lt;="&amp;EV!$A462,Tabla1[nombre_actividad],EV!C$1),NA())</f>
        <v>#N/A</v>
      </c>
      <c r="D462" s="110" t="e">
        <f ca="1">IF(TODAY()&gt;=$A462,SUMIFS(Tabla1[Avance_km],Tabla1[Fecha],"&lt;="&amp;EV!$A462,Tabla1[nombre_actividad],EV!D$1),NA())</f>
        <v>#N/A</v>
      </c>
      <c r="E462" s="110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0" t="e">
        <f ca="1">IF(TODAY()&gt;=$A462,SUMIFS(Tabla1[Avance_km],Tabla1[Fecha],"&lt;="&amp;EV!$A462-1,Tabla1[nombre_actividad],EV!H$1),NA())</f>
        <v>#N/A</v>
      </c>
      <c r="I462" s="224" t="e">
        <f ca="1">+C462*Catalogo!$F$19+EV!D462*Catalogo!$F$14+EV!E462*Catalogo!$F$16+EV!F462*Catalogo!$F$18</f>
        <v>#N/A</v>
      </c>
      <c r="J462" s="224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0" t="e">
        <f ca="1">IF(TODAY()&gt;=$A463,SUMIFS(Tabla1[Avance_km],Tabla1[Fecha],"&lt;="&amp;EV!$A463,Tabla1[nombre_actividad],EV!C$1),NA())</f>
        <v>#N/A</v>
      </c>
      <c r="D463" s="110" t="e">
        <f ca="1">IF(TODAY()&gt;=$A463,SUMIFS(Tabla1[Avance_km],Tabla1[Fecha],"&lt;="&amp;EV!$A463,Tabla1[nombre_actividad],EV!D$1),NA())</f>
        <v>#N/A</v>
      </c>
      <c r="E463" s="110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0" t="e">
        <f ca="1">IF(TODAY()&gt;=$A463,SUMIFS(Tabla1[Avance_km],Tabla1[Fecha],"&lt;="&amp;EV!$A463-1,Tabla1[nombre_actividad],EV!H$1),NA())</f>
        <v>#N/A</v>
      </c>
      <c r="I463" s="224" t="e">
        <f ca="1">+C463*Catalogo!$F$19+EV!D463*Catalogo!$F$14+EV!E463*Catalogo!$F$16+EV!F463*Catalogo!$F$18</f>
        <v>#N/A</v>
      </c>
      <c r="J463" s="224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0" t="e">
        <f ca="1">IF(TODAY()&gt;=$A464,SUMIFS(Tabla1[Avance_km],Tabla1[Fecha],"&lt;="&amp;EV!$A464,Tabla1[nombre_actividad],EV!C$1),NA())</f>
        <v>#N/A</v>
      </c>
      <c r="D464" s="110" t="e">
        <f ca="1">IF(TODAY()&gt;=$A464,SUMIFS(Tabla1[Avance_km],Tabla1[Fecha],"&lt;="&amp;EV!$A464,Tabla1[nombre_actividad],EV!D$1),NA())</f>
        <v>#N/A</v>
      </c>
      <c r="E464" s="110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0" t="e">
        <f ca="1">IF(TODAY()&gt;=$A464,SUMIFS(Tabla1[Avance_km],Tabla1[Fecha],"&lt;="&amp;EV!$A464-1,Tabla1[nombre_actividad],EV!H$1),NA())</f>
        <v>#N/A</v>
      </c>
      <c r="I464" s="224" t="e">
        <f ca="1">+C464*Catalogo!$F$19+EV!D464*Catalogo!$F$14+EV!E464*Catalogo!$F$16+EV!F464*Catalogo!$F$18</f>
        <v>#N/A</v>
      </c>
      <c r="J464" s="224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0" t="e">
        <f ca="1">IF(TODAY()&gt;=$A465,SUMIFS(Tabla1[Avance_km],Tabla1[Fecha],"&lt;="&amp;EV!$A465,Tabla1[nombre_actividad],EV!C$1),NA())</f>
        <v>#N/A</v>
      </c>
      <c r="D465" s="110" t="e">
        <f ca="1">IF(TODAY()&gt;=$A465,SUMIFS(Tabla1[Avance_km],Tabla1[Fecha],"&lt;="&amp;EV!$A465,Tabla1[nombre_actividad],EV!D$1),NA())</f>
        <v>#N/A</v>
      </c>
      <c r="E465" s="110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0" t="e">
        <f ca="1">IF(TODAY()&gt;=$A465,SUMIFS(Tabla1[Avance_km],Tabla1[Fecha],"&lt;="&amp;EV!$A465-1,Tabla1[nombre_actividad],EV!H$1),NA())</f>
        <v>#N/A</v>
      </c>
      <c r="I465" s="224" t="e">
        <f ca="1">+C465*Catalogo!$F$19+EV!D465*Catalogo!$F$14+EV!E465*Catalogo!$F$16+EV!F465*Catalogo!$F$18</f>
        <v>#N/A</v>
      </c>
      <c r="J465" s="224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0" t="e">
        <f ca="1">IF(TODAY()&gt;=$A466,SUMIFS(Tabla1[Avance_km],Tabla1[Fecha],"&lt;="&amp;EV!$A466,Tabla1[nombre_actividad],EV!C$1),NA())</f>
        <v>#N/A</v>
      </c>
      <c r="D466" s="110" t="e">
        <f ca="1">IF(TODAY()&gt;=$A466,SUMIFS(Tabla1[Avance_km],Tabla1[Fecha],"&lt;="&amp;EV!$A466,Tabla1[nombre_actividad],EV!D$1),NA())</f>
        <v>#N/A</v>
      </c>
      <c r="E466" s="110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0" t="e">
        <f ca="1">IF(TODAY()&gt;=$A466,SUMIFS(Tabla1[Avance_km],Tabla1[Fecha],"&lt;="&amp;EV!$A466-1,Tabla1[nombre_actividad],EV!H$1),NA())</f>
        <v>#N/A</v>
      </c>
      <c r="I466" s="224" t="e">
        <f ca="1">+C466*Catalogo!$F$19+EV!D466*Catalogo!$F$14+EV!E466*Catalogo!$F$16+EV!F466*Catalogo!$F$18</f>
        <v>#N/A</v>
      </c>
      <c r="J466" s="224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0" t="e">
        <f ca="1">IF(TODAY()&gt;=$A467,SUMIFS(Tabla1[Avance_km],Tabla1[Fecha],"&lt;="&amp;EV!$A467,Tabla1[nombre_actividad],EV!C$1),NA())</f>
        <v>#N/A</v>
      </c>
      <c r="D467" s="110" t="e">
        <f ca="1">IF(TODAY()&gt;=$A467,SUMIFS(Tabla1[Avance_km],Tabla1[Fecha],"&lt;="&amp;EV!$A467,Tabla1[nombre_actividad],EV!D$1),NA())</f>
        <v>#N/A</v>
      </c>
      <c r="E467" s="110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0" t="e">
        <f ca="1">IF(TODAY()&gt;=$A467,SUMIFS(Tabla1[Avance_km],Tabla1[Fecha],"&lt;="&amp;EV!$A467-1,Tabla1[nombre_actividad],EV!H$1),NA())</f>
        <v>#N/A</v>
      </c>
      <c r="I467" s="224" t="e">
        <f ca="1">+C467*Catalogo!$F$19+EV!D467*Catalogo!$F$14+EV!E467*Catalogo!$F$16+EV!F467*Catalogo!$F$18</f>
        <v>#N/A</v>
      </c>
      <c r="J467" s="224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0" t="e">
        <f ca="1">IF(TODAY()&gt;=$A468,SUMIFS(Tabla1[Avance_km],Tabla1[Fecha],"&lt;="&amp;EV!$A468,Tabla1[nombre_actividad],EV!C$1),NA())</f>
        <v>#N/A</v>
      </c>
      <c r="D468" s="110" t="e">
        <f ca="1">IF(TODAY()&gt;=$A468,SUMIFS(Tabla1[Avance_km],Tabla1[Fecha],"&lt;="&amp;EV!$A468,Tabla1[nombre_actividad],EV!D$1),NA())</f>
        <v>#N/A</v>
      </c>
      <c r="E468" s="110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0" t="e">
        <f ca="1">IF(TODAY()&gt;=$A468,SUMIFS(Tabla1[Avance_km],Tabla1[Fecha],"&lt;="&amp;EV!$A468-1,Tabla1[nombre_actividad],EV!H$1),NA())</f>
        <v>#N/A</v>
      </c>
      <c r="I468" s="224" t="e">
        <f ca="1">+C468*Catalogo!$F$19+EV!D468*Catalogo!$F$14+EV!E468*Catalogo!$F$16+EV!F468*Catalogo!$F$18</f>
        <v>#N/A</v>
      </c>
      <c r="J468" s="224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0" t="e">
        <f ca="1">IF(TODAY()&gt;=$A469,SUMIFS(Tabla1[Avance_km],Tabla1[Fecha],"&lt;="&amp;EV!$A469,Tabla1[nombre_actividad],EV!C$1),NA())</f>
        <v>#N/A</v>
      </c>
      <c r="D469" s="110" t="e">
        <f ca="1">IF(TODAY()&gt;=$A469,SUMIFS(Tabla1[Avance_km],Tabla1[Fecha],"&lt;="&amp;EV!$A469,Tabla1[nombre_actividad],EV!D$1),NA())</f>
        <v>#N/A</v>
      </c>
      <c r="E469" s="110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0" t="e">
        <f ca="1">IF(TODAY()&gt;=$A469,SUMIFS(Tabla1[Avance_km],Tabla1[Fecha],"&lt;="&amp;EV!$A469-1,Tabla1[nombre_actividad],EV!H$1),NA())</f>
        <v>#N/A</v>
      </c>
      <c r="I469" s="224" t="e">
        <f ca="1">+C469*Catalogo!$F$19+EV!D469*Catalogo!$F$14+EV!E469*Catalogo!$F$16+EV!F469*Catalogo!$F$18</f>
        <v>#N/A</v>
      </c>
      <c r="J469" s="224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0" t="e">
        <f ca="1">IF(TODAY()&gt;=$A470,SUMIFS(Tabla1[Avance_km],Tabla1[Fecha],"&lt;="&amp;EV!$A470,Tabla1[nombre_actividad],EV!C$1),NA())</f>
        <v>#N/A</v>
      </c>
      <c r="D470" s="110" t="e">
        <f ca="1">IF(TODAY()&gt;=$A470,SUMIFS(Tabla1[Avance_km],Tabla1[Fecha],"&lt;="&amp;EV!$A470,Tabla1[nombre_actividad],EV!D$1),NA())</f>
        <v>#N/A</v>
      </c>
      <c r="E470" s="110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0" t="e">
        <f ca="1">IF(TODAY()&gt;=$A470,SUMIFS(Tabla1[Avance_km],Tabla1[Fecha],"&lt;="&amp;EV!$A470-1,Tabla1[nombre_actividad],EV!H$1),NA())</f>
        <v>#N/A</v>
      </c>
      <c r="I470" s="224" t="e">
        <f ca="1">+C470*Catalogo!$F$19+EV!D470*Catalogo!$F$14+EV!E470*Catalogo!$F$16+EV!F470*Catalogo!$F$18</f>
        <v>#N/A</v>
      </c>
      <c r="J470" s="224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0" t="e">
        <f ca="1">IF(TODAY()&gt;=$A471,SUMIFS(Tabla1[Avance_km],Tabla1[Fecha],"&lt;="&amp;EV!$A471,Tabla1[nombre_actividad],EV!C$1),NA())</f>
        <v>#N/A</v>
      </c>
      <c r="D471" s="110" t="e">
        <f ca="1">IF(TODAY()&gt;=$A471,SUMIFS(Tabla1[Avance_km],Tabla1[Fecha],"&lt;="&amp;EV!$A471,Tabla1[nombre_actividad],EV!D$1),NA())</f>
        <v>#N/A</v>
      </c>
      <c r="E471" s="110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0" t="e">
        <f ca="1">IF(TODAY()&gt;=$A471,SUMIFS(Tabla1[Avance_km],Tabla1[Fecha],"&lt;="&amp;EV!$A471-1,Tabla1[nombre_actividad],EV!H$1),NA())</f>
        <v>#N/A</v>
      </c>
      <c r="I471" s="224" t="e">
        <f ca="1">+C471*Catalogo!$F$19+EV!D471*Catalogo!$F$14+EV!E471*Catalogo!$F$16+EV!F471*Catalogo!$F$18</f>
        <v>#N/A</v>
      </c>
      <c r="J471" s="224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0" t="e">
        <f ca="1">IF(TODAY()&gt;=$A472,SUMIFS(Tabla1[Avance_km],Tabla1[Fecha],"&lt;="&amp;EV!$A472,Tabla1[nombre_actividad],EV!C$1),NA())</f>
        <v>#N/A</v>
      </c>
      <c r="D472" s="110" t="e">
        <f ca="1">IF(TODAY()&gt;=$A472,SUMIFS(Tabla1[Avance_km],Tabla1[Fecha],"&lt;="&amp;EV!$A472,Tabla1[nombre_actividad],EV!D$1),NA())</f>
        <v>#N/A</v>
      </c>
      <c r="E472" s="110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0" t="e">
        <f ca="1">IF(TODAY()&gt;=$A472,SUMIFS(Tabla1[Avance_km],Tabla1[Fecha],"&lt;="&amp;EV!$A472-1,Tabla1[nombre_actividad],EV!H$1),NA())</f>
        <v>#N/A</v>
      </c>
      <c r="I472" s="224" t="e">
        <f ca="1">+C472*Catalogo!$F$19+EV!D472*Catalogo!$F$14+EV!E472*Catalogo!$F$16+EV!F472*Catalogo!$F$18</f>
        <v>#N/A</v>
      </c>
      <c r="J472" s="224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0" t="e">
        <f ca="1">IF(TODAY()&gt;=$A473,SUMIFS(Tabla1[Avance_km],Tabla1[Fecha],"&lt;="&amp;EV!$A473,Tabla1[nombre_actividad],EV!C$1),NA())</f>
        <v>#N/A</v>
      </c>
      <c r="D473" s="110" t="e">
        <f ca="1">IF(TODAY()&gt;=$A473,SUMIFS(Tabla1[Avance_km],Tabla1[Fecha],"&lt;="&amp;EV!$A473,Tabla1[nombre_actividad],EV!D$1),NA())</f>
        <v>#N/A</v>
      </c>
      <c r="E473" s="110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0" t="e">
        <f ca="1">IF(TODAY()&gt;=$A473,SUMIFS(Tabla1[Avance_km],Tabla1[Fecha],"&lt;="&amp;EV!$A473-1,Tabla1[nombre_actividad],EV!H$1),NA())</f>
        <v>#N/A</v>
      </c>
      <c r="I473" s="224" t="e">
        <f ca="1">+C473*Catalogo!$F$19+EV!D473*Catalogo!$F$14+EV!E473*Catalogo!$F$16+EV!F473*Catalogo!$F$18</f>
        <v>#N/A</v>
      </c>
      <c r="J473" s="224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0" t="e">
        <f ca="1">IF(TODAY()&gt;=$A474,SUMIFS(Tabla1[Avance_km],Tabla1[Fecha],"&lt;="&amp;EV!$A474,Tabla1[nombre_actividad],EV!C$1),NA())</f>
        <v>#N/A</v>
      </c>
      <c r="D474" s="110" t="e">
        <f ca="1">IF(TODAY()&gt;=$A474,SUMIFS(Tabla1[Avance_km],Tabla1[Fecha],"&lt;="&amp;EV!$A474,Tabla1[nombre_actividad],EV!D$1),NA())</f>
        <v>#N/A</v>
      </c>
      <c r="E474" s="110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0" t="e">
        <f ca="1">IF(TODAY()&gt;=$A474,SUMIFS(Tabla1[Avance_km],Tabla1[Fecha],"&lt;="&amp;EV!$A474-1,Tabla1[nombre_actividad],EV!H$1),NA())</f>
        <v>#N/A</v>
      </c>
      <c r="I474" s="224" t="e">
        <f ca="1">+C474*Catalogo!$F$19+EV!D474*Catalogo!$F$14+EV!E474*Catalogo!$F$16+EV!F474*Catalogo!$F$18</f>
        <v>#N/A</v>
      </c>
      <c r="J474" s="224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0" t="e">
        <f ca="1">IF(TODAY()&gt;=$A475,SUMIFS(Tabla1[Avance_km],Tabla1[Fecha],"&lt;="&amp;EV!$A475,Tabla1[nombre_actividad],EV!C$1),NA())</f>
        <v>#N/A</v>
      </c>
      <c r="D475" s="110" t="e">
        <f ca="1">IF(TODAY()&gt;=$A475,SUMIFS(Tabla1[Avance_km],Tabla1[Fecha],"&lt;="&amp;EV!$A475,Tabla1[nombre_actividad],EV!D$1),NA())</f>
        <v>#N/A</v>
      </c>
      <c r="E475" s="110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0" t="e">
        <f ca="1">IF(TODAY()&gt;=$A475,SUMIFS(Tabla1[Avance_km],Tabla1[Fecha],"&lt;="&amp;EV!$A475-1,Tabla1[nombre_actividad],EV!H$1),NA())</f>
        <v>#N/A</v>
      </c>
      <c r="I475" s="224" t="e">
        <f ca="1">+C475*Catalogo!$F$19+EV!D475*Catalogo!$F$14+EV!E475*Catalogo!$F$16+EV!F475*Catalogo!$F$18</f>
        <v>#N/A</v>
      </c>
      <c r="J475" s="224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0" t="e">
        <f ca="1">IF(TODAY()&gt;=$A476,SUMIFS(Tabla1[Avance_km],Tabla1[Fecha],"&lt;="&amp;EV!$A476,Tabla1[nombre_actividad],EV!C$1),NA())</f>
        <v>#N/A</v>
      </c>
      <c r="D476" s="110" t="e">
        <f ca="1">IF(TODAY()&gt;=$A476,SUMIFS(Tabla1[Avance_km],Tabla1[Fecha],"&lt;="&amp;EV!$A476,Tabla1[nombre_actividad],EV!D$1),NA())</f>
        <v>#N/A</v>
      </c>
      <c r="E476" s="110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0" t="e">
        <f ca="1">IF(TODAY()&gt;=$A476,SUMIFS(Tabla1[Avance_km],Tabla1[Fecha],"&lt;="&amp;EV!$A476-1,Tabla1[nombre_actividad],EV!H$1),NA())</f>
        <v>#N/A</v>
      </c>
      <c r="I476" s="224" t="e">
        <f ca="1">+C476*Catalogo!$F$19+EV!D476*Catalogo!$F$14+EV!E476*Catalogo!$F$16+EV!F476*Catalogo!$F$18</f>
        <v>#N/A</v>
      </c>
      <c r="J476" s="224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0" t="e">
        <f ca="1">IF(TODAY()&gt;=$A477,SUMIFS(Tabla1[Avance_km],Tabla1[Fecha],"&lt;="&amp;EV!$A477,Tabla1[nombre_actividad],EV!C$1),NA())</f>
        <v>#N/A</v>
      </c>
      <c r="D477" s="110" t="e">
        <f ca="1">IF(TODAY()&gt;=$A477,SUMIFS(Tabla1[Avance_km],Tabla1[Fecha],"&lt;="&amp;EV!$A477,Tabla1[nombre_actividad],EV!D$1),NA())</f>
        <v>#N/A</v>
      </c>
      <c r="E477" s="110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0" t="e">
        <f ca="1">IF(TODAY()&gt;=$A477,SUMIFS(Tabla1[Avance_km],Tabla1[Fecha],"&lt;="&amp;EV!$A477-1,Tabla1[nombre_actividad],EV!H$1),NA())</f>
        <v>#N/A</v>
      </c>
      <c r="I477" s="224" t="e">
        <f ca="1">+C477*Catalogo!$F$19+EV!D477*Catalogo!$F$14+EV!E477*Catalogo!$F$16+EV!F477*Catalogo!$F$18</f>
        <v>#N/A</v>
      </c>
      <c r="J477" s="224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0" t="e">
        <f ca="1">IF(TODAY()&gt;=$A478,SUMIFS(Tabla1[Avance_km],Tabla1[Fecha],"&lt;="&amp;EV!$A478,Tabla1[nombre_actividad],EV!C$1),NA())</f>
        <v>#N/A</v>
      </c>
      <c r="D478" s="110" t="e">
        <f ca="1">IF(TODAY()&gt;=$A478,SUMIFS(Tabla1[Avance_km],Tabla1[Fecha],"&lt;="&amp;EV!$A478,Tabla1[nombre_actividad],EV!D$1),NA())</f>
        <v>#N/A</v>
      </c>
      <c r="E478" s="110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0" t="e">
        <f ca="1">IF(TODAY()&gt;=$A478,SUMIFS(Tabla1[Avance_km],Tabla1[Fecha],"&lt;="&amp;EV!$A478-1,Tabla1[nombre_actividad],EV!H$1),NA())</f>
        <v>#N/A</v>
      </c>
      <c r="I478" s="224" t="e">
        <f ca="1">+C478*Catalogo!$F$19+EV!D478*Catalogo!$F$14+EV!E478*Catalogo!$F$16+EV!F478*Catalogo!$F$18</f>
        <v>#N/A</v>
      </c>
      <c r="J478" s="224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0" t="e">
        <f ca="1">IF(TODAY()&gt;=$A479,SUMIFS(Tabla1[Avance_km],Tabla1[Fecha],"&lt;="&amp;EV!$A479,Tabla1[nombre_actividad],EV!C$1),NA())</f>
        <v>#N/A</v>
      </c>
      <c r="D479" s="110" t="e">
        <f ca="1">IF(TODAY()&gt;=$A479,SUMIFS(Tabla1[Avance_km],Tabla1[Fecha],"&lt;="&amp;EV!$A479,Tabla1[nombre_actividad],EV!D$1),NA())</f>
        <v>#N/A</v>
      </c>
      <c r="E479" s="110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0" t="e">
        <f ca="1">IF(TODAY()&gt;=$A479,SUMIFS(Tabla1[Avance_km],Tabla1[Fecha],"&lt;="&amp;EV!$A479-1,Tabla1[nombre_actividad],EV!H$1),NA())</f>
        <v>#N/A</v>
      </c>
      <c r="I479" s="224" t="e">
        <f ca="1">+C479*Catalogo!$F$19+EV!D479*Catalogo!$F$14+EV!E479*Catalogo!$F$16+EV!F479*Catalogo!$F$18</f>
        <v>#N/A</v>
      </c>
      <c r="J479" s="224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0" t="e">
        <f ca="1">IF(TODAY()&gt;=$A480,SUMIFS(Tabla1[Avance_km],Tabla1[Fecha],"&lt;="&amp;EV!$A480,Tabla1[nombre_actividad],EV!C$1),NA())</f>
        <v>#N/A</v>
      </c>
      <c r="D480" s="110" t="e">
        <f ca="1">IF(TODAY()&gt;=$A480,SUMIFS(Tabla1[Avance_km],Tabla1[Fecha],"&lt;="&amp;EV!$A480,Tabla1[nombre_actividad],EV!D$1),NA())</f>
        <v>#N/A</v>
      </c>
      <c r="E480" s="110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0" t="e">
        <f ca="1">IF(TODAY()&gt;=$A480,SUMIFS(Tabla1[Avance_km],Tabla1[Fecha],"&lt;="&amp;EV!$A480-1,Tabla1[nombre_actividad],EV!H$1),NA())</f>
        <v>#N/A</v>
      </c>
      <c r="I480" s="224" t="e">
        <f ca="1">+C480*Catalogo!$F$19+EV!D480*Catalogo!$F$14+EV!E480*Catalogo!$F$16+EV!F480*Catalogo!$F$18</f>
        <v>#N/A</v>
      </c>
      <c r="J480" s="224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0" t="e">
        <f ca="1">IF(TODAY()&gt;=$A481,SUMIFS(Tabla1[Avance_km],Tabla1[Fecha],"&lt;="&amp;EV!$A481,Tabla1[nombre_actividad],EV!C$1),NA())</f>
        <v>#N/A</v>
      </c>
      <c r="D481" s="110" t="e">
        <f ca="1">IF(TODAY()&gt;=$A481,SUMIFS(Tabla1[Avance_km],Tabla1[Fecha],"&lt;="&amp;EV!$A481,Tabla1[nombre_actividad],EV!D$1),NA())</f>
        <v>#N/A</v>
      </c>
      <c r="E481" s="110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0" t="e">
        <f ca="1">IF(TODAY()&gt;=$A481,SUMIFS(Tabla1[Avance_km],Tabla1[Fecha],"&lt;="&amp;EV!$A481-1,Tabla1[nombre_actividad],EV!H$1),NA())</f>
        <v>#N/A</v>
      </c>
      <c r="I481" s="224" t="e">
        <f ca="1">+C481*Catalogo!$F$19+EV!D481*Catalogo!$F$14+EV!E481*Catalogo!$F$16+EV!F481*Catalogo!$F$18</f>
        <v>#N/A</v>
      </c>
      <c r="J481" s="224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0" t="e">
        <f ca="1">IF(TODAY()&gt;=$A482,SUMIFS(Tabla1[Avance_km],Tabla1[Fecha],"&lt;="&amp;EV!$A482,Tabla1[nombre_actividad],EV!C$1),NA())</f>
        <v>#N/A</v>
      </c>
      <c r="D482" s="110" t="e">
        <f ca="1">IF(TODAY()&gt;=$A482,SUMIFS(Tabla1[Avance_km],Tabla1[Fecha],"&lt;="&amp;EV!$A482,Tabla1[nombre_actividad],EV!D$1),NA())</f>
        <v>#N/A</v>
      </c>
      <c r="E482" s="110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0" t="e">
        <f ca="1">IF(TODAY()&gt;=$A482,SUMIFS(Tabla1[Avance_km],Tabla1[Fecha],"&lt;="&amp;EV!$A482-1,Tabla1[nombre_actividad],EV!H$1),NA())</f>
        <v>#N/A</v>
      </c>
      <c r="I482" s="224" t="e">
        <f ca="1">+C482*Catalogo!$F$19+EV!D482*Catalogo!$F$14+EV!E482*Catalogo!$F$16+EV!F482*Catalogo!$F$18</f>
        <v>#N/A</v>
      </c>
      <c r="J482" s="224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0" t="e">
        <f ca="1">IF(TODAY()&gt;=$A483,SUMIFS(Tabla1[Avance_km],Tabla1[Fecha],"&lt;="&amp;EV!$A483,Tabla1[nombre_actividad],EV!C$1),NA())</f>
        <v>#N/A</v>
      </c>
      <c r="D483" s="110" t="e">
        <f ca="1">IF(TODAY()&gt;=$A483,SUMIFS(Tabla1[Avance_km],Tabla1[Fecha],"&lt;="&amp;EV!$A483,Tabla1[nombre_actividad],EV!D$1),NA())</f>
        <v>#N/A</v>
      </c>
      <c r="E483" s="110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0" t="e">
        <f ca="1">IF(TODAY()&gt;=$A483,SUMIFS(Tabla1[Avance_km],Tabla1[Fecha],"&lt;="&amp;EV!$A483-1,Tabla1[nombre_actividad],EV!H$1),NA())</f>
        <v>#N/A</v>
      </c>
      <c r="I483" s="224" t="e">
        <f ca="1">+C483*Catalogo!$F$19+EV!D483*Catalogo!$F$14+EV!E483*Catalogo!$F$16+EV!F483*Catalogo!$F$18</f>
        <v>#N/A</v>
      </c>
      <c r="J483" s="224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0" t="e">
        <f ca="1">IF(TODAY()&gt;=$A484,SUMIFS(Tabla1[Avance_km],Tabla1[Fecha],"&lt;="&amp;EV!$A484,Tabla1[nombre_actividad],EV!C$1),NA())</f>
        <v>#N/A</v>
      </c>
      <c r="D484" s="110" t="e">
        <f ca="1">IF(TODAY()&gt;=$A484,SUMIFS(Tabla1[Avance_km],Tabla1[Fecha],"&lt;="&amp;EV!$A484,Tabla1[nombre_actividad],EV!D$1),NA())</f>
        <v>#N/A</v>
      </c>
      <c r="E484" s="110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0" t="e">
        <f ca="1">IF(TODAY()&gt;=$A484,SUMIFS(Tabla1[Avance_km],Tabla1[Fecha],"&lt;="&amp;EV!$A484-1,Tabla1[nombre_actividad],EV!H$1),NA())</f>
        <v>#N/A</v>
      </c>
      <c r="I484" s="224" t="e">
        <f ca="1">+C484*Catalogo!$F$19+EV!D484*Catalogo!$F$14+EV!E484*Catalogo!$F$16+EV!F484*Catalogo!$F$18</f>
        <v>#N/A</v>
      </c>
      <c r="J484" s="224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0" t="e">
        <f ca="1">IF(TODAY()&gt;=$A485,SUMIFS(Tabla1[Avance_km],Tabla1[Fecha],"&lt;="&amp;EV!$A485,Tabla1[nombre_actividad],EV!C$1),NA())</f>
        <v>#N/A</v>
      </c>
      <c r="D485" s="110" t="e">
        <f ca="1">IF(TODAY()&gt;=$A485,SUMIFS(Tabla1[Avance_km],Tabla1[Fecha],"&lt;="&amp;EV!$A485,Tabla1[nombre_actividad],EV!D$1),NA())</f>
        <v>#N/A</v>
      </c>
      <c r="E485" s="110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0" t="e">
        <f ca="1">IF(TODAY()&gt;=$A485,SUMIFS(Tabla1[Avance_km],Tabla1[Fecha],"&lt;="&amp;EV!$A485-1,Tabla1[nombre_actividad],EV!H$1),NA())</f>
        <v>#N/A</v>
      </c>
      <c r="I485" s="224" t="e">
        <f ca="1">+C485*Catalogo!$F$19+EV!D485*Catalogo!$F$14+EV!E485*Catalogo!$F$16+EV!F485*Catalogo!$F$18</f>
        <v>#N/A</v>
      </c>
      <c r="J485" s="224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0" t="e">
        <f ca="1">IF(TODAY()&gt;=$A486,SUMIFS(Tabla1[Avance_km],Tabla1[Fecha],"&lt;="&amp;EV!$A486,Tabla1[nombre_actividad],EV!C$1),NA())</f>
        <v>#N/A</v>
      </c>
      <c r="D486" s="110" t="e">
        <f ca="1">IF(TODAY()&gt;=$A486,SUMIFS(Tabla1[Avance_km],Tabla1[Fecha],"&lt;="&amp;EV!$A486,Tabla1[nombre_actividad],EV!D$1),NA())</f>
        <v>#N/A</v>
      </c>
      <c r="E486" s="110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0" t="e">
        <f ca="1">IF(TODAY()&gt;=$A486,SUMIFS(Tabla1[Avance_km],Tabla1[Fecha],"&lt;="&amp;EV!$A486-1,Tabla1[nombre_actividad],EV!H$1),NA())</f>
        <v>#N/A</v>
      </c>
      <c r="I486" s="224" t="e">
        <f ca="1">+C486*Catalogo!$F$19+EV!D486*Catalogo!$F$14+EV!E486*Catalogo!$F$16+EV!F486*Catalogo!$F$18</f>
        <v>#N/A</v>
      </c>
      <c r="J486" s="224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0" t="e">
        <f ca="1">IF(TODAY()&gt;=$A487,SUMIFS(Tabla1[Avance_km],Tabla1[Fecha],"&lt;="&amp;EV!$A487,Tabla1[nombre_actividad],EV!C$1),NA())</f>
        <v>#N/A</v>
      </c>
      <c r="D487" s="110" t="e">
        <f ca="1">IF(TODAY()&gt;=$A487,SUMIFS(Tabla1[Avance_km],Tabla1[Fecha],"&lt;="&amp;EV!$A487,Tabla1[nombre_actividad],EV!D$1),NA())</f>
        <v>#N/A</v>
      </c>
      <c r="E487" s="110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0" t="e">
        <f ca="1">IF(TODAY()&gt;=$A487,SUMIFS(Tabla1[Avance_km],Tabla1[Fecha],"&lt;="&amp;EV!$A487-1,Tabla1[nombre_actividad],EV!H$1),NA())</f>
        <v>#N/A</v>
      </c>
      <c r="I487" s="224" t="e">
        <f ca="1">+C487*Catalogo!$F$19+EV!D487*Catalogo!$F$14+EV!E487*Catalogo!$F$16+EV!F487*Catalogo!$F$18</f>
        <v>#N/A</v>
      </c>
      <c r="J487" s="224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0" t="e">
        <f ca="1">IF(TODAY()&gt;=$A488,SUMIFS(Tabla1[Avance_km],Tabla1[Fecha],"&lt;="&amp;EV!$A488,Tabla1[nombre_actividad],EV!C$1),NA())</f>
        <v>#N/A</v>
      </c>
      <c r="D488" s="110" t="e">
        <f ca="1">IF(TODAY()&gt;=$A488,SUMIFS(Tabla1[Avance_km],Tabla1[Fecha],"&lt;="&amp;EV!$A488,Tabla1[nombre_actividad],EV!D$1),NA())</f>
        <v>#N/A</v>
      </c>
      <c r="E488" s="110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0" t="e">
        <f ca="1">IF(TODAY()&gt;=$A488,SUMIFS(Tabla1[Avance_km],Tabla1[Fecha],"&lt;="&amp;EV!$A488-1,Tabla1[nombre_actividad],EV!H$1),NA())</f>
        <v>#N/A</v>
      </c>
      <c r="I488" s="224" t="e">
        <f ca="1">+C488*Catalogo!$F$19+EV!D488*Catalogo!$F$14+EV!E488*Catalogo!$F$16+EV!F488*Catalogo!$F$18</f>
        <v>#N/A</v>
      </c>
      <c r="J488" s="224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0" t="e">
        <f ca="1">IF(TODAY()&gt;=$A489,SUMIFS(Tabla1[Avance_km],Tabla1[Fecha],"&lt;="&amp;EV!$A489,Tabla1[nombre_actividad],EV!C$1),NA())</f>
        <v>#N/A</v>
      </c>
      <c r="D489" s="110" t="e">
        <f ca="1">IF(TODAY()&gt;=$A489,SUMIFS(Tabla1[Avance_km],Tabla1[Fecha],"&lt;="&amp;EV!$A489,Tabla1[nombre_actividad],EV!D$1),NA())</f>
        <v>#N/A</v>
      </c>
      <c r="E489" s="110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0" t="e">
        <f ca="1">IF(TODAY()&gt;=$A489,SUMIFS(Tabla1[Avance_km],Tabla1[Fecha],"&lt;="&amp;EV!$A489-1,Tabla1[nombre_actividad],EV!H$1),NA())</f>
        <v>#N/A</v>
      </c>
      <c r="I489" s="224" t="e">
        <f ca="1">+C489*Catalogo!$F$19+EV!D489*Catalogo!$F$14+EV!E489*Catalogo!$F$16+EV!F489*Catalogo!$F$18</f>
        <v>#N/A</v>
      </c>
      <c r="J489" s="224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0" t="e">
        <f ca="1">IF(TODAY()&gt;=$A490,SUMIFS(Tabla1[Avance_km],Tabla1[Fecha],"&lt;="&amp;EV!$A490,Tabla1[nombre_actividad],EV!C$1),NA())</f>
        <v>#N/A</v>
      </c>
      <c r="D490" s="110" t="e">
        <f ca="1">IF(TODAY()&gt;=$A490,SUMIFS(Tabla1[Avance_km],Tabla1[Fecha],"&lt;="&amp;EV!$A490,Tabla1[nombre_actividad],EV!D$1),NA())</f>
        <v>#N/A</v>
      </c>
      <c r="E490" s="110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0" t="e">
        <f ca="1">IF(TODAY()&gt;=$A490,SUMIFS(Tabla1[Avance_km],Tabla1[Fecha],"&lt;="&amp;EV!$A490-1,Tabla1[nombre_actividad],EV!H$1),NA())</f>
        <v>#N/A</v>
      </c>
      <c r="I490" s="224" t="e">
        <f ca="1">+C490*Catalogo!$F$19+EV!D490*Catalogo!$F$14+EV!E490*Catalogo!$F$16+EV!F490*Catalogo!$F$18</f>
        <v>#N/A</v>
      </c>
      <c r="J490" s="224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0" t="e">
        <f ca="1">IF(TODAY()&gt;=$A491,SUMIFS(Tabla1[Avance_km],Tabla1[Fecha],"&lt;="&amp;EV!$A491,Tabla1[nombre_actividad],EV!C$1),NA())</f>
        <v>#N/A</v>
      </c>
      <c r="D491" s="110" t="e">
        <f ca="1">IF(TODAY()&gt;=$A491,SUMIFS(Tabla1[Avance_km],Tabla1[Fecha],"&lt;="&amp;EV!$A491,Tabla1[nombre_actividad],EV!D$1),NA())</f>
        <v>#N/A</v>
      </c>
      <c r="E491" s="110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0" t="e">
        <f ca="1">IF(TODAY()&gt;=$A491,SUMIFS(Tabla1[Avance_km],Tabla1[Fecha],"&lt;="&amp;EV!$A491-1,Tabla1[nombre_actividad],EV!H$1),NA())</f>
        <v>#N/A</v>
      </c>
      <c r="I491" s="224" t="e">
        <f ca="1">+C491*Catalogo!$F$19+EV!D491*Catalogo!$F$14+EV!E491*Catalogo!$F$16+EV!F491*Catalogo!$F$18</f>
        <v>#N/A</v>
      </c>
      <c r="J491" s="224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0" t="e">
        <f ca="1">IF(TODAY()&gt;=$A492,SUMIFS(Tabla1[Avance_km],Tabla1[Fecha],"&lt;="&amp;EV!$A492,Tabla1[nombre_actividad],EV!C$1),NA())</f>
        <v>#N/A</v>
      </c>
      <c r="D492" s="110" t="e">
        <f ca="1">IF(TODAY()&gt;=$A492,SUMIFS(Tabla1[Avance_km],Tabla1[Fecha],"&lt;="&amp;EV!$A492,Tabla1[nombre_actividad],EV!D$1),NA())</f>
        <v>#N/A</v>
      </c>
      <c r="E492" s="110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0" t="e">
        <f ca="1">IF(TODAY()&gt;=$A492,SUMIFS(Tabla1[Avance_km],Tabla1[Fecha],"&lt;="&amp;EV!$A492-1,Tabla1[nombre_actividad],EV!H$1),NA())</f>
        <v>#N/A</v>
      </c>
      <c r="I492" s="224" t="e">
        <f ca="1">+C492*Catalogo!$F$19+EV!D492*Catalogo!$F$14+EV!E492*Catalogo!$F$16+EV!F492*Catalogo!$F$18</f>
        <v>#N/A</v>
      </c>
      <c r="J492" s="224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0" t="e">
        <f ca="1">IF(TODAY()&gt;=$A493,SUMIFS(Tabla1[Avance_km],Tabla1[Fecha],"&lt;="&amp;EV!$A493,Tabla1[nombre_actividad],EV!C$1),NA())</f>
        <v>#N/A</v>
      </c>
      <c r="D493" s="110" t="e">
        <f ca="1">IF(TODAY()&gt;=$A493,SUMIFS(Tabla1[Avance_km],Tabla1[Fecha],"&lt;="&amp;EV!$A493,Tabla1[nombre_actividad],EV!D$1),NA())</f>
        <v>#N/A</v>
      </c>
      <c r="E493" s="110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0" t="e">
        <f ca="1">IF(TODAY()&gt;=$A493,SUMIFS(Tabla1[Avance_km],Tabla1[Fecha],"&lt;="&amp;EV!$A493-1,Tabla1[nombre_actividad],EV!H$1),NA())</f>
        <v>#N/A</v>
      </c>
      <c r="I493" s="224" t="e">
        <f ca="1">+C493*Catalogo!$F$19+EV!D493*Catalogo!$F$14+EV!E493*Catalogo!$F$16+EV!F493*Catalogo!$F$18</f>
        <v>#N/A</v>
      </c>
      <c r="J493" s="224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0" t="e">
        <f ca="1">IF(TODAY()&gt;=$A494,SUMIFS(Tabla1[Avance_km],Tabla1[Fecha],"&lt;="&amp;EV!$A494,Tabla1[nombre_actividad],EV!C$1),NA())</f>
        <v>#N/A</v>
      </c>
      <c r="D494" s="110" t="e">
        <f ca="1">IF(TODAY()&gt;=$A494,SUMIFS(Tabla1[Avance_km],Tabla1[Fecha],"&lt;="&amp;EV!$A494,Tabla1[nombre_actividad],EV!D$1),NA())</f>
        <v>#N/A</v>
      </c>
      <c r="E494" s="110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0" t="e">
        <f ca="1">IF(TODAY()&gt;=$A494,SUMIFS(Tabla1[Avance_km],Tabla1[Fecha],"&lt;="&amp;EV!$A494-1,Tabla1[nombre_actividad],EV!H$1),NA())</f>
        <v>#N/A</v>
      </c>
      <c r="I494" s="224" t="e">
        <f ca="1">+C494*Catalogo!$F$19+EV!D494*Catalogo!$F$14+EV!E494*Catalogo!$F$16+EV!F494*Catalogo!$F$18</f>
        <v>#N/A</v>
      </c>
      <c r="J494" s="224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0" t="e">
        <f ca="1">IF(TODAY()&gt;=$A495,SUMIFS(Tabla1[Avance_km],Tabla1[Fecha],"&lt;="&amp;EV!$A495,Tabla1[nombre_actividad],EV!C$1),NA())</f>
        <v>#N/A</v>
      </c>
      <c r="D495" s="110" t="e">
        <f ca="1">IF(TODAY()&gt;=$A495,SUMIFS(Tabla1[Avance_km],Tabla1[Fecha],"&lt;="&amp;EV!$A495,Tabla1[nombre_actividad],EV!D$1),NA())</f>
        <v>#N/A</v>
      </c>
      <c r="E495" s="110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0" t="e">
        <f ca="1">IF(TODAY()&gt;=$A495,SUMIFS(Tabla1[Avance_km],Tabla1[Fecha],"&lt;="&amp;EV!$A495-1,Tabla1[nombre_actividad],EV!H$1),NA())</f>
        <v>#N/A</v>
      </c>
      <c r="I495" s="224" t="e">
        <f ca="1">+C495*Catalogo!$F$19+EV!D495*Catalogo!$F$14+EV!E495*Catalogo!$F$16+EV!F495*Catalogo!$F$18</f>
        <v>#N/A</v>
      </c>
      <c r="J495" s="224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0" t="e">
        <f ca="1">IF(TODAY()&gt;=$A496,SUMIFS(Tabla1[Avance_km],Tabla1[Fecha],"&lt;="&amp;EV!$A496,Tabla1[nombre_actividad],EV!C$1),NA())</f>
        <v>#N/A</v>
      </c>
      <c r="D496" s="110" t="e">
        <f ca="1">IF(TODAY()&gt;=$A496,SUMIFS(Tabla1[Avance_km],Tabla1[Fecha],"&lt;="&amp;EV!$A496,Tabla1[nombre_actividad],EV!D$1),NA())</f>
        <v>#N/A</v>
      </c>
      <c r="E496" s="110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0" t="e">
        <f ca="1">IF(TODAY()&gt;=$A496,SUMIFS(Tabla1[Avance_km],Tabla1[Fecha],"&lt;="&amp;EV!$A496-1,Tabla1[nombre_actividad],EV!H$1),NA())</f>
        <v>#N/A</v>
      </c>
      <c r="I496" s="224" t="e">
        <f ca="1">+C496*Catalogo!$F$19+EV!D496*Catalogo!$F$14+EV!E496*Catalogo!$F$16+EV!F496*Catalogo!$F$18</f>
        <v>#N/A</v>
      </c>
      <c r="J496" s="224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0" t="e">
        <f ca="1">IF(TODAY()&gt;=$A497,SUMIFS(Tabla1[Avance_km],Tabla1[Fecha],"&lt;="&amp;EV!$A497,Tabla1[nombre_actividad],EV!C$1),NA())</f>
        <v>#N/A</v>
      </c>
      <c r="D497" s="110" t="e">
        <f ca="1">IF(TODAY()&gt;=$A497,SUMIFS(Tabla1[Avance_km],Tabla1[Fecha],"&lt;="&amp;EV!$A497,Tabla1[nombre_actividad],EV!D$1),NA())</f>
        <v>#N/A</v>
      </c>
      <c r="E497" s="110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0" t="e">
        <f ca="1">IF(TODAY()&gt;=$A497,SUMIFS(Tabla1[Avance_km],Tabla1[Fecha],"&lt;="&amp;EV!$A497-1,Tabla1[nombre_actividad],EV!H$1),NA())</f>
        <v>#N/A</v>
      </c>
      <c r="I497" s="224" t="e">
        <f ca="1">+C497*Catalogo!$F$19+EV!D497*Catalogo!$F$14+EV!E497*Catalogo!$F$16+EV!F497*Catalogo!$F$18</f>
        <v>#N/A</v>
      </c>
      <c r="J497" s="224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0" t="e">
        <f ca="1">IF(TODAY()&gt;=$A498,SUMIFS(Tabla1[Avance_km],Tabla1[Fecha],"&lt;="&amp;EV!$A498,Tabla1[nombre_actividad],EV!C$1),NA())</f>
        <v>#N/A</v>
      </c>
      <c r="D498" s="110" t="e">
        <f ca="1">IF(TODAY()&gt;=$A498,SUMIFS(Tabla1[Avance_km],Tabla1[Fecha],"&lt;="&amp;EV!$A498,Tabla1[nombre_actividad],EV!D$1),NA())</f>
        <v>#N/A</v>
      </c>
      <c r="E498" s="110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0" t="e">
        <f ca="1">IF(TODAY()&gt;=$A498,SUMIFS(Tabla1[Avance_km],Tabla1[Fecha],"&lt;="&amp;EV!$A498-1,Tabla1[nombre_actividad],EV!H$1),NA())</f>
        <v>#N/A</v>
      </c>
      <c r="I498" s="224" t="e">
        <f ca="1">+C498*Catalogo!$F$19+EV!D498*Catalogo!$F$14+EV!E498*Catalogo!$F$16+EV!F498*Catalogo!$F$18</f>
        <v>#N/A</v>
      </c>
      <c r="J498" s="224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0" t="e">
        <f ca="1">IF(TODAY()&gt;=$A499,SUMIFS(Tabla1[Avance_km],Tabla1[Fecha],"&lt;="&amp;EV!$A499,Tabla1[nombre_actividad],EV!C$1),NA())</f>
        <v>#N/A</v>
      </c>
      <c r="D499" s="110" t="e">
        <f ca="1">IF(TODAY()&gt;=$A499,SUMIFS(Tabla1[Avance_km],Tabla1[Fecha],"&lt;="&amp;EV!$A499,Tabla1[nombre_actividad],EV!D$1),NA())</f>
        <v>#N/A</v>
      </c>
      <c r="E499" s="110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0" t="e">
        <f ca="1">IF(TODAY()&gt;=$A499,SUMIFS(Tabla1[Avance_km],Tabla1[Fecha],"&lt;="&amp;EV!$A499-1,Tabla1[nombre_actividad],EV!H$1),NA())</f>
        <v>#N/A</v>
      </c>
      <c r="I499" s="224" t="e">
        <f ca="1">+C499*Catalogo!$F$19+EV!D499*Catalogo!$F$14+EV!E499*Catalogo!$F$16+EV!F499*Catalogo!$F$18</f>
        <v>#N/A</v>
      </c>
      <c r="J499" s="224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0" t="e">
        <f ca="1">IF(TODAY()&gt;=$A500,SUMIFS(Tabla1[Avance_km],Tabla1[Fecha],"&lt;="&amp;EV!$A500,Tabla1[nombre_actividad],EV!C$1),NA())</f>
        <v>#N/A</v>
      </c>
      <c r="D500" s="110" t="e">
        <f ca="1">IF(TODAY()&gt;=$A500,SUMIFS(Tabla1[Avance_km],Tabla1[Fecha],"&lt;="&amp;EV!$A500,Tabla1[nombre_actividad],EV!D$1),NA())</f>
        <v>#N/A</v>
      </c>
      <c r="E500" s="110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0" t="e">
        <f ca="1">IF(TODAY()&gt;=$A500,SUMIFS(Tabla1[Avance_km],Tabla1[Fecha],"&lt;="&amp;EV!$A500-1,Tabla1[nombre_actividad],EV!H$1),NA())</f>
        <v>#N/A</v>
      </c>
      <c r="I500" s="224" t="e">
        <f ca="1">+C500*Catalogo!$F$19+EV!D500*Catalogo!$F$14+EV!E500*Catalogo!$F$16+EV!F500*Catalogo!$F$18</f>
        <v>#N/A</v>
      </c>
      <c r="J500" s="224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40" priority="1">
      <formula>C2=0</formula>
    </cfRule>
    <cfRule type="expression" dxfId="3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C7" zoomScale="85" zoomScaleNormal="85" workbookViewId="0">
      <selection activeCell="B26" sqref="B26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0" customFormat="1" ht="129.75" x14ac:dyDescent="0.25">
      <c r="B1" s="291" t="s">
        <v>276</v>
      </c>
      <c r="C1" s="291" t="s">
        <v>278</v>
      </c>
      <c r="D1" s="291" t="s">
        <v>280</v>
      </c>
      <c r="E1" s="291" t="s">
        <v>282</v>
      </c>
      <c r="F1" s="291" t="s">
        <v>284</v>
      </c>
      <c r="G1" s="291" t="s">
        <v>286</v>
      </c>
      <c r="H1" s="293" t="s">
        <v>79</v>
      </c>
      <c r="I1" s="293" t="s">
        <v>82</v>
      </c>
      <c r="J1" s="293" t="s">
        <v>80</v>
      </c>
      <c r="K1" s="293" t="s">
        <v>83</v>
      </c>
      <c r="L1" s="457" t="s">
        <v>81</v>
      </c>
      <c r="M1" s="293" t="s">
        <v>78</v>
      </c>
      <c r="N1" s="293" t="s">
        <v>294</v>
      </c>
      <c r="O1" s="293" t="s">
        <v>296</v>
      </c>
      <c r="P1" s="295" t="s">
        <v>298</v>
      </c>
      <c r="Q1" s="295" t="s">
        <v>415</v>
      </c>
      <c r="R1" s="295" t="s">
        <v>416</v>
      </c>
      <c r="S1" s="295" t="s">
        <v>423</v>
      </c>
      <c r="T1" s="295" t="s">
        <v>417</v>
      </c>
      <c r="U1" s="295" t="s">
        <v>424</v>
      </c>
      <c r="V1" s="295" t="s">
        <v>422</v>
      </c>
      <c r="W1" s="295" t="s">
        <v>418</v>
      </c>
      <c r="X1" s="295" t="s">
        <v>425</v>
      </c>
      <c r="Y1" s="295" t="s">
        <v>420</v>
      </c>
      <c r="Z1" s="295" t="s">
        <v>419</v>
      </c>
      <c r="AA1" s="295" t="s">
        <v>421</v>
      </c>
      <c r="AB1" s="297" t="s">
        <v>426</v>
      </c>
      <c r="AC1" s="297" t="s">
        <v>427</v>
      </c>
      <c r="AD1" s="297" t="s">
        <v>428</v>
      </c>
      <c r="AE1" s="297" t="s">
        <v>429</v>
      </c>
      <c r="AF1" s="297" t="s">
        <v>430</v>
      </c>
      <c r="AG1" s="297" t="s">
        <v>431</v>
      </c>
      <c r="AH1" s="297" t="s">
        <v>432</v>
      </c>
      <c r="AI1" s="297" t="s">
        <v>433</v>
      </c>
      <c r="AJ1" s="297" t="s">
        <v>434</v>
      </c>
      <c r="AK1" s="297" t="s">
        <v>435</v>
      </c>
      <c r="AL1" s="297" t="s">
        <v>436</v>
      </c>
      <c r="AM1" s="297" t="s">
        <v>437</v>
      </c>
      <c r="AN1" s="299" t="s">
        <v>440</v>
      </c>
      <c r="AQ1"/>
      <c r="AR1"/>
      <c r="AS1"/>
    </row>
    <row r="2" spans="1:50" s="76" customFormat="1" x14ac:dyDescent="0.25">
      <c r="B2" s="292" t="s">
        <v>97</v>
      </c>
      <c r="C2" s="292" t="s">
        <v>97</v>
      </c>
      <c r="D2" s="292" t="s">
        <v>97</v>
      </c>
      <c r="E2" s="292" t="s">
        <v>97</v>
      </c>
      <c r="F2" s="292" t="s">
        <v>97</v>
      </c>
      <c r="G2" s="292" t="s">
        <v>97</v>
      </c>
      <c r="H2" s="294" t="s">
        <v>108</v>
      </c>
      <c r="I2" s="294" t="s">
        <v>108</v>
      </c>
      <c r="J2" s="294" t="s">
        <v>108</v>
      </c>
      <c r="K2" s="294" t="s">
        <v>108</v>
      </c>
      <c r="L2" s="294" t="s">
        <v>113</v>
      </c>
      <c r="M2" s="294" t="s">
        <v>108</v>
      </c>
      <c r="N2" s="294" t="s">
        <v>97</v>
      </c>
      <c r="O2" s="294" t="s">
        <v>97</v>
      </c>
      <c r="P2" s="296" t="s">
        <v>118</v>
      </c>
      <c r="Q2" s="296" t="s">
        <v>439</v>
      </c>
      <c r="R2" s="296" t="s">
        <v>439</v>
      </c>
      <c r="S2" s="296" t="s">
        <v>126</v>
      </c>
      <c r="T2" s="296" t="s">
        <v>126</v>
      </c>
      <c r="U2" s="296" t="s">
        <v>126</v>
      </c>
      <c r="V2" s="296" t="s">
        <v>126</v>
      </c>
      <c r="W2" s="296" t="s">
        <v>126</v>
      </c>
      <c r="X2" s="296" t="s">
        <v>126</v>
      </c>
      <c r="Y2" s="296" t="s">
        <v>126</v>
      </c>
      <c r="Z2" s="296" t="s">
        <v>126</v>
      </c>
      <c r="AA2" s="296" t="s">
        <v>97</v>
      </c>
      <c r="AB2" s="298" t="s">
        <v>97</v>
      </c>
      <c r="AC2" s="298" t="s">
        <v>97</v>
      </c>
      <c r="AD2" s="298" t="s">
        <v>97</v>
      </c>
      <c r="AE2" s="298" t="s">
        <v>97</v>
      </c>
      <c r="AF2" s="298" t="s">
        <v>97</v>
      </c>
      <c r="AG2" s="298" t="s">
        <v>97</v>
      </c>
      <c r="AH2" s="298" t="s">
        <v>97</v>
      </c>
      <c r="AI2" s="298" t="s">
        <v>97</v>
      </c>
      <c r="AJ2" s="298" t="s">
        <v>438</v>
      </c>
      <c r="AK2" s="298" t="s">
        <v>438</v>
      </c>
      <c r="AL2" s="298" t="s">
        <v>438</v>
      </c>
      <c r="AM2" s="298" t="s">
        <v>97</v>
      </c>
      <c r="AQ2"/>
      <c r="AR2"/>
      <c r="AS2"/>
    </row>
    <row r="3" spans="1:50" x14ac:dyDescent="0.25">
      <c r="A3"/>
      <c r="B3" s="288">
        <v>2532.81</v>
      </c>
      <c r="C3" s="288">
        <v>3250.01</v>
      </c>
      <c r="D3" s="288">
        <v>985.32</v>
      </c>
      <c r="E3" s="288">
        <v>1062.92</v>
      </c>
      <c r="F3" s="288">
        <v>1337.25</v>
      </c>
      <c r="G3" s="288">
        <v>1581.21</v>
      </c>
      <c r="H3" s="434">
        <v>14521.41</v>
      </c>
      <c r="I3" s="318">
        <v>13555.63</v>
      </c>
      <c r="J3" s="436">
        <v>13555.63</v>
      </c>
      <c r="K3" s="257">
        <v>13696.28</v>
      </c>
      <c r="L3" s="257">
        <v>4658</v>
      </c>
      <c r="M3" s="436">
        <v>2257.42</v>
      </c>
      <c r="N3" s="257">
        <v>3540.12</v>
      </c>
      <c r="O3" s="257">
        <v>2646.28</v>
      </c>
      <c r="P3" s="257">
        <v>1970.65</v>
      </c>
      <c r="Q3" s="257">
        <v>7585.99</v>
      </c>
      <c r="R3" s="257">
        <v>1765.59</v>
      </c>
      <c r="S3" s="257">
        <v>1934.59</v>
      </c>
      <c r="T3" s="257">
        <v>1960.59</v>
      </c>
      <c r="U3" s="257">
        <v>2220.59</v>
      </c>
      <c r="V3" s="257">
        <v>2220.59</v>
      </c>
      <c r="W3" s="257">
        <v>2090.59</v>
      </c>
      <c r="X3" s="257">
        <v>2090.59</v>
      </c>
      <c r="Y3" s="257">
        <v>656</v>
      </c>
      <c r="Z3" s="257">
        <v>4676</v>
      </c>
      <c r="AA3" s="257">
        <v>4124.2700000000004</v>
      </c>
      <c r="AB3" s="257">
        <v>5020.99</v>
      </c>
      <c r="AC3" s="257">
        <v>3652.99</v>
      </c>
      <c r="AD3" s="257">
        <v>3201.98</v>
      </c>
      <c r="AE3" s="257">
        <v>6840</v>
      </c>
      <c r="AF3" s="257">
        <v>2052</v>
      </c>
      <c r="AG3" s="257">
        <v>3420</v>
      </c>
      <c r="AH3" s="257">
        <v>4212.3599999999997</v>
      </c>
      <c r="AI3" s="257">
        <v>1368</v>
      </c>
      <c r="AJ3" s="257">
        <v>7244.35</v>
      </c>
      <c r="AK3" s="257">
        <v>6977.93</v>
      </c>
      <c r="AL3" s="257">
        <v>8275.99</v>
      </c>
      <c r="AM3" s="257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5">
        <v>2.1</v>
      </c>
      <c r="I4" s="302">
        <v>2.2000000000000002</v>
      </c>
      <c r="J4" s="435">
        <v>2.2999999999999998</v>
      </c>
      <c r="K4" s="76">
        <v>2.4</v>
      </c>
      <c r="L4" s="76">
        <v>2.5</v>
      </c>
      <c r="M4" s="435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2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4">
        <v>-11162921.84</v>
      </c>
      <c r="AO5" s="304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2">
        <v>45962</v>
      </c>
      <c r="B6" s="310">
        <f>+SUMIFS(Tabla1[Avance_Med],Tabla1[Fecha],"&gt;="&amp;$A6,Tabla1[Fecha],"&lt;="&amp;EOMONTH($A6,0),Tabla1[Codigo_actividad],B$4)*B$3</f>
        <v>0</v>
      </c>
      <c r="C6" s="310">
        <f>+SUMIFS(Tabla1[Avance_Med],Tabla1[Fecha],"&gt;="&amp;$A6,Tabla1[Fecha],"&lt;="&amp;EOMONTH($A6,0),Tabla1[Codigo_actividad],C$4)*C$3</f>
        <v>0</v>
      </c>
      <c r="D6" s="310">
        <f>+SUMIFS(Tabla1[Avance_Med],Tabla1[Fecha],"&gt;="&amp;$A6,Tabla1[Fecha],"&lt;="&amp;EOMONTH($A6,0),Tabla1[Codigo_actividad],D$4)*D$3</f>
        <v>0</v>
      </c>
      <c r="E6" s="310">
        <f>+SUMIFS(Tabla1[Avance_Med],Tabla1[Fecha],"&gt;="&amp;$A6,Tabla1[Fecha],"&lt;="&amp;EOMONTH($A6,0),Tabla1[Codigo_actividad],E$4)*E$3</f>
        <v>0</v>
      </c>
      <c r="F6" s="310">
        <f>+SUMIFS(Tabla1[Avance_Med],Tabla1[Fecha],"&gt;="&amp;$A6,Tabla1[Fecha],"&lt;="&amp;EOMONTH($A6,0),Tabla1[Codigo_actividad],F$4)*F$3</f>
        <v>0</v>
      </c>
      <c r="G6" s="310">
        <f>+SUMIFS(Tabla1[Avance_Med],Tabla1[Fecha],"&gt;="&amp;$A6,Tabla1[Fecha],"&lt;="&amp;EOMONTH($A6,0),Tabla1[Codigo_actividad],G$4)*G$3</f>
        <v>0</v>
      </c>
      <c r="H6" s="310">
        <f>+SUMIFS(Tabla1[Avance_km],Tabla1[Fecha],"&gt;="&amp;$A6,Tabla1[Fecha],"&lt;="&amp;EOMONTH($A6,0),Tabla1[Codigo_actividad],H$4)*H$3</f>
        <v>458135.96408999996</v>
      </c>
      <c r="I6" s="310"/>
      <c r="J6" s="310">
        <f>+SUMIFS(Tabla1[Avance_km],Tabla1[Fecha],"&gt;="&amp;$A6,Tabla1[Fecha],"&lt;="&amp;EOMONTH($A6,0),Tabla1[Codigo_actividad],J$4,Tabla1[Avance_km],"&gt;0")*J$3</f>
        <v>719112.61586999998</v>
      </c>
      <c r="K6" s="310">
        <f>SUMIFS(Tabla1[Avance_km],Tabla1[Fecha],"&gt;="&amp;$A6,Tabla1[Fecha],"&lt;="&amp;EOMONTH($A6,0),Tabla1[Codigo_actividad],K$4,Tabla1[Avance_km],"&gt;0")*K$3</f>
        <v>0</v>
      </c>
      <c r="L6" s="310">
        <f>+SUMIFS(Tabla1[Avance_Med],Tabla1[Fecha],"&gt;="&amp;$A6,Tabla1[Fecha],"&lt;="&amp;EOMONTH($A6,0),Tabla1[Codigo_actividad],L$4)*L$3</f>
        <v>456484</v>
      </c>
      <c r="M6" s="310">
        <f>+SUMIFS(Tabla1[Avance_km],Tabla1[Fecha],"&gt;="&amp;$A6,Tabla1[Fecha],"&lt;="&amp;EOMONTH($A6,0),Tabla1[Codigo_actividad],M$4)*M$3</f>
        <v>162583.90324000004</v>
      </c>
      <c r="N6" s="310">
        <f>+SUMIFS(Tabla1[Avance_Med],Tabla1[Fecha],"&gt;="&amp;$A6,Tabla1[Fecha],"&lt;="&amp;EOMONTH($A6,0),Tabla1[Codigo_actividad],N$4)*N$3</f>
        <v>0</v>
      </c>
      <c r="O6" s="310">
        <f>+SUMIFS(Tabla1[Avance_Med],Tabla1[Fecha],"&gt;="&amp;$A6,Tabla1[Fecha],"&lt;="&amp;EOMONTH($A6,0),Tabla1[Codigo_actividad],O$4)*O$3</f>
        <v>0</v>
      </c>
      <c r="P6" s="310">
        <f>+SUMIFS(Tabla1[Avance_Med],Tabla1[Fecha],"&gt;="&amp;$A6,Tabla1[Fecha],"&lt;="&amp;EOMONTH($A6,0),Tabla1[Codigo_actividad],P$4)*P$3</f>
        <v>0</v>
      </c>
      <c r="Q6" s="310">
        <f>+SUMIFS(Tabla1[Avance_Med],Tabla1[Fecha],"&gt;="&amp;$A6,Tabla1[Fecha],"&lt;="&amp;EOMONTH($A6,0),Tabla1[Codigo_actividad],Q$4)*Q$3</f>
        <v>0</v>
      </c>
      <c r="R6" s="310">
        <f>+SUMIFS(Tabla1[Avance_Med],Tabla1[Fecha],"&gt;="&amp;$A6,Tabla1[Fecha],"&lt;="&amp;EOMONTH($A6,0),Tabla1[Codigo_actividad],R$4)*R$3</f>
        <v>0</v>
      </c>
      <c r="S6" s="310">
        <f>+SUMIFS(Tabla1[Avance_Med],Tabla1[Fecha],"&gt;="&amp;$A6,Tabla1[Fecha],"&lt;="&amp;EOMONTH($A6,0),Tabla1[Codigo_actividad],S$4)*S$3</f>
        <v>0</v>
      </c>
      <c r="T6" s="310">
        <f>+SUMIFS(Tabla1[Avance_Med],Tabla1[Fecha],"&gt;="&amp;$A6,Tabla1[Fecha],"&lt;="&amp;EOMONTH($A6,0),Tabla1[Codigo_actividad],T$4)*T$3</f>
        <v>0</v>
      </c>
      <c r="U6" s="310">
        <f>+SUMIFS(Tabla1[Avance_Med],Tabla1[Fecha],"&gt;="&amp;$A6,Tabla1[Fecha],"&lt;="&amp;EOMONTH($A6,0),Tabla1[Codigo_actividad],U$4)*U$3</f>
        <v>0</v>
      </c>
      <c r="V6" s="310">
        <f>+SUMIFS(Tabla1[Avance_Med],Tabla1[Fecha],"&gt;="&amp;$A6,Tabla1[Fecha],"&lt;="&amp;EOMONTH($A6,0),Tabla1[Codigo_actividad],V$4)*V$3</f>
        <v>0</v>
      </c>
      <c r="W6" s="310">
        <f>+SUMIFS(Tabla1[Avance_Med],Tabla1[Fecha],"&gt;="&amp;$A6,Tabla1[Fecha],"&lt;="&amp;EOMONTH($A6,0),Tabla1[Codigo_actividad],W$4)*W$3</f>
        <v>0</v>
      </c>
      <c r="X6" s="310">
        <f>+SUMIFS(Tabla1[Avance_Med],Tabla1[Fecha],"&gt;="&amp;$A6,Tabla1[Fecha],"&lt;="&amp;EOMONTH($A6,0),Tabla1[Codigo_actividad],X$4)*X$3</f>
        <v>0</v>
      </c>
      <c r="Y6" s="310">
        <f>+SUMIFS(Tabla1[Avance_Med],Tabla1[Fecha],"&gt;="&amp;$A6,Tabla1[Fecha],"&lt;="&amp;EOMONTH($A6,0),Tabla1[Codigo_actividad],Y$4)*Y$3</f>
        <v>0</v>
      </c>
      <c r="Z6" s="310">
        <f>+SUMIFS(Tabla1[Avance_Med],Tabla1[Fecha],"&gt;="&amp;$A6,Tabla1[Fecha],"&lt;="&amp;EOMONTH($A6,0),Tabla1[Codigo_actividad],Z$4)*Z$3</f>
        <v>0</v>
      </c>
      <c r="AA6" s="310">
        <f>+SUMIFS(Tabla1[Avance_Med],Tabla1[Fecha],"&gt;="&amp;$A6,Tabla1[Fecha],"&lt;="&amp;EOMONTH($A6,0),Tabla1[Codigo_actividad],AA$4)*AA$3</f>
        <v>0</v>
      </c>
      <c r="AB6" s="310">
        <f>+SUMIFS(Tabla1[Avance_Med],Tabla1[Fecha],"&gt;="&amp;$A6,Tabla1[Fecha],"&lt;="&amp;EOMONTH($A6,0),Tabla1[Codigo_actividad],AB$4)*AB$3</f>
        <v>0</v>
      </c>
      <c r="AC6" s="310">
        <f>+SUMIFS(Tabla1[Avance_Med],Tabla1[Fecha],"&gt;="&amp;$A6,Tabla1[Fecha],"&lt;="&amp;EOMONTH($A6,0),Tabla1[Codigo_actividad],AC$4)*AC$3</f>
        <v>0</v>
      </c>
      <c r="AD6" s="310">
        <f>+SUMIFS(Tabla1[Avance_Med],Tabla1[Fecha],"&gt;="&amp;$A6,Tabla1[Fecha],"&lt;="&amp;EOMONTH($A6,0),Tabla1[Codigo_actividad],AD$4)*AD$3</f>
        <v>0</v>
      </c>
      <c r="AE6" s="310">
        <f>+SUMIFS(Tabla1[Avance_Med],Tabla1[Fecha],"&gt;="&amp;$A6,Tabla1[Fecha],"&lt;="&amp;EOMONTH($A6,0),Tabla1[Codigo_actividad],AE$4)*AE$3</f>
        <v>0</v>
      </c>
      <c r="AF6" s="310">
        <f>+SUMIFS(Tabla1[Avance_Med],Tabla1[Fecha],"&gt;="&amp;$A6,Tabla1[Fecha],"&lt;="&amp;EOMONTH($A6,0),Tabla1[Codigo_actividad],AF$4)*AF$3</f>
        <v>0</v>
      </c>
      <c r="AG6" s="310">
        <f>+SUMIFS(Tabla1[Avance_Med],Tabla1[Fecha],"&gt;="&amp;$A6,Tabla1[Fecha],"&lt;="&amp;EOMONTH($A6,0),Tabla1[Codigo_actividad],AG$4)*AG$3</f>
        <v>0</v>
      </c>
      <c r="AH6" s="310">
        <f>+SUMIFS(Tabla1[Avance_Med],Tabla1[Fecha],"&gt;="&amp;$A6,Tabla1[Fecha],"&lt;="&amp;EOMONTH($A6,0),Tabla1[Codigo_actividad],AH$4)*AH$3</f>
        <v>0</v>
      </c>
      <c r="AI6" s="310">
        <f>+SUMIFS(Tabla1[Avance_Med],Tabla1[Fecha],"&gt;="&amp;$A6,Tabla1[Fecha],"&lt;="&amp;EOMONTH($A6,0),Tabla1[Codigo_actividad],AI$4)*AI$3</f>
        <v>0</v>
      </c>
      <c r="AJ6" s="310">
        <f>+SUMIFS(Tabla1[Avance_Med],Tabla1[Fecha],"&gt;="&amp;$A6,Tabla1[Fecha],"&lt;="&amp;EOMONTH($A6,0),Tabla1[Codigo_actividad],AJ$4)*AJ$3</f>
        <v>0</v>
      </c>
      <c r="AK6" s="310">
        <f>+SUMIFS(Tabla1[Avance_Med],Tabla1[Fecha],"&gt;="&amp;$A6,Tabla1[Fecha],"&lt;="&amp;EOMONTH($A6,0),Tabla1[Codigo_actividad],AK$4)*AK$3</f>
        <v>0</v>
      </c>
      <c r="AL6" s="310">
        <f>+SUMIFS(Tabla1[Avance_km],Tabla1[Fecha],"&gt;="&amp;$A6,Tabla1[Fecha],"&lt;="&amp;EOMONTH($A6,0),Tabla1[Codigo_actividad],AL$4)*AL$3</f>
        <v>0</v>
      </c>
      <c r="AM6" s="310">
        <f>+SUMIFS(Tabla1[Avance_Med],Tabla1[Fecha],"&gt;="&amp;$A6,Tabla1[Fecha],"&lt;="&amp;EOMONTH($A6,0),Tabla1[Codigo_actividad],AM$4)*AM$3</f>
        <v>0</v>
      </c>
      <c r="AN6" s="309"/>
      <c r="AO6" s="304">
        <f t="shared" si="0"/>
        <v>1796316.4832000001</v>
      </c>
      <c r="AT6"/>
      <c r="AU6"/>
      <c r="AV6"/>
      <c r="AW6"/>
      <c r="AX6"/>
    </row>
    <row r="7" spans="1:50" x14ac:dyDescent="0.25">
      <c r="A7" s="222">
        <v>45992</v>
      </c>
      <c r="B7" s="310">
        <f>+SUMIFS(Tabla1[Avance_Med],Tabla1[Fecha],"&gt;="&amp;$A7,Tabla1[Fecha],"&lt;="&amp;EOMONTH($A7,0),Tabla1[Codigo_actividad],B$4)*B$3</f>
        <v>0</v>
      </c>
      <c r="C7" s="310">
        <f>+SUMIFS(Tabla1[Avance_Med],Tabla1[Fecha],"&gt;="&amp;$A7,Tabla1[Fecha],"&lt;="&amp;EOMONTH($A7,0),Tabla1[Codigo_actividad],C$4)*C$3</f>
        <v>0</v>
      </c>
      <c r="D7" s="310">
        <f>+SUMIFS(Tabla1[Avance_Med],Tabla1[Fecha],"&gt;="&amp;$A7,Tabla1[Fecha],"&lt;="&amp;EOMONTH($A7,0),Tabla1[Codigo_actividad],D$4)*D$3</f>
        <v>0</v>
      </c>
      <c r="E7" s="310">
        <f>+SUMIFS(Tabla1[Avance_Med],Tabla1[Fecha],"&gt;="&amp;$A7,Tabla1[Fecha],"&lt;="&amp;EOMONTH($A7,0),Tabla1[Codigo_actividad],E$4)*E$3</f>
        <v>0</v>
      </c>
      <c r="F7" s="310">
        <f>+SUMIFS(Tabla1[Avance_Med],Tabla1[Fecha],"&gt;="&amp;$A7,Tabla1[Fecha],"&lt;="&amp;EOMONTH($A7,0),Tabla1[Codigo_actividad],F$4)*F$3</f>
        <v>0</v>
      </c>
      <c r="G7" s="310">
        <f>+SUMIFS(Tabla1[Avance_Med],Tabla1[Fecha],"&gt;="&amp;$A7,Tabla1[Fecha],"&lt;="&amp;EOMONTH($A7,0),Tabla1[Codigo_actividad],G$4)*G$3</f>
        <v>0</v>
      </c>
      <c r="H7" s="310">
        <f>+SUMIFS(Tabla1[Avance_km],Tabla1[Fecha],"&gt;="&amp;$A7,Tabla1[Fecha],"&lt;="&amp;EOMONTH($A7,0),Tabla1[Codigo_actividad],H$4)*H$3</f>
        <v>457671.27897000004</v>
      </c>
      <c r="I7" s="310"/>
      <c r="J7" s="310">
        <f>+SUMIFS(Tabla1[Avance_km],Tabla1[Fecha],"&gt;="&amp;$A7,Tabla1[Fecha],"&lt;="&amp;EOMONTH($A7,0),Tabla1[Codigo_actividad],J$4,Tabla1[Avance_km],"&gt;0")*J$3</f>
        <v>427598.79271999991</v>
      </c>
      <c r="K7" s="310">
        <f>SUMIFS(Tabla1[Avance_km],Tabla1[Fecha],"&gt;="&amp;$A7,Tabla1[Fecha],"&lt;="&amp;EOMONTH($A7,0),Tabla1[Codigo_actividad],K$4,Tabla1[Avance_km],"&gt;0")*K$3</f>
        <v>0</v>
      </c>
      <c r="L7" s="310">
        <f>+SUMIFS(Tabla1[Avance_Med],Tabla1[Fecha],"&gt;="&amp;$A7,Tabla1[Fecha],"&lt;="&amp;EOMONTH($A7,0),Tabla1[Codigo_actividad],L$4)*L$3</f>
        <v>605540</v>
      </c>
      <c r="M7" s="310">
        <f>+SUMIFS(Tabla1[Avance_km],Tabla1[Fecha],"&gt;="&amp;$A7,Tabla1[Fecha],"&lt;="&amp;EOMONTH($A7,0),Tabla1[Codigo_actividad],M$4)*M$3</f>
        <v>47818.927860000003</v>
      </c>
      <c r="N7" s="310">
        <f>+SUMIFS(Tabla1[Avance_Med],Tabla1[Fecha],"&gt;="&amp;$A7,Tabla1[Fecha],"&lt;="&amp;EOMONTH($A7,0),Tabla1[Codigo_actividad],N$4)*N$3</f>
        <v>0</v>
      </c>
      <c r="O7" s="310">
        <f>+SUMIFS(Tabla1[Avance_Med],Tabla1[Fecha],"&gt;="&amp;$A7,Tabla1[Fecha],"&lt;="&amp;EOMONTH($A7,0),Tabla1[Codigo_actividad],O$4)*O$3</f>
        <v>0</v>
      </c>
      <c r="P7" s="310">
        <f>+SUMIFS(Tabla1[Avance_Med],Tabla1[Fecha],"&gt;="&amp;$A7,Tabla1[Fecha],"&lt;="&amp;EOMONTH($A7,0),Tabla1[Codigo_actividad],P$4)*P$3</f>
        <v>0</v>
      </c>
      <c r="Q7" s="310">
        <f>+SUMIFS(Tabla1[Avance_Med],Tabla1[Fecha],"&gt;="&amp;$A7,Tabla1[Fecha],"&lt;="&amp;EOMONTH($A7,0),Tabla1[Codigo_actividad],Q$4)*Q$3</f>
        <v>0</v>
      </c>
      <c r="R7" s="310">
        <f>+SUMIFS(Tabla1[Avance_Med],Tabla1[Fecha],"&gt;="&amp;$A7,Tabla1[Fecha],"&lt;="&amp;EOMONTH($A7,0),Tabla1[Codigo_actividad],R$4)*R$3</f>
        <v>0</v>
      </c>
      <c r="S7" s="310">
        <f>+SUMIFS(Tabla1[Avance_Med],Tabla1[Fecha],"&gt;="&amp;$A7,Tabla1[Fecha],"&lt;="&amp;EOMONTH($A7,0),Tabla1[Codigo_actividad],S$4)*S$3</f>
        <v>0</v>
      </c>
      <c r="T7" s="310">
        <f>+SUMIFS(Tabla1[Avance_Med],Tabla1[Fecha],"&gt;="&amp;$A7,Tabla1[Fecha],"&lt;="&amp;EOMONTH($A7,0),Tabla1[Codigo_actividad],T$4)*T$3</f>
        <v>0</v>
      </c>
      <c r="U7" s="310">
        <f>+SUMIFS(Tabla1[Avance_Med],Tabla1[Fecha],"&gt;="&amp;$A7,Tabla1[Fecha],"&lt;="&amp;EOMONTH($A7,0),Tabla1[Codigo_actividad],U$4)*U$3</f>
        <v>0</v>
      </c>
      <c r="V7" s="310">
        <f>+SUMIFS(Tabla1[Avance_Med],Tabla1[Fecha],"&gt;="&amp;$A7,Tabla1[Fecha],"&lt;="&amp;EOMONTH($A7,0),Tabla1[Codigo_actividad],V$4)*V$3</f>
        <v>0</v>
      </c>
      <c r="W7" s="310">
        <f>+SUMIFS(Tabla1[Avance_Med],Tabla1[Fecha],"&gt;="&amp;$A7,Tabla1[Fecha],"&lt;="&amp;EOMONTH($A7,0),Tabla1[Codigo_actividad],W$4)*W$3</f>
        <v>0</v>
      </c>
      <c r="X7" s="310">
        <f>+SUMIFS(Tabla1[Avance_Med],Tabla1[Fecha],"&gt;="&amp;$A7,Tabla1[Fecha],"&lt;="&amp;EOMONTH($A7,0),Tabla1[Codigo_actividad],X$4)*X$3</f>
        <v>0</v>
      </c>
      <c r="Y7" s="310">
        <f>+SUMIFS(Tabla1[Avance_Med],Tabla1[Fecha],"&gt;="&amp;$A7,Tabla1[Fecha],"&lt;="&amp;EOMONTH($A7,0),Tabla1[Codigo_actividad],Y$4)*Y$3</f>
        <v>0</v>
      </c>
      <c r="Z7" s="310">
        <f>+SUMIFS(Tabla1[Avance_Med],Tabla1[Fecha],"&gt;="&amp;$A7,Tabla1[Fecha],"&lt;="&amp;EOMONTH($A7,0),Tabla1[Codigo_actividad],Z$4)*Z$3</f>
        <v>0</v>
      </c>
      <c r="AA7" s="310">
        <f>+SUMIFS(Tabla1[Avance_Med],Tabla1[Fecha],"&gt;="&amp;$A7,Tabla1[Fecha],"&lt;="&amp;EOMONTH($A7,0),Tabla1[Codigo_actividad],AA$4)*AA$3</f>
        <v>0</v>
      </c>
      <c r="AB7" s="310">
        <f>+SUMIFS(Tabla1[Avance_Med],Tabla1[Fecha],"&gt;="&amp;$A7,Tabla1[Fecha],"&lt;="&amp;EOMONTH($A7,0),Tabla1[Codigo_actividad],AB$4)*AB$3</f>
        <v>0</v>
      </c>
      <c r="AC7" s="310">
        <f>+SUMIFS(Tabla1[Avance_Med],Tabla1[Fecha],"&gt;="&amp;$A7,Tabla1[Fecha],"&lt;="&amp;EOMONTH($A7,0),Tabla1[Codigo_actividad],AC$4)*AC$3</f>
        <v>0</v>
      </c>
      <c r="AD7" s="310">
        <f>+SUMIFS(Tabla1[Avance_Med],Tabla1[Fecha],"&gt;="&amp;$A7,Tabla1[Fecha],"&lt;="&amp;EOMONTH($A7,0),Tabla1[Codigo_actividad],AD$4)*AD$3</f>
        <v>0</v>
      </c>
      <c r="AE7" s="310">
        <f>+SUMIFS(Tabla1[Avance_Med],Tabla1[Fecha],"&gt;="&amp;$A7,Tabla1[Fecha],"&lt;="&amp;EOMONTH($A7,0),Tabla1[Codigo_actividad],AE$4)*AE$3</f>
        <v>0</v>
      </c>
      <c r="AF7" s="310">
        <f>+SUMIFS(Tabla1[Avance_Med],Tabla1[Fecha],"&gt;="&amp;$A7,Tabla1[Fecha],"&lt;="&amp;EOMONTH($A7,0),Tabla1[Codigo_actividad],AF$4)*AF$3</f>
        <v>0</v>
      </c>
      <c r="AG7" s="310">
        <f>+SUMIFS(Tabla1[Avance_Med],Tabla1[Fecha],"&gt;="&amp;$A7,Tabla1[Fecha],"&lt;="&amp;EOMONTH($A7,0),Tabla1[Codigo_actividad],AG$4)*AG$3</f>
        <v>0</v>
      </c>
      <c r="AH7" s="310">
        <f>+SUMIFS(Tabla1[Avance_Med],Tabla1[Fecha],"&gt;="&amp;$A7,Tabla1[Fecha],"&lt;="&amp;EOMONTH($A7,0),Tabla1[Codigo_actividad],AH$4)*AH$3</f>
        <v>0</v>
      </c>
      <c r="AI7" s="310">
        <f>+SUMIFS(Tabla1[Avance_Med],Tabla1[Fecha],"&gt;="&amp;$A7,Tabla1[Fecha],"&lt;="&amp;EOMONTH($A7,0),Tabla1[Codigo_actividad],AI$4)*AI$3</f>
        <v>0</v>
      </c>
      <c r="AJ7" s="310">
        <f>+SUMIFS(Tabla1[Avance_Med],Tabla1[Fecha],"&gt;="&amp;$A7,Tabla1[Fecha],"&lt;="&amp;EOMONTH($A7,0),Tabla1[Codigo_actividad],AJ$4)*AJ$3</f>
        <v>0</v>
      </c>
      <c r="AK7" s="310">
        <f>+SUMIFS(Tabla1[Avance_Med],Tabla1[Fecha],"&gt;="&amp;$A7,Tabla1[Fecha],"&lt;="&amp;EOMONTH($A7,0),Tabla1[Codigo_actividad],AK$4)*AK$3</f>
        <v>0</v>
      </c>
      <c r="AL7" s="310">
        <f>+SUMIFS(Tabla1[Avance_km],Tabla1[Fecha],"&gt;="&amp;$A7,Tabla1[Fecha],"&lt;="&amp;EOMONTH($A7,0),Tabla1[Codigo_actividad],AL$4)*AL$3</f>
        <v>0</v>
      </c>
      <c r="AM7" s="310">
        <f>+SUMIFS(Tabla1[Avance_Med],Tabla1[Fecha],"&gt;="&amp;$A7,Tabla1[Fecha],"&lt;="&amp;EOMONTH($A7,0),Tabla1[Codigo_actividad],AM$4)*AM$3</f>
        <v>0</v>
      </c>
      <c r="AN7" s="309"/>
      <c r="AO7" s="304">
        <f t="shared" si="0"/>
        <v>1538628.9995499998</v>
      </c>
      <c r="AT7"/>
      <c r="AU7"/>
      <c r="AV7"/>
      <c r="AW7"/>
      <c r="AX7"/>
    </row>
    <row r="8" spans="1:50" x14ac:dyDescent="0.25">
      <c r="A8" s="222">
        <v>46023</v>
      </c>
      <c r="B8" s="310">
        <f>+SUMIFS(Tabla1[Avance_Med],Tabla1[Fecha],"&gt;="&amp;$A8,Tabla1[Fecha],"&lt;="&amp;EOMONTH($A8,0),Tabla1[Codigo_actividad],B$4)*B$3</f>
        <v>0</v>
      </c>
      <c r="C8" s="310">
        <f>+SUMIFS(Tabla1[Avance_Med],Tabla1[Fecha],"&gt;="&amp;$A8,Tabla1[Fecha],"&lt;="&amp;EOMONTH($A8,0),Tabla1[Codigo_actividad],C$4)*C$3</f>
        <v>0</v>
      </c>
      <c r="D8" s="310">
        <f>+SUMIFS(Tabla1[Avance_Med],Tabla1[Fecha],"&gt;="&amp;$A8,Tabla1[Fecha],"&lt;="&amp;EOMONTH($A8,0),Tabla1[Codigo_actividad],D$4)*D$3</f>
        <v>0</v>
      </c>
      <c r="E8" s="310">
        <f>+SUMIFS(Tabla1[Avance_Med],Tabla1[Fecha],"&gt;="&amp;$A8,Tabla1[Fecha],"&lt;="&amp;EOMONTH($A8,0),Tabla1[Codigo_actividad],E$4)*E$3</f>
        <v>0</v>
      </c>
      <c r="F8" s="310">
        <f>+SUMIFS(Tabla1[Avance_Med],Tabla1[Fecha],"&gt;="&amp;$A8,Tabla1[Fecha],"&lt;="&amp;EOMONTH($A8,0),Tabla1[Codigo_actividad],F$4)*F$3</f>
        <v>0</v>
      </c>
      <c r="G8" s="310">
        <f>+SUMIFS(Tabla1[Avance_Med],Tabla1[Fecha],"&gt;="&amp;$A8,Tabla1[Fecha],"&lt;="&amp;EOMONTH($A8,0),Tabla1[Codigo_actividad],G$4)*G$3</f>
        <v>0</v>
      </c>
      <c r="H8" s="310">
        <f>+SUMIFS(Tabla1[Avance_km],Tabla1[Fecha],"&gt;="&amp;$A8,Tabla1[Fecha],"&lt;="&amp;EOMONTH($A8,0),Tabla1[Codigo_actividad],H$4)*H$3</f>
        <v>534968.7444000002</v>
      </c>
      <c r="I8" s="310"/>
      <c r="J8" s="310">
        <f>+SUMIFS(Tabla1[Avance_km],Tabla1[Fecha],"&gt;="&amp;$A8,Tabla1[Fecha],"&lt;="&amp;EOMONTH($A8,0),Tabla1[Codigo_actividad],J$4,Tabla1[Avance_km],"&gt;0")*J$3</f>
        <v>207577.36219000004</v>
      </c>
      <c r="K8" s="310">
        <f>SUMIFS(Tabla1[Avance_km],Tabla1[Fecha],"&gt;="&amp;$A8,Tabla1[Fecha],"&lt;="&amp;EOMONTH($A8,0),Tabla1[Codigo_actividad],K$4,Tabla1[Avance_km],"&gt;0")*K$3</f>
        <v>0</v>
      </c>
      <c r="L8" s="310">
        <f>+SUMIFS(Tabla1[Avance_Med],Tabla1[Fecha],"&gt;="&amp;$A8,Tabla1[Fecha],"&lt;="&amp;EOMONTH($A8,0),Tabla1[Codigo_actividad],L$4)*L$3</f>
        <v>605540</v>
      </c>
      <c r="M8" s="310">
        <f>+SUMIFS(Tabla1[Avance_km],Tabla1[Fecha],"&gt;="&amp;$A8,Tabla1[Fecha],"&lt;="&amp;EOMONTH($A8,0),Tabla1[Codigo_actividad],M$4)*M$3</f>
        <v>15126.97142</v>
      </c>
      <c r="N8" s="310">
        <f>+SUMIFS(Tabla1[Avance_Med],Tabla1[Fecha],"&gt;="&amp;$A8,Tabla1[Fecha],"&lt;="&amp;EOMONTH($A8,0),Tabla1[Codigo_actividad],N$4)*N$3</f>
        <v>0</v>
      </c>
      <c r="O8" s="310">
        <f>+SUMIFS(Tabla1[Avance_Med],Tabla1[Fecha],"&gt;="&amp;$A8,Tabla1[Fecha],"&lt;="&amp;EOMONTH($A8,0),Tabla1[Codigo_actividad],O$4)*O$3</f>
        <v>0</v>
      </c>
      <c r="P8" s="310">
        <f>+SUMIFS(Tabla1[Avance_Med],Tabla1[Fecha],"&gt;="&amp;$A8,Tabla1[Fecha],"&lt;="&amp;EOMONTH($A8,0),Tabla1[Codigo_actividad],P$4)*P$3</f>
        <v>0</v>
      </c>
      <c r="Q8" s="310">
        <f>+SUMIFS(Tabla1[Avance_Med],Tabla1[Fecha],"&gt;="&amp;$A8,Tabla1[Fecha],"&lt;="&amp;EOMONTH($A8,0),Tabla1[Codigo_actividad],Q$4)*Q$3</f>
        <v>0</v>
      </c>
      <c r="R8" s="310">
        <f>+SUMIFS(Tabla1[Avance_Med],Tabla1[Fecha],"&gt;="&amp;$A8,Tabla1[Fecha],"&lt;="&amp;EOMONTH($A8,0),Tabla1[Codigo_actividad],R$4)*R$3</f>
        <v>0</v>
      </c>
      <c r="S8" s="310">
        <f>+SUMIFS(Tabla1[Avance_Med],Tabla1[Fecha],"&gt;="&amp;$A8,Tabla1[Fecha],"&lt;="&amp;EOMONTH($A8,0),Tabla1[Codigo_actividad],S$4)*S$3</f>
        <v>0</v>
      </c>
      <c r="T8" s="310">
        <f>+SUMIFS(Tabla1[Avance_Med],Tabla1[Fecha],"&gt;="&amp;$A8,Tabla1[Fecha],"&lt;="&amp;EOMONTH($A8,0),Tabla1[Codigo_actividad],T$4)*T$3</f>
        <v>0</v>
      </c>
      <c r="U8" s="310">
        <f>+SUMIFS(Tabla1[Avance_Med],Tabla1[Fecha],"&gt;="&amp;$A8,Tabla1[Fecha],"&lt;="&amp;EOMONTH($A8,0),Tabla1[Codigo_actividad],U$4)*U$3</f>
        <v>0</v>
      </c>
      <c r="V8" s="310">
        <f>+SUMIFS(Tabla1[Avance_Med],Tabla1[Fecha],"&gt;="&amp;$A8,Tabla1[Fecha],"&lt;="&amp;EOMONTH($A8,0),Tabla1[Codigo_actividad],V$4)*V$3</f>
        <v>0</v>
      </c>
      <c r="W8" s="310">
        <f>+SUMIFS(Tabla1[Avance_Med],Tabla1[Fecha],"&gt;="&amp;$A8,Tabla1[Fecha],"&lt;="&amp;EOMONTH($A8,0),Tabla1[Codigo_actividad],W$4)*W$3</f>
        <v>0</v>
      </c>
      <c r="X8" s="310">
        <f>+SUMIFS(Tabla1[Avance_Med],Tabla1[Fecha],"&gt;="&amp;$A8,Tabla1[Fecha],"&lt;="&amp;EOMONTH($A8,0),Tabla1[Codigo_actividad],X$4)*X$3</f>
        <v>0</v>
      </c>
      <c r="Y8" s="310">
        <f>+SUMIFS(Tabla1[Avance_Med],Tabla1[Fecha],"&gt;="&amp;$A8,Tabla1[Fecha],"&lt;="&amp;EOMONTH($A8,0),Tabla1[Codigo_actividad],Y$4)*Y$3</f>
        <v>0</v>
      </c>
      <c r="Z8" s="310">
        <f>+SUMIFS(Tabla1[Avance_Med],Tabla1[Fecha],"&gt;="&amp;$A8,Tabla1[Fecha],"&lt;="&amp;EOMONTH($A8,0),Tabla1[Codigo_actividad],Z$4)*Z$3</f>
        <v>0</v>
      </c>
      <c r="AA8" s="310">
        <f>+SUMIFS(Tabla1[Avance_Med],Tabla1[Fecha],"&gt;="&amp;$A8,Tabla1[Fecha],"&lt;="&amp;EOMONTH($A8,0),Tabla1[Codigo_actividad],AA$4)*AA$3</f>
        <v>0</v>
      </c>
      <c r="AB8" s="310">
        <f>+SUMIFS(Tabla1[Avance_Med],Tabla1[Fecha],"&gt;="&amp;$A8,Tabla1[Fecha],"&lt;="&amp;EOMONTH($A8,0),Tabla1[Codigo_actividad],AB$4)*AB$3</f>
        <v>0</v>
      </c>
      <c r="AC8" s="310">
        <f>+SUMIFS(Tabla1[Avance_Med],Tabla1[Fecha],"&gt;="&amp;$A8,Tabla1[Fecha],"&lt;="&amp;EOMONTH($A8,0),Tabla1[Codigo_actividad],AC$4)*AC$3</f>
        <v>0</v>
      </c>
      <c r="AD8" s="310">
        <f>+SUMIFS(Tabla1[Avance_Med],Tabla1[Fecha],"&gt;="&amp;$A8,Tabla1[Fecha],"&lt;="&amp;EOMONTH($A8,0),Tabla1[Codigo_actividad],AD$4)*AD$3</f>
        <v>0</v>
      </c>
      <c r="AE8" s="310">
        <f>+SUMIFS(Tabla1[Avance_Med],Tabla1[Fecha],"&gt;="&amp;$A8,Tabla1[Fecha],"&lt;="&amp;EOMONTH($A8,0),Tabla1[Codigo_actividad],AE$4)*AE$3</f>
        <v>0</v>
      </c>
      <c r="AF8" s="310">
        <f>+SUMIFS(Tabla1[Avance_Med],Tabla1[Fecha],"&gt;="&amp;$A8,Tabla1[Fecha],"&lt;="&amp;EOMONTH($A8,0),Tabla1[Codigo_actividad],AF$4)*AF$3</f>
        <v>0</v>
      </c>
      <c r="AG8" s="310">
        <f>+SUMIFS(Tabla1[Avance_Med],Tabla1[Fecha],"&gt;="&amp;$A8,Tabla1[Fecha],"&lt;="&amp;EOMONTH($A8,0),Tabla1[Codigo_actividad],AG$4)*AG$3</f>
        <v>0</v>
      </c>
      <c r="AH8" s="310">
        <f>+SUMIFS(Tabla1[Avance_Med],Tabla1[Fecha],"&gt;="&amp;$A8,Tabla1[Fecha],"&lt;="&amp;EOMONTH($A8,0),Tabla1[Codigo_actividad],AH$4)*AH$3</f>
        <v>0</v>
      </c>
      <c r="AI8" s="310">
        <f>+SUMIFS(Tabla1[Avance_Med],Tabla1[Fecha],"&gt;="&amp;$A8,Tabla1[Fecha],"&lt;="&amp;EOMONTH($A8,0),Tabla1[Codigo_actividad],AI$4)*AI$3</f>
        <v>0</v>
      </c>
      <c r="AJ8" s="310">
        <f>+SUMIFS(Tabla1[Avance_Med],Tabla1[Fecha],"&gt;="&amp;$A8,Tabla1[Fecha],"&lt;="&amp;EOMONTH($A8,0),Tabla1[Codigo_actividad],AJ$4)*AJ$3</f>
        <v>0</v>
      </c>
      <c r="AK8" s="310">
        <f>+SUMIFS(Tabla1[Avance_Med],Tabla1[Fecha],"&gt;="&amp;$A8,Tabla1[Fecha],"&lt;="&amp;EOMONTH($A8,0),Tabla1[Codigo_actividad],AK$4)*AK$3</f>
        <v>0</v>
      </c>
      <c r="AL8" s="310">
        <f>+SUMIFS(Tabla1[Avance_km],Tabla1[Fecha],"&gt;="&amp;$A8,Tabla1[Fecha],"&lt;="&amp;EOMONTH($A8,0),Tabla1[Codigo_actividad],AL$4)*AL$3</f>
        <v>0</v>
      </c>
      <c r="AM8" s="310">
        <f>+SUMIFS(Tabla1[Avance_Med],Tabla1[Fecha],"&gt;="&amp;$A8,Tabla1[Fecha],"&lt;="&amp;EOMONTH($A8,0),Tabla1[Codigo_actividad],AM$4)*AM$3</f>
        <v>0</v>
      </c>
      <c r="AN8" s="309"/>
      <c r="AO8" s="304">
        <f t="shared" si="0"/>
        <v>1363213.0780100003</v>
      </c>
      <c r="AT8"/>
      <c r="AU8"/>
      <c r="AV8"/>
      <c r="AW8"/>
      <c r="AX8"/>
    </row>
    <row r="9" spans="1:50" x14ac:dyDescent="0.25">
      <c r="A9" s="222">
        <v>46054</v>
      </c>
      <c r="B9" s="310">
        <f>+SUMIFS(Tabla1[Avance_Med],Tabla1[Fecha],"&gt;="&amp;$A9,Tabla1[Fecha],"&lt;="&amp;EOMONTH($A9,0),Tabla1[Codigo_actividad],B$4)*B$3</f>
        <v>0</v>
      </c>
      <c r="C9" s="310">
        <f>+SUMIFS(Tabla1[Avance_Med],Tabla1[Fecha],"&gt;="&amp;$A9,Tabla1[Fecha],"&lt;="&amp;EOMONTH($A9,0),Tabla1[Codigo_actividad],C$4)*C$3</f>
        <v>0</v>
      </c>
      <c r="D9" s="310">
        <f>+SUMIFS(Tabla1[Avance_Med],Tabla1[Fecha],"&gt;="&amp;$A9,Tabla1[Fecha],"&lt;="&amp;EOMONTH($A9,0),Tabla1[Codigo_actividad],D$4)*D$3</f>
        <v>0</v>
      </c>
      <c r="E9" s="310">
        <f>+SUMIFS(Tabla1[Avance_Med],Tabla1[Fecha],"&gt;="&amp;$A9,Tabla1[Fecha],"&lt;="&amp;EOMONTH($A9,0),Tabla1[Codigo_actividad],E$4)*E$3</f>
        <v>0</v>
      </c>
      <c r="F9" s="310">
        <f>+SUMIFS(Tabla1[Avance_Med],Tabla1[Fecha],"&gt;="&amp;$A9,Tabla1[Fecha],"&lt;="&amp;EOMONTH($A9,0),Tabla1[Codigo_actividad],F$4)*F$3</f>
        <v>0</v>
      </c>
      <c r="G9" s="310">
        <f>+SUMIFS(Tabla1[Avance_Med],Tabla1[Fecha],"&gt;="&amp;$A9,Tabla1[Fecha],"&lt;="&amp;EOMONTH($A9,0),Tabla1[Codigo_actividad],G$4)*G$3</f>
        <v>0</v>
      </c>
      <c r="H9" s="310">
        <f>+SUMIFS(Tabla1[Avance_km],Tabla1[Fecha],"&gt;="&amp;$A9,Tabla1[Fecha],"&lt;="&amp;EOMONTH($A9,0),Tabla1[Codigo_actividad],H$4)*H$3</f>
        <v>0</v>
      </c>
      <c r="I9" s="310"/>
      <c r="J9" s="310">
        <f>+SUMIFS(Tabla1[Avance_km],Tabla1[Fecha],"&gt;="&amp;$A9,Tabla1[Fecha],"&lt;="&amp;EOMONTH($A9,0),Tabla1[Codigo_actividad],J$4,Tabla1[Avance_km],"&gt;0")*J$3</f>
        <v>0</v>
      </c>
      <c r="K9" s="310">
        <f>SUMIFS(Tabla1[Avance_km],Tabla1[Fecha],"&gt;="&amp;$A9,Tabla1[Fecha],"&lt;="&amp;EOMONTH($A9,0),Tabla1[Codigo_actividad],K$4,Tabla1[Avance_km],"&gt;0")*K$3</f>
        <v>0</v>
      </c>
      <c r="L9" s="310">
        <f>+SUMIFS(Tabla1[Avance_Med],Tabla1[Fecha],"&gt;="&amp;$A9,Tabla1[Fecha],"&lt;="&amp;EOMONTH($A9,0),Tabla1[Codigo_actividad],L$4)*L$3</f>
        <v>83844</v>
      </c>
      <c r="M9" s="310">
        <f>+SUMIFS(Tabla1[Avance_km],Tabla1[Fecha],"&gt;="&amp;$A9,Tabla1[Fecha],"&lt;="&amp;EOMONTH($A9,0),Tabla1[Codigo_actividad],M$4)*M$3</f>
        <v>0</v>
      </c>
      <c r="N9" s="310">
        <f>+SUMIFS(Tabla1[Avance_Med],Tabla1[Fecha],"&gt;="&amp;$A9,Tabla1[Fecha],"&lt;="&amp;EOMONTH($A9,0),Tabla1[Codigo_actividad],N$4)*N$3</f>
        <v>0</v>
      </c>
      <c r="O9" s="310">
        <f>+SUMIFS(Tabla1[Avance_Med],Tabla1[Fecha],"&gt;="&amp;$A9,Tabla1[Fecha],"&lt;="&amp;EOMONTH($A9,0),Tabla1[Codigo_actividad],O$4)*O$3</f>
        <v>0</v>
      </c>
      <c r="P9" s="310">
        <f>+SUMIFS(Tabla1[Avance_Med],Tabla1[Fecha],"&gt;="&amp;$A9,Tabla1[Fecha],"&lt;="&amp;EOMONTH($A9,0),Tabla1[Codigo_actividad],P$4)*P$3</f>
        <v>0</v>
      </c>
      <c r="Q9" s="310">
        <f>+SUMIFS(Tabla1[Avance_Med],Tabla1[Fecha],"&gt;="&amp;$A9,Tabla1[Fecha],"&lt;="&amp;EOMONTH($A9,0),Tabla1[Codigo_actividad],Q$4)*Q$3</f>
        <v>0</v>
      </c>
      <c r="R9" s="310">
        <f>+SUMIFS(Tabla1[Avance_Med],Tabla1[Fecha],"&gt;="&amp;$A9,Tabla1[Fecha],"&lt;="&amp;EOMONTH($A9,0),Tabla1[Codigo_actividad],R$4)*R$3</f>
        <v>0</v>
      </c>
      <c r="S9" s="310">
        <f>+SUMIFS(Tabla1[Avance_Med],Tabla1[Fecha],"&gt;="&amp;$A9,Tabla1[Fecha],"&lt;="&amp;EOMONTH($A9,0),Tabla1[Codigo_actividad],S$4)*S$3</f>
        <v>0</v>
      </c>
      <c r="T9" s="310">
        <f>+SUMIFS(Tabla1[Avance_Med],Tabla1[Fecha],"&gt;="&amp;$A9,Tabla1[Fecha],"&lt;="&amp;EOMONTH($A9,0),Tabla1[Codigo_actividad],T$4)*T$3</f>
        <v>0</v>
      </c>
      <c r="U9" s="310">
        <f>+SUMIFS(Tabla1[Avance_Med],Tabla1[Fecha],"&gt;="&amp;$A9,Tabla1[Fecha],"&lt;="&amp;EOMONTH($A9,0),Tabla1[Codigo_actividad],U$4)*U$3</f>
        <v>0</v>
      </c>
      <c r="V9" s="310">
        <f>+SUMIFS(Tabla1[Avance_Med],Tabla1[Fecha],"&gt;="&amp;$A9,Tabla1[Fecha],"&lt;="&amp;EOMONTH($A9,0),Tabla1[Codigo_actividad],V$4)*V$3</f>
        <v>0</v>
      </c>
      <c r="W9" s="310">
        <f>+SUMIFS(Tabla1[Avance_Med],Tabla1[Fecha],"&gt;="&amp;$A9,Tabla1[Fecha],"&lt;="&amp;EOMONTH($A9,0),Tabla1[Codigo_actividad],W$4)*W$3</f>
        <v>0</v>
      </c>
      <c r="X9" s="310">
        <f>+SUMIFS(Tabla1[Avance_Med],Tabla1[Fecha],"&gt;="&amp;$A9,Tabla1[Fecha],"&lt;="&amp;EOMONTH($A9,0),Tabla1[Codigo_actividad],X$4)*X$3</f>
        <v>0</v>
      </c>
      <c r="Y9" s="310">
        <f>+SUMIFS(Tabla1[Avance_Med],Tabla1[Fecha],"&gt;="&amp;$A9,Tabla1[Fecha],"&lt;="&amp;EOMONTH($A9,0),Tabla1[Codigo_actividad],Y$4)*Y$3</f>
        <v>0</v>
      </c>
      <c r="Z9" s="310">
        <f>+SUMIFS(Tabla1[Avance_Med],Tabla1[Fecha],"&gt;="&amp;$A9,Tabla1[Fecha],"&lt;="&amp;EOMONTH($A9,0),Tabla1[Codigo_actividad],Z$4)*Z$3</f>
        <v>0</v>
      </c>
      <c r="AA9" s="310">
        <f>+SUMIFS(Tabla1[Avance_Med],Tabla1[Fecha],"&gt;="&amp;$A9,Tabla1[Fecha],"&lt;="&amp;EOMONTH($A9,0),Tabla1[Codigo_actividad],AA$4)*AA$3</f>
        <v>0</v>
      </c>
      <c r="AB9" s="310">
        <f>+SUMIFS(Tabla1[Avance_Med],Tabla1[Fecha],"&gt;="&amp;$A9,Tabla1[Fecha],"&lt;="&amp;EOMONTH($A9,0),Tabla1[Codigo_actividad],AB$4)*AB$3</f>
        <v>0</v>
      </c>
      <c r="AC9" s="310">
        <f>+SUMIFS(Tabla1[Avance_Med],Tabla1[Fecha],"&gt;="&amp;$A9,Tabla1[Fecha],"&lt;="&amp;EOMONTH($A9,0),Tabla1[Codigo_actividad],AC$4)*AC$3</f>
        <v>0</v>
      </c>
      <c r="AD9" s="310">
        <f>+SUMIFS(Tabla1[Avance_Med],Tabla1[Fecha],"&gt;="&amp;$A9,Tabla1[Fecha],"&lt;="&amp;EOMONTH($A9,0),Tabla1[Codigo_actividad],AD$4)*AD$3</f>
        <v>0</v>
      </c>
      <c r="AE9" s="310">
        <f>+SUMIFS(Tabla1[Avance_Med],Tabla1[Fecha],"&gt;="&amp;$A9,Tabla1[Fecha],"&lt;="&amp;EOMONTH($A9,0),Tabla1[Codigo_actividad],AE$4)*AE$3</f>
        <v>0</v>
      </c>
      <c r="AF9" s="310">
        <f>+SUMIFS(Tabla1[Avance_Med],Tabla1[Fecha],"&gt;="&amp;$A9,Tabla1[Fecha],"&lt;="&amp;EOMONTH($A9,0),Tabla1[Codigo_actividad],AF$4)*AF$3</f>
        <v>0</v>
      </c>
      <c r="AG9" s="310">
        <f>+SUMIFS(Tabla1[Avance_Med],Tabla1[Fecha],"&gt;="&amp;$A9,Tabla1[Fecha],"&lt;="&amp;EOMONTH($A9,0),Tabla1[Codigo_actividad],AG$4)*AG$3</f>
        <v>0</v>
      </c>
      <c r="AH9" s="310">
        <f>+SUMIFS(Tabla1[Avance_Med],Tabla1[Fecha],"&gt;="&amp;$A9,Tabla1[Fecha],"&lt;="&amp;EOMONTH($A9,0),Tabla1[Codigo_actividad],AH$4)*AH$3</f>
        <v>0</v>
      </c>
      <c r="AI9" s="310">
        <f>+SUMIFS(Tabla1[Avance_Med],Tabla1[Fecha],"&gt;="&amp;$A9,Tabla1[Fecha],"&lt;="&amp;EOMONTH($A9,0),Tabla1[Codigo_actividad],AI$4)*AI$3</f>
        <v>0</v>
      </c>
      <c r="AJ9" s="310">
        <f>+SUMIFS(Tabla1[Avance_Med],Tabla1[Fecha],"&gt;="&amp;$A9,Tabla1[Fecha],"&lt;="&amp;EOMONTH($A9,0),Tabla1[Codigo_actividad],AJ$4)*AJ$3</f>
        <v>0</v>
      </c>
      <c r="AK9" s="310">
        <f>+SUMIFS(Tabla1[Avance_Med],Tabla1[Fecha],"&gt;="&amp;$A9,Tabla1[Fecha],"&lt;="&amp;EOMONTH($A9,0),Tabla1[Codigo_actividad],AK$4)*AK$3</f>
        <v>0</v>
      </c>
      <c r="AL9" s="310">
        <f>+SUMIFS(Tabla1[Avance_km],Tabla1[Fecha],"&gt;="&amp;$A9,Tabla1[Fecha],"&lt;="&amp;EOMONTH($A9,0),Tabla1[Codigo_actividad],AL$4)*AL$3</f>
        <v>0</v>
      </c>
      <c r="AM9" s="310">
        <f>+SUMIFS(Tabla1[Avance_Med],Tabla1[Fecha],"&gt;="&amp;$A9,Tabla1[Fecha],"&lt;="&amp;EOMONTH($A9,0),Tabla1[Codigo_actividad],AM$4)*AM$3</f>
        <v>0</v>
      </c>
      <c r="AN9" s="309"/>
      <c r="AO9" s="304">
        <f t="shared" si="0"/>
        <v>83844</v>
      </c>
      <c r="AT9"/>
      <c r="AU9"/>
      <c r="AV9"/>
      <c r="AW9"/>
      <c r="AX9"/>
    </row>
    <row r="10" spans="1:50" x14ac:dyDescent="0.25">
      <c r="A10" s="222">
        <v>46082</v>
      </c>
      <c r="B10" s="310">
        <f>+SUMIFS(Tabla1[Avance_Med],Tabla1[Fecha],"&gt;="&amp;$A10,Tabla1[Fecha],"&lt;="&amp;EOMONTH($A10,0),Tabla1[Codigo_actividad],B$4)*B$3</f>
        <v>250748.19</v>
      </c>
      <c r="C10" s="310">
        <f>+SUMIFS(Tabla1[Avance_Med],Tabla1[Fecha],"&gt;="&amp;$A10,Tabla1[Fecha],"&lt;="&amp;EOMONTH($A10,0),Tabla1[Codigo_actividad],C$4)*C$3</f>
        <v>321750.99000000005</v>
      </c>
      <c r="D10" s="310">
        <f>+SUMIFS(Tabla1[Avance_Med],Tabla1[Fecha],"&gt;="&amp;$A10,Tabla1[Fecha],"&lt;="&amp;EOMONTH($A10,0),Tabla1[Codigo_actividad],D$4)*D$3</f>
        <v>97546.680000000008</v>
      </c>
      <c r="E10" s="310">
        <f>+SUMIFS(Tabla1[Avance_Med],Tabla1[Fecha],"&gt;="&amp;$A10,Tabla1[Fecha],"&lt;="&amp;EOMONTH($A10,0),Tabla1[Codigo_actividad],E$4)*E$3</f>
        <v>105229.08</v>
      </c>
      <c r="F10" s="310">
        <f>+SUMIFS(Tabla1[Avance_Med],Tabla1[Fecha],"&gt;="&amp;$A10,Tabla1[Fecha],"&lt;="&amp;EOMONTH($A10,0),Tabla1[Codigo_actividad],F$4)*F$3</f>
        <v>132387.75</v>
      </c>
      <c r="G10" s="310">
        <f>+SUMIFS(Tabla1[Avance_Med],Tabla1[Fecha],"&gt;="&amp;$A10,Tabla1[Fecha],"&lt;="&amp;EOMONTH($A10,0),Tabla1[Codigo_actividad],G$4)*G$3</f>
        <v>156539.79</v>
      </c>
      <c r="H10" s="310">
        <f>+SUMIFS(Tabla1[Avance_km],Tabla1[Fecha],"&gt;="&amp;$A10,Tabla1[Fecha],"&lt;="&amp;EOMONTH($A10,0),Tabla1[Codigo_actividad],H$4)*H$3</f>
        <v>0</v>
      </c>
      <c r="I10" s="310"/>
      <c r="J10" s="310">
        <f>+SUMIFS(Tabla1[Avance_km],Tabla1[Fecha],"&gt;="&amp;$A10,Tabla1[Fecha],"&lt;="&amp;EOMONTH($A10,0),Tabla1[Codigo_actividad],J$4,Tabla1[Avance_km],"&gt;0")*J$3</f>
        <v>0</v>
      </c>
      <c r="K10" s="310">
        <f>SUMIFS(Tabla1[Avance_km],Tabla1[Fecha],"&gt;="&amp;$A10,Tabla1[Fecha],"&lt;="&amp;EOMONTH($A10,0),Tabla1[Codigo_actividad],K$4,Tabla1[Avance_km],"&gt;0")*K$3</f>
        <v>0</v>
      </c>
      <c r="L10" s="310">
        <f>+SUMIFS(Tabla1[Avance_Med],Tabla1[Fecha],"&gt;="&amp;$A10,Tabla1[Fecha],"&lt;="&amp;EOMONTH($A10,0),Tabla1[Codigo_actividad],L$4)*L$3</f>
        <v>0</v>
      </c>
      <c r="M10" s="310">
        <f>+SUMIFS(Tabla1[Avance_km],Tabla1[Fecha],"&gt;="&amp;$A10,Tabla1[Fecha],"&lt;="&amp;EOMONTH($A10,0),Tabla1[Codigo_actividad],M$4)*M$3</f>
        <v>8126.7120000000004</v>
      </c>
      <c r="N10" s="310">
        <f>+SUMIFS(Tabla1[Avance_Med],Tabla1[Fecha],"&gt;="&amp;$A10,Tabla1[Fecha],"&lt;="&amp;EOMONTH($A10,0),Tabla1[Codigo_actividad],N$4)*N$3</f>
        <v>191166.47999999998</v>
      </c>
      <c r="O10" s="310">
        <f>+SUMIFS(Tabla1[Avance_Med],Tabla1[Fecha],"&gt;="&amp;$A10,Tabla1[Fecha],"&lt;="&amp;EOMONTH($A10,0),Tabla1[Codigo_actividad],O$4)*O$3</f>
        <v>142899.12000000002</v>
      </c>
      <c r="P10" s="310">
        <f>+SUMIFS(Tabla1[Avance_Med],Tabla1[Fecha],"&gt;="&amp;$A10,Tabla1[Fecha],"&lt;="&amp;EOMONTH($A10,0),Tabla1[Codigo_actividad],P$4)*P$3</f>
        <v>106415.1</v>
      </c>
      <c r="Q10" s="310">
        <f>+SUMIFS(Tabla1[Avance_Med],Tabla1[Fecha],"&gt;="&amp;$A10,Tabla1[Fecha],"&lt;="&amp;EOMONTH($A10,0),Tabla1[Codigo_actividad],Q$4)*Q$3</f>
        <v>0</v>
      </c>
      <c r="R10" s="310">
        <f>+SUMIFS(Tabla1[Avance_Med],Tabla1[Fecha],"&gt;="&amp;$A10,Tabla1[Fecha],"&lt;="&amp;EOMONTH($A10,0),Tabla1[Codigo_actividad],R$4)*R$3</f>
        <v>0</v>
      </c>
      <c r="S10" s="310">
        <f>+SUMIFS(Tabla1[Avance_Med],Tabla1[Fecha],"&gt;="&amp;$A10,Tabla1[Fecha],"&lt;="&amp;EOMONTH($A10,0),Tabla1[Codigo_actividad],S$4)*S$3</f>
        <v>0</v>
      </c>
      <c r="T10" s="310">
        <f>+SUMIFS(Tabla1[Avance_Med],Tabla1[Fecha],"&gt;="&amp;$A10,Tabla1[Fecha],"&lt;="&amp;EOMONTH($A10,0),Tabla1[Codigo_actividad],T$4)*T$3</f>
        <v>0</v>
      </c>
      <c r="U10" s="310">
        <f>+SUMIFS(Tabla1[Avance_Med],Tabla1[Fecha],"&gt;="&amp;$A10,Tabla1[Fecha],"&lt;="&amp;EOMONTH($A10,0),Tabla1[Codigo_actividad],U$4)*U$3</f>
        <v>0</v>
      </c>
      <c r="V10" s="310">
        <f>+SUMIFS(Tabla1[Avance_Med],Tabla1[Fecha],"&gt;="&amp;$A10,Tabla1[Fecha],"&lt;="&amp;EOMONTH($A10,0),Tabla1[Codigo_actividad],V$4)*V$3</f>
        <v>0</v>
      </c>
      <c r="W10" s="310">
        <f>+SUMIFS(Tabla1[Avance_Med],Tabla1[Fecha],"&gt;="&amp;$A10,Tabla1[Fecha],"&lt;="&amp;EOMONTH($A10,0),Tabla1[Codigo_actividad],W$4)*W$3</f>
        <v>0</v>
      </c>
      <c r="X10" s="310">
        <f>+SUMIFS(Tabla1[Avance_Med],Tabla1[Fecha],"&gt;="&amp;$A10,Tabla1[Fecha],"&lt;="&amp;EOMONTH($A10,0),Tabla1[Codigo_actividad],X$4)*X$3</f>
        <v>0</v>
      </c>
      <c r="Y10" s="310">
        <f>+SUMIFS(Tabla1[Avance_Med],Tabla1[Fecha],"&gt;="&amp;$A10,Tabla1[Fecha],"&lt;="&amp;EOMONTH($A10,0),Tabla1[Codigo_actividad],Y$4)*Y$3</f>
        <v>0</v>
      </c>
      <c r="Z10" s="310">
        <f>+SUMIFS(Tabla1[Avance_Med],Tabla1[Fecha],"&gt;="&amp;$A10,Tabla1[Fecha],"&lt;="&amp;EOMONTH($A10,0),Tabla1[Codigo_actividad],Z$4)*Z$3</f>
        <v>0</v>
      </c>
      <c r="AA10" s="310">
        <f>+SUMIFS(Tabla1[Avance_Med],Tabla1[Fecha],"&gt;="&amp;$A10,Tabla1[Fecha],"&lt;="&amp;EOMONTH($A10,0),Tabla1[Codigo_actividad],AA$4)*AA$3</f>
        <v>0</v>
      </c>
      <c r="AB10" s="310">
        <f>+SUMIFS(Tabla1[Avance_Med],Tabla1[Fecha],"&gt;="&amp;$A10,Tabla1[Fecha],"&lt;="&amp;EOMONTH($A10,0),Tabla1[Codigo_actividad],AB$4)*AB$3</f>
        <v>0</v>
      </c>
      <c r="AC10" s="310">
        <f>+SUMIFS(Tabla1[Avance_Med],Tabla1[Fecha],"&gt;="&amp;$A10,Tabla1[Fecha],"&lt;="&amp;EOMONTH($A10,0),Tabla1[Codigo_actividad],AC$4)*AC$3</f>
        <v>0</v>
      </c>
      <c r="AD10" s="310">
        <f>+SUMIFS(Tabla1[Avance_Med],Tabla1[Fecha],"&gt;="&amp;$A10,Tabla1[Fecha],"&lt;="&amp;EOMONTH($A10,0),Tabla1[Codigo_actividad],AD$4)*AD$3</f>
        <v>0</v>
      </c>
      <c r="AE10" s="310">
        <f>+SUMIFS(Tabla1[Avance_Med],Tabla1[Fecha],"&gt;="&amp;$A10,Tabla1[Fecha],"&lt;="&amp;EOMONTH($A10,0),Tabla1[Codigo_actividad],AE$4)*AE$3</f>
        <v>0</v>
      </c>
      <c r="AF10" s="310">
        <f>+SUMIFS(Tabla1[Avance_Med],Tabla1[Fecha],"&gt;="&amp;$A10,Tabla1[Fecha],"&lt;="&amp;EOMONTH($A10,0),Tabla1[Codigo_actividad],AF$4)*AF$3</f>
        <v>0</v>
      </c>
      <c r="AG10" s="310">
        <f>+SUMIFS(Tabla1[Avance_Med],Tabla1[Fecha],"&gt;="&amp;$A10,Tabla1[Fecha],"&lt;="&amp;EOMONTH($A10,0),Tabla1[Codigo_actividad],AG$4)*AG$3</f>
        <v>0</v>
      </c>
      <c r="AH10" s="310">
        <f>+SUMIFS(Tabla1[Avance_Med],Tabla1[Fecha],"&gt;="&amp;$A10,Tabla1[Fecha],"&lt;="&amp;EOMONTH($A10,0),Tabla1[Codigo_actividad],AH$4)*AH$3</f>
        <v>0</v>
      </c>
      <c r="AI10" s="310">
        <f>+SUMIFS(Tabla1[Avance_Med],Tabla1[Fecha],"&gt;="&amp;$A10,Tabla1[Fecha],"&lt;="&amp;EOMONTH($A10,0),Tabla1[Codigo_actividad],AI$4)*AI$3</f>
        <v>0</v>
      </c>
      <c r="AJ10" s="310">
        <f>+SUMIFS(Tabla1[Avance_Med],Tabla1[Fecha],"&gt;="&amp;$A10,Tabla1[Fecha],"&lt;="&amp;EOMONTH($A10,0),Tabla1[Codigo_actividad],AJ$4)*AJ$3</f>
        <v>0</v>
      </c>
      <c r="AK10" s="310">
        <f>+SUMIFS(Tabla1[Avance_Med],Tabla1[Fecha],"&gt;="&amp;$A10,Tabla1[Fecha],"&lt;="&amp;EOMONTH($A10,0),Tabla1[Codigo_actividad],AK$4)*AK$3</f>
        <v>0</v>
      </c>
      <c r="AL10" s="310">
        <f>+SUMIFS(Tabla1[Avance_km],Tabla1[Fecha],"&gt;="&amp;$A10,Tabla1[Fecha],"&lt;="&amp;EOMONTH($A10,0),Tabla1[Codigo_actividad],AL$4)*AL$3</f>
        <v>0</v>
      </c>
      <c r="AM10" s="310">
        <f>+SUMIFS(Tabla1[Avance_Med],Tabla1[Fecha],"&gt;="&amp;$A10,Tabla1[Fecha],"&lt;="&amp;EOMONTH($A10,0),Tabla1[Codigo_actividad],AM$4)*AM$3</f>
        <v>0</v>
      </c>
      <c r="AN10" s="309"/>
      <c r="AO10" s="304">
        <f t="shared" si="0"/>
        <v>1512809.8920000002</v>
      </c>
      <c r="AT10"/>
      <c r="AU10"/>
      <c r="AV10"/>
      <c r="AW10"/>
      <c r="AX10"/>
    </row>
    <row r="11" spans="1:50" x14ac:dyDescent="0.25">
      <c r="A11" s="222">
        <v>46113</v>
      </c>
      <c r="B11" s="310">
        <f>+SUMIFS(Tabla1[Avance_Med],Tabla1[Fecha],"&gt;="&amp;$A11,Tabla1[Fecha],"&lt;="&amp;EOMONTH($A11,0),Tabla1[Codigo_actividad],B$4)*B$3</f>
        <v>43057.77</v>
      </c>
      <c r="C11" s="310">
        <f>+SUMIFS(Tabla1[Avance_Med],Tabla1[Fecha],"&gt;="&amp;$A11,Tabla1[Fecha],"&lt;="&amp;EOMONTH($A11,0),Tabla1[Codigo_actividad],C$4)*C$3</f>
        <v>55250.170000000006</v>
      </c>
      <c r="D11" s="310">
        <f>+SUMIFS(Tabla1[Avance_Med],Tabla1[Fecha],"&gt;="&amp;$A11,Tabla1[Fecha],"&lt;="&amp;EOMONTH($A11,0),Tabla1[Codigo_actividad],D$4)*D$3</f>
        <v>16750.440000000002</v>
      </c>
      <c r="E11" s="310">
        <f>+SUMIFS(Tabla1[Avance_Med],Tabla1[Fecha],"&gt;="&amp;$A11,Tabla1[Fecha],"&lt;="&amp;EOMONTH($A11,0),Tabla1[Codigo_actividad],E$4)*E$3</f>
        <v>18069.64</v>
      </c>
      <c r="F11" s="310">
        <f>+SUMIFS(Tabla1[Avance_Med],Tabla1[Fecha],"&gt;="&amp;$A11,Tabla1[Fecha],"&lt;="&amp;EOMONTH($A11,0),Tabla1[Codigo_actividad],F$4)*F$3</f>
        <v>22733.25</v>
      </c>
      <c r="G11" s="310">
        <f>+SUMIFS(Tabla1[Avance_Med],Tabla1[Fecha],"&gt;="&amp;$A11,Tabla1[Fecha],"&lt;="&amp;EOMONTH($A11,0),Tabla1[Codigo_actividad],G$4)*G$3</f>
        <v>26880.57</v>
      </c>
      <c r="H11" s="310">
        <f>+SUMIFS(Tabla1[Avance_km],Tabla1[Fecha],"&gt;="&amp;$A11,Tabla1[Fecha],"&lt;="&amp;EOMONTH($A11,0),Tabla1[Codigo_actividad],H$4)*H$3</f>
        <v>0</v>
      </c>
      <c r="I11" s="310"/>
      <c r="J11" s="310">
        <f>+SUMIFS(Tabla1[Avance_km],Tabla1[Fecha],"&gt;="&amp;$A11,Tabla1[Fecha],"&lt;="&amp;EOMONTH($A11,0),Tabla1[Codigo_actividad],J$4,Tabla1[Avance_km],"&gt;0")*J$3</f>
        <v>80723.77665</v>
      </c>
      <c r="K11" s="310">
        <f>SUMIFS(Tabla1[Avance_km],Tabla1[Fecha],"&gt;="&amp;$A11,Tabla1[Fecha],"&lt;="&amp;EOMONTH($A11,0),Tabla1[Codigo_actividad],K$4,Tabla1[Avance_km],"&gt;0")*K$3</f>
        <v>0</v>
      </c>
      <c r="L11" s="310">
        <f>+SUMIFS(Tabla1[Avance_Med],Tabla1[Fecha],"&gt;="&amp;$A11,Tabla1[Fecha],"&lt;="&amp;EOMONTH($A11,0),Tabla1[Codigo_actividad],L$4)*L$3</f>
        <v>0</v>
      </c>
      <c r="M11" s="310">
        <f>+SUMIFS(Tabla1[Avance_km],Tabla1[Fecha],"&gt;="&amp;$A11,Tabla1[Fecha],"&lt;="&amp;EOMONTH($A11,0),Tabla1[Codigo_actividad],M$4)*M$3</f>
        <v>48841.539120000001</v>
      </c>
      <c r="N11" s="310">
        <f>+SUMIFS(Tabla1[Avance_Med],Tabla1[Fecha],"&gt;="&amp;$A11,Tabla1[Fecha],"&lt;="&amp;EOMONTH($A11,0),Tabla1[Codigo_actividad],N$4)*N$3</f>
        <v>0</v>
      </c>
      <c r="O11" s="310">
        <f>+SUMIFS(Tabla1[Avance_Med],Tabla1[Fecha],"&gt;="&amp;$A11,Tabla1[Fecha],"&lt;="&amp;EOMONTH($A11,0),Tabla1[Codigo_actividad],O$4)*O$3</f>
        <v>0</v>
      </c>
      <c r="P11" s="310">
        <f>+SUMIFS(Tabla1[Avance_Med],Tabla1[Fecha],"&gt;="&amp;$A11,Tabla1[Fecha],"&lt;="&amp;EOMONTH($A11,0),Tabla1[Codigo_actividad],P$4)*P$3</f>
        <v>0</v>
      </c>
      <c r="Q11" s="310">
        <f>+SUMIFS(Tabla1[Avance_Med],Tabla1[Fecha],"&gt;="&amp;$A11,Tabla1[Fecha],"&lt;="&amp;EOMONTH($A11,0),Tabla1[Codigo_actividad],Q$4)*Q$3</f>
        <v>0</v>
      </c>
      <c r="R11" s="310">
        <f>+SUMIFS(Tabla1[Avance_Med],Tabla1[Fecha],"&gt;="&amp;$A11,Tabla1[Fecha],"&lt;="&amp;EOMONTH($A11,0),Tabla1[Codigo_actividad],R$4)*R$3</f>
        <v>0</v>
      </c>
      <c r="S11" s="310">
        <f>+SUMIFS(Tabla1[Avance_Med],Tabla1[Fecha],"&gt;="&amp;$A11,Tabla1[Fecha],"&lt;="&amp;EOMONTH($A11,0),Tabla1[Codigo_actividad],S$4)*S$3</f>
        <v>0</v>
      </c>
      <c r="T11" s="310">
        <f>+SUMIFS(Tabla1[Avance_Med],Tabla1[Fecha],"&gt;="&amp;$A11,Tabla1[Fecha],"&lt;="&amp;EOMONTH($A11,0),Tabla1[Codigo_actividad],T$4)*T$3</f>
        <v>0</v>
      </c>
      <c r="U11" s="310">
        <f>+SUMIFS(Tabla1[Avance_Med],Tabla1[Fecha],"&gt;="&amp;$A11,Tabla1[Fecha],"&lt;="&amp;EOMONTH($A11,0),Tabla1[Codigo_actividad],U$4)*U$3</f>
        <v>0</v>
      </c>
      <c r="V11" s="310">
        <f>+SUMIFS(Tabla1[Avance_Med],Tabla1[Fecha],"&gt;="&amp;$A11,Tabla1[Fecha],"&lt;="&amp;EOMONTH($A11,0),Tabla1[Codigo_actividad],V$4)*V$3</f>
        <v>0</v>
      </c>
      <c r="W11" s="310">
        <f>+SUMIFS(Tabla1[Avance_Med],Tabla1[Fecha],"&gt;="&amp;$A11,Tabla1[Fecha],"&lt;="&amp;EOMONTH($A11,0),Tabla1[Codigo_actividad],W$4)*W$3</f>
        <v>0</v>
      </c>
      <c r="X11" s="310">
        <f>+SUMIFS(Tabla1[Avance_Med],Tabla1[Fecha],"&gt;="&amp;$A11,Tabla1[Fecha],"&lt;="&amp;EOMONTH($A11,0),Tabla1[Codigo_actividad],X$4)*X$3</f>
        <v>0</v>
      </c>
      <c r="Y11" s="310">
        <f>+SUMIFS(Tabla1[Avance_Med],Tabla1[Fecha],"&gt;="&amp;$A11,Tabla1[Fecha],"&lt;="&amp;EOMONTH($A11,0),Tabla1[Codigo_actividad],Y$4)*Y$3</f>
        <v>0</v>
      </c>
      <c r="Z11" s="310">
        <f>+SUMIFS(Tabla1[Avance_Med],Tabla1[Fecha],"&gt;="&amp;$A11,Tabla1[Fecha],"&lt;="&amp;EOMONTH($A11,0),Tabla1[Codigo_actividad],Z$4)*Z$3</f>
        <v>0</v>
      </c>
      <c r="AA11" s="310">
        <f>+SUMIFS(Tabla1[Avance_Med],Tabla1[Fecha],"&gt;="&amp;$A11,Tabla1[Fecha],"&lt;="&amp;EOMONTH($A11,0),Tabla1[Codigo_actividad],AA$4)*AA$3</f>
        <v>0</v>
      </c>
      <c r="AB11" s="310">
        <f>+SUMIFS(Tabla1[Avance_Med],Tabla1[Fecha],"&gt;="&amp;$A11,Tabla1[Fecha],"&lt;="&amp;EOMONTH($A11,0),Tabla1[Codigo_actividad],AB$4)*AB$3</f>
        <v>0</v>
      </c>
      <c r="AC11" s="310">
        <f>+SUMIFS(Tabla1[Avance_Med],Tabla1[Fecha],"&gt;="&amp;$A11,Tabla1[Fecha],"&lt;="&amp;EOMONTH($A11,0),Tabla1[Codigo_actividad],AC$4)*AC$3</f>
        <v>0</v>
      </c>
      <c r="AD11" s="310">
        <f>+SUMIFS(Tabla1[Avance_Med],Tabla1[Fecha],"&gt;="&amp;$A11,Tabla1[Fecha],"&lt;="&amp;EOMONTH($A11,0),Tabla1[Codigo_actividad],AD$4)*AD$3</f>
        <v>0</v>
      </c>
      <c r="AE11" s="310">
        <f>+SUMIFS(Tabla1[Avance_Med],Tabla1[Fecha],"&gt;="&amp;$A11,Tabla1[Fecha],"&lt;="&amp;EOMONTH($A11,0),Tabla1[Codigo_actividad],AE$4)*AE$3</f>
        <v>0</v>
      </c>
      <c r="AF11" s="310">
        <f>+SUMIFS(Tabla1[Avance_Med],Tabla1[Fecha],"&gt;="&amp;$A11,Tabla1[Fecha],"&lt;="&amp;EOMONTH($A11,0),Tabla1[Codigo_actividad],AF$4)*AF$3</f>
        <v>0</v>
      </c>
      <c r="AG11" s="310">
        <f>+SUMIFS(Tabla1[Avance_Med],Tabla1[Fecha],"&gt;="&amp;$A11,Tabla1[Fecha],"&lt;="&amp;EOMONTH($A11,0),Tabla1[Codigo_actividad],AG$4)*AG$3</f>
        <v>0</v>
      </c>
      <c r="AH11" s="310">
        <f>+SUMIFS(Tabla1[Avance_Med],Tabla1[Fecha],"&gt;="&amp;$A11,Tabla1[Fecha],"&lt;="&amp;EOMONTH($A11,0),Tabla1[Codigo_actividad],AH$4)*AH$3</f>
        <v>0</v>
      </c>
      <c r="AI11" s="310">
        <f>+SUMIFS(Tabla1[Avance_Med],Tabla1[Fecha],"&gt;="&amp;$A11,Tabla1[Fecha],"&lt;="&amp;EOMONTH($A11,0),Tabla1[Codigo_actividad],AI$4)*AI$3</f>
        <v>0</v>
      </c>
      <c r="AJ11" s="310">
        <f>+SUMIFS(Tabla1[Avance_Med],Tabla1[Fecha],"&gt;="&amp;$A11,Tabla1[Fecha],"&lt;="&amp;EOMONTH($A11,0),Tabla1[Codigo_actividad],AJ$4)*AJ$3</f>
        <v>0</v>
      </c>
      <c r="AK11" s="310">
        <f>+SUMIFS(Tabla1[Avance_Med],Tabla1[Fecha],"&gt;="&amp;$A11,Tabla1[Fecha],"&lt;="&amp;EOMONTH($A11,0),Tabla1[Codigo_actividad],AK$4)*AK$3</f>
        <v>0</v>
      </c>
      <c r="AL11" s="310">
        <f>+SUMIFS(Tabla1[Avance_km],Tabla1[Fecha],"&gt;="&amp;$A11,Tabla1[Fecha],"&lt;="&amp;EOMONTH($A11,0),Tabla1[Codigo_actividad],AL$4)*AL$3</f>
        <v>0</v>
      </c>
      <c r="AM11" s="310">
        <f>+SUMIFS(Tabla1[Avance_Med],Tabla1[Fecha],"&gt;="&amp;$A11,Tabla1[Fecha],"&lt;="&amp;EOMONTH($A11,0),Tabla1[Codigo_actividad],AM$4)*AM$3</f>
        <v>0</v>
      </c>
      <c r="AN11" s="309"/>
      <c r="AO11" s="304">
        <f t="shared" si="0"/>
        <v>312307.15577000007</v>
      </c>
      <c r="AT11"/>
      <c r="AU11"/>
      <c r="AV11"/>
      <c r="AW11"/>
      <c r="AX11"/>
    </row>
    <row r="12" spans="1:50" x14ac:dyDescent="0.25">
      <c r="A12" s="222">
        <v>46143</v>
      </c>
      <c r="B12" s="310">
        <v>0</v>
      </c>
      <c r="C12" s="310">
        <f>+SUMIFS(Tabla1[Avance_Med],Tabla1[Fecha],"&gt;="&amp;$A12,Tabla1[Fecha],"&lt;="&amp;EOMONTH($A12,0),Tabla1[Codigo_actividad],C$4)*C$3</f>
        <v>0</v>
      </c>
      <c r="D12" s="310">
        <f>+SUMIFS(Tabla1[Avance_Med],Tabla1[Fecha],"&gt;="&amp;$A12,Tabla1[Fecha],"&lt;="&amp;EOMONTH($A12,0),Tabla1[Codigo_actividad],D$4)*D$3</f>
        <v>0</v>
      </c>
      <c r="E12" s="310">
        <f>+SUMIFS(Tabla1[Avance_Med],Tabla1[Fecha],"&gt;="&amp;$A12,Tabla1[Fecha],"&lt;="&amp;EOMONTH($A12,0),Tabla1[Codigo_actividad],E$4)*E$3</f>
        <v>0</v>
      </c>
      <c r="F12" s="310">
        <f>+SUMIFS(Tabla1[Avance_Med],Tabla1[Fecha],"&gt;="&amp;$A12,Tabla1[Fecha],"&lt;="&amp;EOMONTH($A12,0),Tabla1[Codigo_actividad],F$4)*F$3</f>
        <v>0</v>
      </c>
      <c r="G12" s="310">
        <f>+SUMIFS(Tabla1[Avance_Med],Tabla1[Fecha],"&gt;="&amp;$A12,Tabla1[Fecha],"&lt;="&amp;EOMONTH($A12,0),Tabla1[Codigo_actividad],G$4)*G$3</f>
        <v>0</v>
      </c>
      <c r="H12" s="310">
        <f>+SUMIFS(Tabla1[Avance_km],Tabla1[Fecha],"&gt;="&amp;$A12,Tabla1[Fecha],"&lt;="&amp;EOMONTH($A12,0),Tabla1[Codigo_actividad],H$4)*H$3</f>
        <v>163409.42673000001</v>
      </c>
      <c r="I12" s="310"/>
      <c r="J12" s="310">
        <f>+SUMIFS(Tabla1[Avance_km],Tabla1[Fecha],"&gt;="&amp;$A12,Tabla1[Fecha],"&lt;="&amp;EOMONTH($A12,0),Tabla1[Codigo_actividad],J$4,Tabla1[Avance_km],"&gt;0")*J$3</f>
        <v>269838.37078</v>
      </c>
      <c r="K12" s="310">
        <f>SUMIFS(Tabla1[Avance_km],Tabla1[Fecha],"&gt;="&amp;$A12,Tabla1[Fecha],"&lt;="&amp;EOMONTH($A12,0),Tabla1[Codigo_actividad],K$4,Tabla1[Avance_km],"&gt;0")*K$3</f>
        <v>0</v>
      </c>
      <c r="L12" s="310">
        <f>+SUMIFS(Tabla1[Avance_Med],Tabla1[Fecha],"&gt;="&amp;$A12,Tabla1[Fecha],"&lt;="&amp;EOMONTH($A12,0),Tabla1[Codigo_actividad],L$4)*L$3</f>
        <v>0</v>
      </c>
      <c r="M12" s="310">
        <f>+SUMIFS(Tabla1[Avance_km],Tabla1[Fecha],"&gt;="&amp;$A12,Tabla1[Fecha],"&lt;="&amp;EOMONTH($A12,0),Tabla1[Codigo_actividad],M$4)*M$3</f>
        <v>8187.6623399999999</v>
      </c>
      <c r="N12" s="310">
        <f>+SUMIFS(Tabla1[Avance_Med],Tabla1[Fecha],"&gt;="&amp;$A12,Tabla1[Fecha],"&lt;="&amp;EOMONTH($A12,0),Tabla1[Codigo_actividad],N$4)*N$3</f>
        <v>0</v>
      </c>
      <c r="O12" s="310">
        <f>+SUMIFS(Tabla1[Avance_Med],Tabla1[Fecha],"&gt;="&amp;$A12,Tabla1[Fecha],"&lt;="&amp;EOMONTH($A12,0),Tabla1[Codigo_actividad],O$4)*O$3</f>
        <v>0</v>
      </c>
      <c r="P12" s="310">
        <f>+SUMIFS(Tabla1[Avance_Med],Tabla1[Fecha],"&gt;="&amp;$A12,Tabla1[Fecha],"&lt;="&amp;EOMONTH($A12,0),Tabla1[Codigo_actividad],P$4)*P$3</f>
        <v>0</v>
      </c>
      <c r="Q12" s="310">
        <f>+SUMIFS(Tabla1[Avance_Med],Tabla1[Fecha],"&gt;="&amp;$A12,Tabla1[Fecha],"&lt;="&amp;EOMONTH($A12,0),Tabla1[Codigo_actividad],Q$4)*Q$3</f>
        <v>0</v>
      </c>
      <c r="R12" s="310">
        <f>+SUMIFS(Tabla1[Avance_Med],Tabla1[Fecha],"&gt;="&amp;$A12,Tabla1[Fecha],"&lt;="&amp;EOMONTH($A12,0),Tabla1[Codigo_actividad],R$4)*R$3</f>
        <v>0</v>
      </c>
      <c r="S12" s="310">
        <f>+SUMIFS(Tabla1[Avance_Med],Tabla1[Fecha],"&gt;="&amp;$A12,Tabla1[Fecha],"&lt;="&amp;EOMONTH($A12,0),Tabla1[Codigo_actividad],S$4)*S$3</f>
        <v>0</v>
      </c>
      <c r="T12" s="310">
        <f>+SUMIFS(Tabla1[Avance_Med],Tabla1[Fecha],"&gt;="&amp;$A12,Tabla1[Fecha],"&lt;="&amp;EOMONTH($A12,0),Tabla1[Codigo_actividad],T$4)*T$3</f>
        <v>0</v>
      </c>
      <c r="U12" s="310">
        <f>+SUMIFS(Tabla1[Avance_Med],Tabla1[Fecha],"&gt;="&amp;$A12,Tabla1[Fecha],"&lt;="&amp;EOMONTH($A12,0),Tabla1[Codigo_actividad],U$4)*U$3</f>
        <v>0</v>
      </c>
      <c r="V12" s="310">
        <f>+SUMIFS(Tabla1[Avance_Med],Tabla1[Fecha],"&gt;="&amp;$A12,Tabla1[Fecha],"&lt;="&amp;EOMONTH($A12,0),Tabla1[Codigo_actividad],V$4)*V$3</f>
        <v>0</v>
      </c>
      <c r="W12" s="310">
        <f>+SUMIFS(Tabla1[Avance_Med],Tabla1[Fecha],"&gt;="&amp;$A12,Tabla1[Fecha],"&lt;="&amp;EOMONTH($A12,0),Tabla1[Codigo_actividad],W$4)*W$3</f>
        <v>0</v>
      </c>
      <c r="X12" s="310">
        <f>+SUMIFS(Tabla1[Avance_Med],Tabla1[Fecha],"&gt;="&amp;$A12,Tabla1[Fecha],"&lt;="&amp;EOMONTH($A12,0),Tabla1[Codigo_actividad],X$4)*X$3</f>
        <v>0</v>
      </c>
      <c r="Y12" s="310">
        <f>+SUMIFS(Tabla1[Avance_Med],Tabla1[Fecha],"&gt;="&amp;$A12,Tabla1[Fecha],"&lt;="&amp;EOMONTH($A12,0),Tabla1[Codigo_actividad],Y$4)*Y$3</f>
        <v>0</v>
      </c>
      <c r="Z12" s="310">
        <f>+SUMIFS(Tabla1[Avance_Med],Tabla1[Fecha],"&gt;="&amp;$A12,Tabla1[Fecha],"&lt;="&amp;EOMONTH($A12,0),Tabla1[Codigo_actividad],Z$4)*Z$3</f>
        <v>0</v>
      </c>
      <c r="AA12" s="310">
        <f>+SUMIFS(Tabla1[Avance_Med],Tabla1[Fecha],"&gt;="&amp;$A12,Tabla1[Fecha],"&lt;="&amp;EOMONTH($A12,0),Tabla1[Codigo_actividad],AA$4)*AA$3</f>
        <v>0</v>
      </c>
      <c r="AB12" s="310">
        <f>+SUMIFS(Tabla1[Avance_Med],Tabla1[Fecha],"&gt;="&amp;$A12,Tabla1[Fecha],"&lt;="&amp;EOMONTH($A12,0),Tabla1[Codigo_actividad],AB$4)*AB$3</f>
        <v>0</v>
      </c>
      <c r="AC12" s="310">
        <f>+SUMIFS(Tabla1[Avance_Med],Tabla1[Fecha],"&gt;="&amp;$A12,Tabla1[Fecha],"&lt;="&amp;EOMONTH($A12,0),Tabla1[Codigo_actividad],AC$4)*AC$3</f>
        <v>0</v>
      </c>
      <c r="AD12" s="310">
        <f>+SUMIFS(Tabla1[Avance_Med],Tabla1[Fecha],"&gt;="&amp;$A12,Tabla1[Fecha],"&lt;="&amp;EOMONTH($A12,0),Tabla1[Codigo_actividad],AD$4)*AD$3</f>
        <v>0</v>
      </c>
      <c r="AE12" s="310">
        <f>+SUMIFS(Tabla1[Avance_Med],Tabla1[Fecha],"&gt;="&amp;$A12,Tabla1[Fecha],"&lt;="&amp;EOMONTH($A12,0),Tabla1[Codigo_actividad],AE$4)*AE$3</f>
        <v>0</v>
      </c>
      <c r="AF12" s="310">
        <f>+SUMIFS(Tabla1[Avance_Med],Tabla1[Fecha],"&gt;="&amp;$A12,Tabla1[Fecha],"&lt;="&amp;EOMONTH($A12,0),Tabla1[Codigo_actividad],AF$4)*AF$3</f>
        <v>0</v>
      </c>
      <c r="AG12" s="310">
        <f>+SUMIFS(Tabla1[Avance_Med],Tabla1[Fecha],"&gt;="&amp;$A12,Tabla1[Fecha],"&lt;="&amp;EOMONTH($A12,0),Tabla1[Codigo_actividad],AG$4)*AG$3</f>
        <v>0</v>
      </c>
      <c r="AH12" s="310">
        <f>+SUMIFS(Tabla1[Avance_Med],Tabla1[Fecha],"&gt;="&amp;$A12,Tabla1[Fecha],"&lt;="&amp;EOMONTH($A12,0),Tabla1[Codigo_actividad],AH$4)*AH$3</f>
        <v>0</v>
      </c>
      <c r="AI12" s="310">
        <f>+SUMIFS(Tabla1[Avance_Med],Tabla1[Fecha],"&gt;="&amp;$A12,Tabla1[Fecha],"&lt;="&amp;EOMONTH($A12,0),Tabla1[Codigo_actividad],AI$4)*AI$3</f>
        <v>0</v>
      </c>
      <c r="AJ12" s="310">
        <f>+SUMIFS(Tabla1[Avance_Med],Tabla1[Fecha],"&gt;="&amp;$A12,Tabla1[Fecha],"&lt;="&amp;EOMONTH($A12,0),Tabla1[Codigo_actividad],AJ$4)*AJ$3</f>
        <v>0</v>
      </c>
      <c r="AK12" s="310">
        <f>+SUMIFS(Tabla1[Avance_Med],Tabla1[Fecha],"&gt;="&amp;$A12,Tabla1[Fecha],"&lt;="&amp;EOMONTH($A12,0),Tabla1[Codigo_actividad],AK$4)*AK$3</f>
        <v>0</v>
      </c>
      <c r="AL12" s="310">
        <f>+SUMIFS(Tabla1[Avance_km],Tabla1[Fecha],"&gt;="&amp;$A12,Tabla1[Fecha],"&lt;="&amp;EOMONTH($A12,0),Tabla1[Codigo_actividad],AL$4)*AL$3</f>
        <v>0</v>
      </c>
      <c r="AM12" s="310">
        <f>+SUMIFS(Tabla1[Avance_Med],Tabla1[Fecha],"&gt;="&amp;$A12,Tabla1[Fecha],"&lt;="&amp;EOMONTH($A12,0),Tabla1[Codigo_actividad],AM$4)*AM$3</f>
        <v>0</v>
      </c>
      <c r="AN12" s="309"/>
      <c r="AO12" s="304">
        <f t="shared" si="0"/>
        <v>441435.45984999998</v>
      </c>
      <c r="AT12"/>
      <c r="AU12"/>
      <c r="AV12"/>
      <c r="AW12"/>
      <c r="AX12"/>
    </row>
    <row r="13" spans="1:50" x14ac:dyDescent="0.25">
      <c r="A13" s="222">
        <v>46174</v>
      </c>
      <c r="B13" s="310">
        <v>0</v>
      </c>
      <c r="C13" s="310">
        <f>+SUMIFS(Tabla1[Avance_Med],Tabla1[Fecha],"&gt;="&amp;$A13,Tabla1[Fecha],"&lt;="&amp;EOMONTH($A13,0),Tabla1[Codigo_actividad],C$4)*C$3</f>
        <v>0</v>
      </c>
      <c r="D13" s="310">
        <f>+SUMIFS(Tabla1[Avance_Med],Tabla1[Fecha],"&gt;="&amp;$A13,Tabla1[Fecha],"&lt;="&amp;EOMONTH($A13,0),Tabla1[Codigo_actividad],D$4)*D$3</f>
        <v>0</v>
      </c>
      <c r="E13" s="310">
        <f>+SUMIFS(Tabla1[Avance_Med],Tabla1[Fecha],"&gt;="&amp;$A13,Tabla1[Fecha],"&lt;="&amp;EOMONTH($A13,0),Tabla1[Codigo_actividad],E$4)*E$3</f>
        <v>0</v>
      </c>
      <c r="F13" s="310">
        <f>+SUMIFS(Tabla1[Avance_Med],Tabla1[Fecha],"&gt;="&amp;$A13,Tabla1[Fecha],"&lt;="&amp;EOMONTH($A13,0),Tabla1[Codigo_actividad],F$4)*F$3</f>
        <v>0</v>
      </c>
      <c r="G13" s="310">
        <f>+SUMIFS(Tabla1[Avance_Med],Tabla1[Fecha],"&gt;="&amp;$A13,Tabla1[Fecha],"&lt;="&amp;EOMONTH($A13,0),Tabla1[Codigo_actividad],G$4)*G$3</f>
        <v>0</v>
      </c>
      <c r="H13" s="310">
        <f>+SUMIFS(Tabla1[Avance_km],Tabla1[Fecha],"&gt;="&amp;$A13,Tabla1[Fecha],"&lt;="&amp;EOMONTH($A13,0),Tabla1[Codigo_actividad],H$4)*H$3</f>
        <v>295191.22248000005</v>
      </c>
      <c r="I13" s="310"/>
      <c r="J13" s="310">
        <f>+SUMIFS(Tabla1[Avance_km],Tabla1[Fecha],"&gt;="&amp;$A13,Tabla1[Fecha],"&lt;="&amp;EOMONTH($A13,0),Tabla1[Codigo_actividad],J$4,Tabla1[Avance_km],"&gt;0")*J$3</f>
        <v>0</v>
      </c>
      <c r="K13" s="310">
        <f>SUMIFS(Tabla1[Avance_km],Tabla1[Fecha],"&gt;="&amp;$A13,Tabla1[Fecha],"&lt;="&amp;EOMONTH($A13,0),Tabla1[Codigo_actividad],K$4,Tabla1[Avance_km],"&gt;0")*K$3</f>
        <v>0</v>
      </c>
      <c r="L13" s="310">
        <f>+SUMIFS(Tabla1[Avance_Med],Tabla1[Fecha],"&gt;="&amp;$A13,Tabla1[Fecha],"&lt;="&amp;EOMONTH($A13,0),Tabla1[Codigo_actividad],L$4)*L$3</f>
        <v>0</v>
      </c>
      <c r="M13" s="310">
        <f>+SUMIFS(Tabla1[Avance_km],Tabla1[Fecha],"&gt;="&amp;$A13,Tabla1[Fecha],"&lt;="&amp;EOMONTH($A13,0),Tabla1[Codigo_actividad],M$4)*M$3</f>
        <v>12228.44414</v>
      </c>
      <c r="N13" s="310">
        <f>+SUMIFS(Tabla1[Avance_Med],Tabla1[Fecha],"&gt;="&amp;$A13,Tabla1[Fecha],"&lt;="&amp;EOMONTH($A13,0),Tabla1[Codigo_actividad],N$4)*N$3</f>
        <v>0</v>
      </c>
      <c r="O13" s="310">
        <f>+SUMIFS(Tabla1[Avance_Med],Tabla1[Fecha],"&gt;="&amp;$A13,Tabla1[Fecha],"&lt;="&amp;EOMONTH($A13,0),Tabla1[Codigo_actividad],O$4)*O$3</f>
        <v>0</v>
      </c>
      <c r="P13" s="310">
        <f>+SUMIFS(Tabla1[Avance_Med],Tabla1[Fecha],"&gt;="&amp;$A13,Tabla1[Fecha],"&lt;="&amp;EOMONTH($A13,0),Tabla1[Codigo_actividad],P$4)*P$3</f>
        <v>0</v>
      </c>
      <c r="Q13" s="310">
        <f>+SUMIFS(Tabla1[Avance_Med],Tabla1[Fecha],"&gt;="&amp;$A13,Tabla1[Fecha],"&lt;="&amp;EOMONTH($A13,0),Tabla1[Codigo_actividad],Q$4)*Q$3</f>
        <v>0</v>
      </c>
      <c r="R13" s="310">
        <f>+SUMIFS(Tabla1[Avance_Med],Tabla1[Fecha],"&gt;="&amp;$A13,Tabla1[Fecha],"&lt;="&amp;EOMONTH($A13,0),Tabla1[Codigo_actividad],R$4)*R$3</f>
        <v>0</v>
      </c>
      <c r="S13" s="310">
        <f>+SUMIFS(Tabla1[Avance_Med],Tabla1[Fecha],"&gt;="&amp;$A13,Tabla1[Fecha],"&lt;="&amp;EOMONTH($A13,0),Tabla1[Codigo_actividad],S$4)*S$3</f>
        <v>0</v>
      </c>
      <c r="T13" s="310">
        <f>+SUMIFS(Tabla1[Avance_Med],Tabla1[Fecha],"&gt;="&amp;$A13,Tabla1[Fecha],"&lt;="&amp;EOMONTH($A13,0),Tabla1[Codigo_actividad],T$4)*T$3</f>
        <v>0</v>
      </c>
      <c r="U13" s="310">
        <f>+SUMIFS(Tabla1[Avance_Med],Tabla1[Fecha],"&gt;="&amp;$A13,Tabla1[Fecha],"&lt;="&amp;EOMONTH($A13,0),Tabla1[Codigo_actividad],U$4)*U$3</f>
        <v>0</v>
      </c>
      <c r="V13" s="310">
        <f>+SUMIFS(Tabla1[Avance_Med],Tabla1[Fecha],"&gt;="&amp;$A13,Tabla1[Fecha],"&lt;="&amp;EOMONTH($A13,0),Tabla1[Codigo_actividad],V$4)*V$3</f>
        <v>0</v>
      </c>
      <c r="W13" s="310">
        <f>+SUMIFS(Tabla1[Avance_Med],Tabla1[Fecha],"&gt;="&amp;$A13,Tabla1[Fecha],"&lt;="&amp;EOMONTH($A13,0),Tabla1[Codigo_actividad],W$4)*W$3</f>
        <v>0</v>
      </c>
      <c r="X13" s="310">
        <f>+SUMIFS(Tabla1[Avance_Med],Tabla1[Fecha],"&gt;="&amp;$A13,Tabla1[Fecha],"&lt;="&amp;EOMONTH($A13,0),Tabla1[Codigo_actividad],X$4)*X$3</f>
        <v>0</v>
      </c>
      <c r="Y13" s="310">
        <f>+SUMIFS(Tabla1[Avance_Med],Tabla1[Fecha],"&gt;="&amp;$A13,Tabla1[Fecha],"&lt;="&amp;EOMONTH($A13,0),Tabla1[Codigo_actividad],Y$4)*Y$3</f>
        <v>0</v>
      </c>
      <c r="Z13" s="310">
        <f>+SUMIFS(Tabla1[Avance_Med],Tabla1[Fecha],"&gt;="&amp;$A13,Tabla1[Fecha],"&lt;="&amp;EOMONTH($A13,0),Tabla1[Codigo_actividad],Z$4)*Z$3</f>
        <v>0</v>
      </c>
      <c r="AA13" s="310">
        <f>+SUMIFS(Tabla1[Avance_Med],Tabla1[Fecha],"&gt;="&amp;$A13,Tabla1[Fecha],"&lt;="&amp;EOMONTH($A13,0),Tabla1[Codigo_actividad],AA$4)*AA$3</f>
        <v>0</v>
      </c>
      <c r="AB13" s="310">
        <f>+SUMIFS(Tabla1[Avance_Med],Tabla1[Fecha],"&gt;="&amp;$A13,Tabla1[Fecha],"&lt;="&amp;EOMONTH($A13,0),Tabla1[Codigo_actividad],AB$4)*AB$3</f>
        <v>0</v>
      </c>
      <c r="AC13" s="310">
        <f>+SUMIFS(Tabla1[Avance_Med],Tabla1[Fecha],"&gt;="&amp;$A13,Tabla1[Fecha],"&lt;="&amp;EOMONTH($A13,0),Tabla1[Codigo_actividad],AC$4)*AC$3</f>
        <v>0</v>
      </c>
      <c r="AD13" s="310">
        <f>+SUMIFS(Tabla1[Avance_Med],Tabla1[Fecha],"&gt;="&amp;$A13,Tabla1[Fecha],"&lt;="&amp;EOMONTH($A13,0),Tabla1[Codigo_actividad],AD$4)*AD$3</f>
        <v>0</v>
      </c>
      <c r="AE13" s="310">
        <f>+SUMIFS(Tabla1[Avance_Med],Tabla1[Fecha],"&gt;="&amp;$A13,Tabla1[Fecha],"&lt;="&amp;EOMONTH($A13,0),Tabla1[Codigo_actividad],AE$4)*AE$3</f>
        <v>0</v>
      </c>
      <c r="AF13" s="310">
        <f>+SUMIFS(Tabla1[Avance_Med],Tabla1[Fecha],"&gt;="&amp;$A13,Tabla1[Fecha],"&lt;="&amp;EOMONTH($A13,0),Tabla1[Codigo_actividad],AF$4)*AF$3</f>
        <v>0</v>
      </c>
      <c r="AG13" s="310">
        <f>+SUMIFS(Tabla1[Avance_Med],Tabla1[Fecha],"&gt;="&amp;$A13,Tabla1[Fecha],"&lt;="&amp;EOMONTH($A13,0),Tabla1[Codigo_actividad],AG$4)*AG$3</f>
        <v>0</v>
      </c>
      <c r="AH13" s="310">
        <f>+SUMIFS(Tabla1[Avance_Med],Tabla1[Fecha],"&gt;="&amp;$A13,Tabla1[Fecha],"&lt;="&amp;EOMONTH($A13,0),Tabla1[Codigo_actividad],AH$4)*AH$3</f>
        <v>0</v>
      </c>
      <c r="AI13" s="310">
        <f>+SUMIFS(Tabla1[Avance_Med],Tabla1[Fecha],"&gt;="&amp;$A13,Tabla1[Fecha],"&lt;="&amp;EOMONTH($A13,0),Tabla1[Codigo_actividad],AI$4)*AI$3</f>
        <v>0</v>
      </c>
      <c r="AJ13" s="310">
        <f>+SUMIFS(Tabla1[Avance_Med],Tabla1[Fecha],"&gt;="&amp;$A13,Tabla1[Fecha],"&lt;="&amp;EOMONTH($A13,0),Tabla1[Codigo_actividad],AJ$4)*AJ$3</f>
        <v>0</v>
      </c>
      <c r="AK13" s="310">
        <f>+SUMIFS(Tabla1[Avance_Med],Tabla1[Fecha],"&gt;="&amp;$A13,Tabla1[Fecha],"&lt;="&amp;EOMONTH($A13,0),Tabla1[Codigo_actividad],AK$4)*AK$3</f>
        <v>0</v>
      </c>
      <c r="AL13" s="310">
        <f>+SUMIFS(Tabla1[Avance_km],Tabla1[Fecha],"&gt;="&amp;$A13,Tabla1[Fecha],"&lt;="&amp;EOMONTH($A13,0),Tabla1[Codigo_actividad],AL$4)*AL$3</f>
        <v>0</v>
      </c>
      <c r="AM13" s="310">
        <f>+SUMIFS(Tabla1[Avance_Med],Tabla1[Fecha],"&gt;="&amp;$A13,Tabla1[Fecha],"&lt;="&amp;EOMONTH($A13,0),Tabla1[Codigo_actividad],AM$4)*AM$3</f>
        <v>0</v>
      </c>
      <c r="AN13" s="309"/>
      <c r="AO13" s="304">
        <f t="shared" si="0"/>
        <v>307419.66662000003</v>
      </c>
      <c r="AT13"/>
      <c r="AU13"/>
      <c r="AV13"/>
      <c r="AW13"/>
      <c r="AX13"/>
    </row>
    <row r="14" spans="1:50" x14ac:dyDescent="0.25">
      <c r="A14" s="222">
        <v>46204</v>
      </c>
      <c r="B14" s="310">
        <v>0</v>
      </c>
      <c r="C14" s="310">
        <f>+SUMIFS(Tabla1[Avance_Med],Tabla1[Fecha],"&gt;="&amp;$A14,Tabla1[Fecha],"&lt;="&amp;EOMONTH($A14,0),Tabla1[Codigo_actividad],C$4)*C$3</f>
        <v>0</v>
      </c>
      <c r="D14" s="310">
        <f>+SUMIFS(Tabla1[Avance_Med],Tabla1[Fecha],"&gt;="&amp;$A14,Tabla1[Fecha],"&lt;="&amp;EOMONTH($A14,0),Tabla1[Codigo_actividad],D$4)*D$3</f>
        <v>0</v>
      </c>
      <c r="E14" s="310">
        <f>+SUMIFS(Tabla1[Avance_Med],Tabla1[Fecha],"&gt;="&amp;$A14,Tabla1[Fecha],"&lt;="&amp;EOMONTH($A14,0),Tabla1[Codigo_actividad],E$4)*E$3</f>
        <v>0</v>
      </c>
      <c r="F14" s="310">
        <f>+SUMIFS(Tabla1[Avance_Med],Tabla1[Fecha],"&gt;="&amp;$A14,Tabla1[Fecha],"&lt;="&amp;EOMONTH($A14,0),Tabla1[Codigo_actividad],F$4)*F$3</f>
        <v>0</v>
      </c>
      <c r="G14" s="310">
        <f>+SUMIFS(Tabla1[Avance_Med],Tabla1[Fecha],"&gt;="&amp;$A14,Tabla1[Fecha],"&lt;="&amp;EOMONTH($A14,0),Tabla1[Codigo_actividad],G$4)*G$3</f>
        <v>0</v>
      </c>
      <c r="H14" s="310">
        <f>+SUMIFS(Tabla1[Avance_km],Tabla1[Fecha],"&gt;="&amp;$A14,Tabla1[Fecha],"&lt;="&amp;EOMONTH($A14,0),Tabla1[Codigo_actividad],H$4)*H$3</f>
        <v>197026.49088</v>
      </c>
      <c r="I14" s="310"/>
      <c r="J14" s="310">
        <f>+SUMIFS(Tabla1[Avance_km],Tabla1[Fecha],"&gt;="&amp;$A14,Tabla1[Fecha],"&lt;="&amp;EOMONTH($A14,0),Tabla1[Codigo_actividad],J$4,Tabla1[Avance_km],"&gt;0")*J$3</f>
        <v>142849.22894</v>
      </c>
      <c r="K14" s="310">
        <f>SUMIFS(Tabla1[Avance_km],Tabla1[Fecha],"&gt;="&amp;$A14,Tabla1[Fecha],"&lt;="&amp;EOMONTH($A14,0),Tabla1[Codigo_actividad],K$4,Tabla1[Avance_km],"&gt;0")*K$3</f>
        <v>0</v>
      </c>
      <c r="L14" s="310">
        <f>+SUMIFS(Tabla1[Avance_Med],Tabla1[Fecha],"&gt;="&amp;$A14,Tabla1[Fecha],"&lt;="&amp;EOMONTH($A14,0),Tabla1[Codigo_actividad],L$4)*L$3</f>
        <v>0</v>
      </c>
      <c r="M14" s="310">
        <f>+SUMIFS(Tabla1[Avance_km],Tabla1[Fecha],"&gt;="&amp;$A14,Tabla1[Fecha],"&lt;="&amp;EOMONTH($A14,0),Tabla1[Codigo_actividad],M$4)*M$3</f>
        <v>31231.405700000003</v>
      </c>
      <c r="N14" s="310">
        <f>+SUMIFS(Tabla1[Avance_Med],Tabla1[Fecha],"&gt;="&amp;$A14,Tabla1[Fecha],"&lt;="&amp;EOMONTH($A14,0),Tabla1[Codigo_actividad],N$4)*N$3</f>
        <v>0</v>
      </c>
      <c r="O14" s="310">
        <f>+SUMIFS(Tabla1[Avance_Med],Tabla1[Fecha],"&gt;="&amp;$A14,Tabla1[Fecha],"&lt;="&amp;EOMONTH($A14,0),Tabla1[Codigo_actividad],O$4)*O$3</f>
        <v>0</v>
      </c>
      <c r="P14" s="310">
        <f>+SUMIFS(Tabla1[Avance_Med],Tabla1[Fecha],"&gt;="&amp;$A14,Tabla1[Fecha],"&lt;="&amp;EOMONTH($A14,0),Tabla1[Codigo_actividad],P$4)*P$3</f>
        <v>0</v>
      </c>
      <c r="Q14" s="310">
        <f>+SUMIFS(Tabla1[Avance_Med],Tabla1[Fecha],"&gt;="&amp;$A14,Tabla1[Fecha],"&lt;="&amp;EOMONTH($A14,0),Tabla1[Codigo_actividad],Q$4)*Q$3</f>
        <v>0</v>
      </c>
      <c r="R14" s="310">
        <f>+SUMIFS(Tabla1[Avance_Med],Tabla1[Fecha],"&gt;="&amp;$A14,Tabla1[Fecha],"&lt;="&amp;EOMONTH($A14,0),Tabla1[Codigo_actividad],R$4)*R$3</f>
        <v>0</v>
      </c>
      <c r="S14" s="310">
        <f>+SUMIFS(Tabla1[Avance_Med],Tabla1[Fecha],"&gt;="&amp;$A14,Tabla1[Fecha],"&lt;="&amp;EOMONTH($A14,0),Tabla1[Codigo_actividad],S$4)*S$3</f>
        <v>0</v>
      </c>
      <c r="T14" s="310">
        <f>+SUMIFS(Tabla1[Avance_Med],Tabla1[Fecha],"&gt;="&amp;$A14,Tabla1[Fecha],"&lt;="&amp;EOMONTH($A14,0),Tabla1[Codigo_actividad],T$4)*T$3</f>
        <v>0</v>
      </c>
      <c r="U14" s="310">
        <f>+SUMIFS(Tabla1[Avance_Med],Tabla1[Fecha],"&gt;="&amp;$A14,Tabla1[Fecha],"&lt;="&amp;EOMONTH($A14,0),Tabla1[Codigo_actividad],U$4)*U$3</f>
        <v>0</v>
      </c>
      <c r="V14" s="310">
        <f>+SUMIFS(Tabla1[Avance_Med],Tabla1[Fecha],"&gt;="&amp;$A14,Tabla1[Fecha],"&lt;="&amp;EOMONTH($A14,0),Tabla1[Codigo_actividad],V$4)*V$3</f>
        <v>0</v>
      </c>
      <c r="W14" s="310">
        <f>+SUMIFS(Tabla1[Avance_Med],Tabla1[Fecha],"&gt;="&amp;$A14,Tabla1[Fecha],"&lt;="&amp;EOMONTH($A14,0),Tabla1[Codigo_actividad],W$4)*W$3</f>
        <v>0</v>
      </c>
      <c r="X14" s="310">
        <f>+SUMIFS(Tabla1[Avance_Med],Tabla1[Fecha],"&gt;="&amp;$A14,Tabla1[Fecha],"&lt;="&amp;EOMONTH($A14,0),Tabla1[Codigo_actividad],X$4)*X$3</f>
        <v>0</v>
      </c>
      <c r="Y14" s="310">
        <f>+SUMIFS(Tabla1[Avance_Med],Tabla1[Fecha],"&gt;="&amp;$A14,Tabla1[Fecha],"&lt;="&amp;EOMONTH($A14,0),Tabla1[Codigo_actividad],Y$4)*Y$3</f>
        <v>0</v>
      </c>
      <c r="Z14" s="310">
        <f>+SUMIFS(Tabla1[Avance_Med],Tabla1[Fecha],"&gt;="&amp;$A14,Tabla1[Fecha],"&lt;="&amp;EOMONTH($A14,0),Tabla1[Codigo_actividad],Z$4)*Z$3</f>
        <v>0</v>
      </c>
      <c r="AA14" s="310">
        <f>+SUMIFS(Tabla1[Avance_Med],Tabla1[Fecha],"&gt;="&amp;$A14,Tabla1[Fecha],"&lt;="&amp;EOMONTH($A14,0),Tabla1[Codigo_actividad],AA$4)*AA$3</f>
        <v>0</v>
      </c>
      <c r="AB14" s="310">
        <f>+SUMIFS(Tabla1[Avance_Med],Tabla1[Fecha],"&gt;="&amp;$A14,Tabla1[Fecha],"&lt;="&amp;EOMONTH($A14,0),Tabla1[Codigo_actividad],AB$4)*AB$3</f>
        <v>0</v>
      </c>
      <c r="AC14" s="310">
        <f>+SUMIFS(Tabla1[Avance_Med],Tabla1[Fecha],"&gt;="&amp;$A14,Tabla1[Fecha],"&lt;="&amp;EOMONTH($A14,0),Tabla1[Codigo_actividad],AC$4)*AC$3</f>
        <v>0</v>
      </c>
      <c r="AD14" s="310">
        <f>+SUMIFS(Tabla1[Avance_Med],Tabla1[Fecha],"&gt;="&amp;$A14,Tabla1[Fecha],"&lt;="&amp;EOMONTH($A14,0),Tabla1[Codigo_actividad],AD$4)*AD$3</f>
        <v>0</v>
      </c>
      <c r="AE14" s="310">
        <f>+SUMIFS(Tabla1[Avance_Med],Tabla1[Fecha],"&gt;="&amp;$A14,Tabla1[Fecha],"&lt;="&amp;EOMONTH($A14,0),Tabla1[Codigo_actividad],AE$4)*AE$3</f>
        <v>0</v>
      </c>
      <c r="AF14" s="310">
        <f>+SUMIFS(Tabla1[Avance_Med],Tabla1[Fecha],"&gt;="&amp;$A14,Tabla1[Fecha],"&lt;="&amp;EOMONTH($A14,0),Tabla1[Codigo_actividad],AF$4)*AF$3</f>
        <v>0</v>
      </c>
      <c r="AG14" s="310">
        <f>+SUMIFS(Tabla1[Avance_Med],Tabla1[Fecha],"&gt;="&amp;$A14,Tabla1[Fecha],"&lt;="&amp;EOMONTH($A14,0),Tabla1[Codigo_actividad],AG$4)*AG$3</f>
        <v>0</v>
      </c>
      <c r="AH14" s="310">
        <f>+SUMIFS(Tabla1[Avance_Med],Tabla1[Fecha],"&gt;="&amp;$A14,Tabla1[Fecha],"&lt;="&amp;EOMONTH($A14,0),Tabla1[Codigo_actividad],AH$4)*AH$3</f>
        <v>0</v>
      </c>
      <c r="AI14" s="310">
        <f>+SUMIFS(Tabla1[Avance_Med],Tabla1[Fecha],"&gt;="&amp;$A14,Tabla1[Fecha],"&lt;="&amp;EOMONTH($A14,0),Tabla1[Codigo_actividad],AI$4)*AI$3</f>
        <v>0</v>
      </c>
      <c r="AJ14" s="310">
        <f>+SUMIFS(Tabla1[Avance_Med],Tabla1[Fecha],"&gt;="&amp;$A14,Tabla1[Fecha],"&lt;="&amp;EOMONTH($A14,0),Tabla1[Codigo_actividad],AJ$4)*AJ$3</f>
        <v>0</v>
      </c>
      <c r="AK14" s="310">
        <f>+SUMIFS(Tabla1[Avance_Med],Tabla1[Fecha],"&gt;="&amp;$A14,Tabla1[Fecha],"&lt;="&amp;EOMONTH($A14,0),Tabla1[Codigo_actividad],AK$4)*AK$3</f>
        <v>0</v>
      </c>
      <c r="AL14" s="310">
        <f>+SUMIFS(Tabla1[Avance_km],Tabla1[Fecha],"&gt;="&amp;$A14,Tabla1[Fecha],"&lt;="&amp;EOMONTH($A14,0),Tabla1[Codigo_actividad],AL$4)*AL$3</f>
        <v>0</v>
      </c>
      <c r="AM14" s="310">
        <f>+SUMIFS(Tabla1[Avance_Med],Tabla1[Fecha],"&gt;="&amp;$A14,Tabla1[Fecha],"&lt;="&amp;EOMONTH($A14,0),Tabla1[Codigo_actividad],AM$4)*AM$3</f>
        <v>0</v>
      </c>
      <c r="AN14" s="309"/>
      <c r="AO14" s="304">
        <f t="shared" si="0"/>
        <v>371107.12552</v>
      </c>
      <c r="AT14"/>
      <c r="AU14"/>
      <c r="AV14"/>
      <c r="AW14"/>
      <c r="AX14"/>
    </row>
    <row r="15" spans="1:50" x14ac:dyDescent="0.25">
      <c r="A15" s="222">
        <v>46235</v>
      </c>
      <c r="B15" s="310">
        <v>0</v>
      </c>
      <c r="C15" s="310">
        <f>+SUMIFS(Tabla1[Avance_Med],Tabla1[Fecha],"&gt;="&amp;$A15,Tabla1[Fecha],"&lt;="&amp;EOMONTH($A15,0),Tabla1[Codigo_actividad],C$4)*C$3</f>
        <v>0</v>
      </c>
      <c r="D15" s="310">
        <f>+SUMIFS(Tabla1[Avance_Med],Tabla1[Fecha],"&gt;="&amp;$A15,Tabla1[Fecha],"&lt;="&amp;EOMONTH($A15,0),Tabla1[Codigo_actividad],D$4)*D$3</f>
        <v>0</v>
      </c>
      <c r="E15" s="310">
        <f>+SUMIFS(Tabla1[Avance_Med],Tabla1[Fecha],"&gt;="&amp;$A15,Tabla1[Fecha],"&lt;="&amp;EOMONTH($A15,0),Tabla1[Codigo_actividad],E$4)*E$3</f>
        <v>0</v>
      </c>
      <c r="F15" s="310">
        <f>+SUMIFS(Tabla1[Avance_Med],Tabla1[Fecha],"&gt;="&amp;$A15,Tabla1[Fecha],"&lt;="&amp;EOMONTH($A15,0),Tabla1[Codigo_actividad],F$4)*F$3</f>
        <v>0</v>
      </c>
      <c r="G15" s="310">
        <f>+SUMIFS(Tabla1[Avance_Med],Tabla1[Fecha],"&gt;="&amp;$A15,Tabla1[Fecha],"&lt;="&amp;EOMONTH($A15,0),Tabla1[Codigo_actividad],G$4)*G$3</f>
        <v>0</v>
      </c>
      <c r="H15" s="310">
        <f>+SUMIFS(Tabla1[Avance_km],Tabla1[Fecha],"&gt;="&amp;$A15,Tabla1[Fecha],"&lt;="&amp;EOMONTH($A15,0),Tabla1[Codigo_actividad],H$4)*H$3</f>
        <v>145693.30653000003</v>
      </c>
      <c r="I15" s="310"/>
      <c r="J15" s="485">
        <f>+SUMIFS(Tabla1[Avance_km],Tabla1[Fecha],"&gt;="&amp;$A15,Tabla1[Fecha],"&lt;="&amp;EOMONTH($A15,0),Tabla1[Codigo_actividad],J$4,Tabla1[Avance_km],"&gt;0")*$J$3</f>
        <v>168022.03384999998</v>
      </c>
      <c r="K15" s="310">
        <f>SUMIFS(Tabla1[Avance_km],Tabla1[Fecha],"&gt;="&amp;$A15,Tabla1[Fecha],"&lt;="&amp;EOMONTH($A15,0),Tabla1[Codigo_actividad],K$4,Tabla1[Avance_km],"&gt;0")*K$3</f>
        <v>300342.56999999995</v>
      </c>
      <c r="L15" s="310">
        <f>+SUMIFS(Tabla1[Avance_Med],Tabla1[Fecha],"&gt;="&amp;$A15,Tabla1[Fecha],"&lt;="&amp;EOMONTH($A15,0),Tabla1[Codigo_actividad],L$4)*L$3</f>
        <v>0</v>
      </c>
      <c r="M15" s="310">
        <f>+SUMIFS(Tabla1[Avance_km],Tabla1[Fecha],"&gt;="&amp;$A15,Tabla1[Fecha],"&lt;="&amp;EOMONTH($A15,0),Tabla1[Codigo_actividad],M$4)*M$3</f>
        <v>27472.8014</v>
      </c>
      <c r="N15" s="310">
        <f>+SUMIFS(Tabla1[Avance_Med],Tabla1[Fecha],"&gt;="&amp;$A15,Tabla1[Fecha],"&lt;="&amp;EOMONTH($A15,0),Tabla1[Codigo_actividad],N$4)*N$3</f>
        <v>0</v>
      </c>
      <c r="O15" s="310">
        <f>+SUMIFS(Tabla1[Avance_Med],Tabla1[Fecha],"&gt;="&amp;$A15,Tabla1[Fecha],"&lt;="&amp;EOMONTH($A15,0),Tabla1[Codigo_actividad],O$4)*O$3</f>
        <v>0</v>
      </c>
      <c r="P15" s="310">
        <f>+SUMIFS(Tabla1[Avance_Med],Tabla1[Fecha],"&gt;="&amp;$A15,Tabla1[Fecha],"&lt;="&amp;EOMONTH($A15,0),Tabla1[Codigo_actividad],P$4)*P$3</f>
        <v>0</v>
      </c>
      <c r="Q15" s="310">
        <f>+SUMIFS(Tabla1[Avance_Med],Tabla1[Fecha],"&gt;="&amp;$A15,Tabla1[Fecha],"&lt;="&amp;EOMONTH($A15,0),Tabla1[Codigo_actividad],Q$4)*Q$3</f>
        <v>15171.98</v>
      </c>
      <c r="R15" s="310">
        <f>+SUMIFS(Tabla1[Avance_Med],Tabla1[Fecha],"&gt;="&amp;$A15,Tabla1[Fecha],"&lt;="&amp;EOMONTH($A15,0),Tabla1[Codigo_actividad],R$4)*R$3</f>
        <v>3531.18</v>
      </c>
      <c r="S15" s="310">
        <f>+SUMIFS(Tabla1[Avance_Med],Tabla1[Fecha],"&gt;="&amp;$A15,Tabla1[Fecha],"&lt;="&amp;EOMONTH($A15,0),Tabla1[Codigo_actividad],S$4)*S$3</f>
        <v>3869.18</v>
      </c>
      <c r="T15" s="310">
        <f>+SUMIFS(Tabla1[Avance_Med],Tabla1[Fecha],"&gt;="&amp;$A15,Tabla1[Fecha],"&lt;="&amp;EOMONTH($A15,0),Tabla1[Codigo_actividad],T$4)*T$3</f>
        <v>3921.18</v>
      </c>
      <c r="U15" s="310">
        <f>+SUMIFS(Tabla1[Avance_Med],Tabla1[Fecha],"&gt;="&amp;$A15,Tabla1[Fecha],"&lt;="&amp;EOMONTH($A15,0),Tabla1[Codigo_actividad],U$4)*U$3</f>
        <v>0</v>
      </c>
      <c r="V15" s="310">
        <f>+SUMIFS(Tabla1[Avance_Med],Tabla1[Fecha],"&gt;="&amp;$A15,Tabla1[Fecha],"&lt;="&amp;EOMONTH($A15,0),Tabla1[Codigo_actividad],V$4)*V$3</f>
        <v>4441.18</v>
      </c>
      <c r="W15" s="310">
        <f>+SUMIFS(Tabla1[Avance_Med],Tabla1[Fecha],"&gt;="&amp;$A15,Tabla1[Fecha],"&lt;="&amp;EOMONTH($A15,0),Tabla1[Codigo_actividad],W$4)*W$3</f>
        <v>0</v>
      </c>
      <c r="X15" s="310">
        <f>+SUMIFS(Tabla1[Avance_Med],Tabla1[Fecha],"&gt;="&amp;$A15,Tabla1[Fecha],"&lt;="&amp;EOMONTH($A15,0),Tabla1[Codigo_actividad],X$4)*X$3</f>
        <v>0</v>
      </c>
      <c r="Y15" s="310">
        <f>+SUMIFS(Tabla1[Avance_Med],Tabla1[Fecha],"&gt;="&amp;$A15,Tabla1[Fecha],"&lt;="&amp;EOMONTH($A15,0),Tabla1[Codigo_actividad],Y$4)*Y$3</f>
        <v>1312</v>
      </c>
      <c r="Z15" s="310">
        <f>+SUMIFS(Tabla1[Avance_Med],Tabla1[Fecha],"&gt;="&amp;$A15,Tabla1[Fecha],"&lt;="&amp;EOMONTH($A15,0),Tabla1[Codigo_actividad],Z$4)*Z$3</f>
        <v>9352</v>
      </c>
      <c r="AA15" s="310">
        <f>+SUMIFS(Tabla1[Avance_Med],Tabla1[Fecha],"&gt;="&amp;$A15,Tabla1[Fecha],"&lt;="&amp;EOMONTH($A15,0),Tabla1[Codigo_actividad],AA$4)*AA$3</f>
        <v>0</v>
      </c>
      <c r="AB15" s="310">
        <f>+SUMIFS(Tabla1[Avance_Med],Tabla1[Fecha],"&gt;="&amp;$A15,Tabla1[Fecha],"&lt;="&amp;EOMONTH($A15,0),Tabla1[Codigo_actividad],AB$4)*AB$3</f>
        <v>0</v>
      </c>
      <c r="AC15" s="310">
        <f>+SUMIFS(Tabla1[Avance_Med],Tabla1[Fecha],"&gt;="&amp;$A15,Tabla1[Fecha],"&lt;="&amp;EOMONTH($A15,0),Tabla1[Codigo_actividad],AC$4)*AC$3</f>
        <v>0</v>
      </c>
      <c r="AD15" s="310">
        <f>+SUMIFS(Tabla1[Avance_Med],Tabla1[Fecha],"&gt;="&amp;$A15,Tabla1[Fecha],"&lt;="&amp;EOMONTH($A15,0),Tabla1[Codigo_actividad],AD$4)*AD$3</f>
        <v>0</v>
      </c>
      <c r="AE15" s="310">
        <f>+SUMIFS(Tabla1[Avance_Med],Tabla1[Fecha],"&gt;="&amp;$A15,Tabla1[Fecha],"&lt;="&amp;EOMONTH($A15,0),Tabla1[Codigo_actividad],AE$4)*AE$3</f>
        <v>0</v>
      </c>
      <c r="AF15" s="310">
        <f>+SUMIFS(Tabla1[Avance_Med],Tabla1[Fecha],"&gt;="&amp;$A15,Tabla1[Fecha],"&lt;="&amp;EOMONTH($A15,0),Tabla1[Codigo_actividad],AF$4)*AF$3</f>
        <v>0</v>
      </c>
      <c r="AG15" s="310">
        <f>+SUMIFS(Tabla1[Avance_Med],Tabla1[Fecha],"&gt;="&amp;$A15,Tabla1[Fecha],"&lt;="&amp;EOMONTH($A15,0),Tabla1[Codigo_actividad],AG$4)*AG$3</f>
        <v>0</v>
      </c>
      <c r="AH15" s="310">
        <f>+SUMIFS(Tabla1[Avance_Med],Tabla1[Fecha],"&gt;="&amp;$A15,Tabla1[Fecha],"&lt;="&amp;EOMONTH($A15,0),Tabla1[Codigo_actividad],AH$4)*AH$3</f>
        <v>0</v>
      </c>
      <c r="AI15" s="310">
        <f>+SUMIFS(Tabla1[Avance_Med],Tabla1[Fecha],"&gt;="&amp;$A15,Tabla1[Fecha],"&lt;="&amp;EOMONTH($A15,0),Tabla1[Codigo_actividad],AI$4)*AI$3</f>
        <v>0</v>
      </c>
      <c r="AJ15" s="310">
        <f>+SUMIFS(Tabla1[Avance_Med],Tabla1[Fecha],"&gt;="&amp;$A15,Tabla1[Fecha],"&lt;="&amp;EOMONTH($A15,0),Tabla1[Codigo_actividad],AJ$4)*AJ$3</f>
        <v>173864.40000000002</v>
      </c>
      <c r="AK15" s="310">
        <f>+SUMIFS(Tabla1[Avance_Med],Tabla1[Fecha],"&gt;="&amp;$A15,Tabla1[Fecha],"&lt;="&amp;EOMONTH($A15,0),Tabla1[Codigo_actividad],AK$4)*AK$3</f>
        <v>167470.32</v>
      </c>
      <c r="AL15" s="310">
        <f>+SUMIFS(Tabla1[Avance_km],Tabla1[Fecha],"&gt;="&amp;$A15,Tabla1[Fecha],"&lt;="&amp;EOMONTH($A15,0),Tabla1[Codigo_actividad],AL$4)*AL$3</f>
        <v>0</v>
      </c>
      <c r="AM15" s="310">
        <f>+SUMIFS(Tabla1[Avance_Med],Tabla1[Fecha],"&gt;="&amp;$A15,Tabla1[Fecha],"&lt;="&amp;EOMONTH($A15,0),Tabla1[Codigo_actividad],AM$4)*AM$3</f>
        <v>0</v>
      </c>
      <c r="AN15" s="309"/>
      <c r="AO15" s="304">
        <f t="shared" si="0"/>
        <v>1024464.1317800002</v>
      </c>
      <c r="AT15"/>
      <c r="AU15"/>
      <c r="AV15"/>
      <c r="AW15"/>
      <c r="AX15"/>
    </row>
    <row r="16" spans="1:50" x14ac:dyDescent="0.25">
      <c r="A16" s="222">
        <v>46266</v>
      </c>
      <c r="B16" s="310">
        <v>0</v>
      </c>
      <c r="C16" s="310">
        <f>+SUMIFS(Tabla1[Avance_Med],Tabla1[Fecha],"&gt;="&amp;$A16,Tabla1[Fecha],"&lt;="&amp;EOMONTH($A16,0),Tabla1[Codigo_actividad],C$4)*C$3</f>
        <v>0</v>
      </c>
      <c r="D16" s="310">
        <f>+SUMIFS(Tabla1[Avance_Med],Tabla1[Fecha],"&gt;="&amp;$A16,Tabla1[Fecha],"&lt;="&amp;EOMONTH($A16,0),Tabla1[Codigo_actividad],D$4)*D$3</f>
        <v>0</v>
      </c>
      <c r="E16" s="310">
        <f>+SUMIFS(Tabla1[Avance_Med],Tabla1[Fecha],"&gt;="&amp;$A16,Tabla1[Fecha],"&lt;="&amp;EOMONTH($A16,0),Tabla1[Codigo_actividad],E$4)*E$3</f>
        <v>0</v>
      </c>
      <c r="F16" s="310">
        <f>+SUMIFS(Tabla1[Avance_Med],Tabla1[Fecha],"&gt;="&amp;$A16,Tabla1[Fecha],"&lt;="&amp;EOMONTH($A16,0),Tabla1[Codigo_actividad],F$4)*F$3</f>
        <v>0</v>
      </c>
      <c r="G16" s="310">
        <f>+SUMIFS(Tabla1[Avance_Med],Tabla1[Fecha],"&gt;="&amp;$A16,Tabla1[Fecha],"&lt;="&amp;EOMONTH($A16,0),Tabla1[Codigo_actividad],G$4)*G$3</f>
        <v>0</v>
      </c>
      <c r="H16" s="310">
        <f>+SUMIFS(Tabla1[Avance_km],Tabla1[Fecha],"&gt;="&amp;$A16,Tabla1[Fecha],"&lt;="&amp;EOMONTH($A16,0),Tabla1[Codigo_actividad],H$4)*H$3</f>
        <v>155669.51519999999</v>
      </c>
      <c r="I16" s="310"/>
      <c r="J16" s="310">
        <f>+SUMIFS(Tabla1[Avance_km],Tabla1[Fecha],"&gt;="&amp;$A16,Tabla1[Fecha],"&lt;="&amp;EOMONTH($A16,0),Tabla1[Codigo_actividad],J$4,Tabla1[Avance_km],"&gt;0")*J$3</f>
        <v>0</v>
      </c>
      <c r="K16" s="310">
        <f>SUMIFS(Tabla1[Avance_km],Tabla1[Fecha],"&gt;="&amp;$A16,Tabla1[Fecha],"&lt;="&amp;EOMONTH($A16,0),Tabla1[Codigo_actividad],K$4,Tabla1[Avance_km],"&gt;0")*K$3</f>
        <v>440241.56999999995</v>
      </c>
      <c r="L16" s="310">
        <f>+SUMIFS(Tabla1[Avance_Med],Tabla1[Fecha],"&gt;="&amp;$A16,Tabla1[Fecha],"&lt;="&amp;EOMONTH($A16,0),Tabla1[Codigo_actividad],L$4)*L$3</f>
        <v>93160</v>
      </c>
      <c r="M16" s="310">
        <f>+SUMIFS(Tabla1[Avance_km],Tabla1[Fecha],"&gt;="&amp;$A16,Tabla1[Fecha],"&lt;="&amp;EOMONTH($A16,0),Tabla1[Codigo_actividad],M$4)*M$3</f>
        <v>45306.419399999999</v>
      </c>
      <c r="N16" s="310">
        <f>+SUMIFS(Tabla1[Avance_Med],Tabla1[Fecha],"&gt;="&amp;$A16,Tabla1[Fecha],"&lt;="&amp;EOMONTH($A16,0),Tabla1[Codigo_actividad],N$4)*N$3</f>
        <v>120364.08</v>
      </c>
      <c r="O16" s="310">
        <f>+SUMIFS(Tabla1[Avance_Med],Tabla1[Fecha],"&gt;="&amp;$A16,Tabla1[Fecha],"&lt;="&amp;EOMONTH($A16,0),Tabla1[Codigo_actividad],O$4)*O$3</f>
        <v>89973.52</v>
      </c>
      <c r="P16" s="310">
        <f>+SUMIFS(Tabla1[Avance_Med],Tabla1[Fecha],"&gt;="&amp;$A16,Tabla1[Fecha],"&lt;="&amp;EOMONTH($A16,0),Tabla1[Codigo_actividad],P$4)*P$3</f>
        <v>67002.100000000006</v>
      </c>
      <c r="Q16" s="310">
        <f>+SUMIFS(Tabla1[Avance_Med],Tabla1[Fecha],"&gt;="&amp;$A16,Tabla1[Fecha],"&lt;="&amp;EOMONTH($A16,0),Tabla1[Codigo_actividad],Q$4)*Q$3</f>
        <v>60687.92</v>
      </c>
      <c r="R16" s="310">
        <f>+SUMIFS(Tabla1[Avance_Med],Tabla1[Fecha],"&gt;="&amp;$A16,Tabla1[Fecha],"&lt;="&amp;EOMONTH($A16,0),Tabla1[Codigo_actividad],R$4)*R$3</f>
        <v>14124.72</v>
      </c>
      <c r="S16" s="310">
        <f>+SUMIFS(Tabla1[Avance_Med],Tabla1[Fecha],"&gt;="&amp;$A16,Tabla1[Fecha],"&lt;="&amp;EOMONTH($A16,0),Tabla1[Codigo_actividad],S$4)*S$3</f>
        <v>15476.72</v>
      </c>
      <c r="T16" s="310">
        <f>+SUMIFS(Tabla1[Avance_Med],Tabla1[Fecha],"&gt;="&amp;$A16,Tabla1[Fecha],"&lt;="&amp;EOMONTH($A16,0),Tabla1[Codigo_actividad],T$4)*T$3</f>
        <v>15684.72</v>
      </c>
      <c r="U16" s="310">
        <f>+SUMIFS(Tabla1[Avance_Med],Tabla1[Fecha],"&gt;="&amp;$A16,Tabla1[Fecha],"&lt;="&amp;EOMONTH($A16,0),Tabla1[Codigo_actividad],U$4)*U$3</f>
        <v>4441.18</v>
      </c>
      <c r="V16" s="310">
        <f>+SUMIFS(Tabla1[Avance_Med],Tabla1[Fecha],"&gt;="&amp;$A16,Tabla1[Fecha],"&lt;="&amp;EOMONTH($A16,0),Tabla1[Codigo_actividad],V$4)*V$3</f>
        <v>17764.72</v>
      </c>
      <c r="W16" s="310">
        <f>+SUMIFS(Tabla1[Avance_Med],Tabla1[Fecha],"&gt;="&amp;$A16,Tabla1[Fecha],"&lt;="&amp;EOMONTH($A16,0),Tabla1[Codigo_actividad],W$4)*W$3</f>
        <v>4181.18</v>
      </c>
      <c r="X16" s="310">
        <f>+SUMIFS(Tabla1[Avance_Med],Tabla1[Fecha],"&gt;="&amp;$A16,Tabla1[Fecha],"&lt;="&amp;EOMONTH($A16,0),Tabla1[Codigo_actividad],X$4)*X$3</f>
        <v>6271.77</v>
      </c>
      <c r="Y16" s="310">
        <f>+SUMIFS(Tabla1[Avance_Med],Tabla1[Fecha],"&gt;="&amp;$A16,Tabla1[Fecha],"&lt;="&amp;EOMONTH($A16,0),Tabla1[Codigo_actividad],Y$4)*Y$3</f>
        <v>5248</v>
      </c>
      <c r="Z16" s="310">
        <f>+SUMIFS(Tabla1[Avance_Med],Tabla1[Fecha],"&gt;="&amp;$A16,Tabla1[Fecha],"&lt;="&amp;EOMONTH($A16,0),Tabla1[Codigo_actividad],Z$4)*Z$3</f>
        <v>37408</v>
      </c>
      <c r="AA16" s="310">
        <f>+SUMIFS(Tabla1[Avance_Med],Tabla1[Fecha],"&gt;="&amp;$A16,Tabla1[Fecha],"&lt;="&amp;EOMONTH($A16,0),Tabla1[Codigo_actividad],AA$4)*AA$3</f>
        <v>0</v>
      </c>
      <c r="AB16" s="310">
        <f>+SUMIFS(Tabla1[Avance_Med],Tabla1[Fecha],"&gt;="&amp;$A16,Tabla1[Fecha],"&lt;="&amp;EOMONTH($A16,0),Tabla1[Codigo_actividad],AB$4)*AB$3</f>
        <v>0</v>
      </c>
      <c r="AC16" s="310">
        <f>+SUMIFS(Tabla1[Avance_Med],Tabla1[Fecha],"&gt;="&amp;$A16,Tabla1[Fecha],"&lt;="&amp;EOMONTH($A16,0),Tabla1[Codigo_actividad],AC$4)*AC$3</f>
        <v>0</v>
      </c>
      <c r="AD16" s="310">
        <f>+SUMIFS(Tabla1[Avance_Med],Tabla1[Fecha],"&gt;="&amp;$A16,Tabla1[Fecha],"&lt;="&amp;EOMONTH($A16,0),Tabla1[Codigo_actividad],AD$4)*AD$3</f>
        <v>0</v>
      </c>
      <c r="AE16" s="310">
        <f>+SUMIFS(Tabla1[Avance_Med],Tabla1[Fecha],"&gt;="&amp;$A16,Tabla1[Fecha],"&lt;="&amp;EOMONTH($A16,0),Tabla1[Codigo_actividad],AE$4)*AE$3</f>
        <v>0</v>
      </c>
      <c r="AF16" s="310">
        <f>+SUMIFS(Tabla1[Avance_Med],Tabla1[Fecha],"&gt;="&amp;$A16,Tabla1[Fecha],"&lt;="&amp;EOMONTH($A16,0),Tabla1[Codigo_actividad],AF$4)*AF$3</f>
        <v>0</v>
      </c>
      <c r="AG16" s="310">
        <f>+SUMIFS(Tabla1[Avance_Med],Tabla1[Fecha],"&gt;="&amp;$A16,Tabla1[Fecha],"&lt;="&amp;EOMONTH($A16,0),Tabla1[Codigo_actividad],AG$4)*AG$3</f>
        <v>0</v>
      </c>
      <c r="AH16" s="310">
        <f>+SUMIFS(Tabla1[Avance_Med],Tabla1[Fecha],"&gt;="&amp;$A16,Tabla1[Fecha],"&lt;="&amp;EOMONTH($A16,0),Tabla1[Codigo_actividad],AH$4)*AH$3</f>
        <v>0</v>
      </c>
      <c r="AI16" s="310">
        <f>+SUMIFS(Tabla1[Avance_Med],Tabla1[Fecha],"&gt;="&amp;$A16,Tabla1[Fecha],"&lt;="&amp;EOMONTH($A16,0),Tabla1[Codigo_actividad],AI$4)*AI$3</f>
        <v>0</v>
      </c>
      <c r="AJ16" s="310">
        <f>+SUMIFS(Tabla1[Avance_Med],Tabla1[Fecha],"&gt;="&amp;$A16,Tabla1[Fecha],"&lt;="&amp;EOMONTH($A16,0),Tabla1[Codigo_actividad],AJ$4)*AJ$3</f>
        <v>0</v>
      </c>
      <c r="AK16" s="310">
        <f>+SUMIFS(Tabla1[Avance_Med],Tabla1[Fecha],"&gt;="&amp;$A16,Tabla1[Fecha],"&lt;="&amp;EOMONTH($A16,0),Tabla1[Codigo_actividad],AK$4)*AK$3</f>
        <v>0</v>
      </c>
      <c r="AL16" s="310">
        <f>+SUMIFS(Tabla1[Avance_km],Tabla1[Fecha],"&gt;="&amp;$A16,Tabla1[Fecha],"&lt;="&amp;EOMONTH($A16,0),Tabla1[Codigo_actividad],AL$4)*AL$3</f>
        <v>0</v>
      </c>
      <c r="AM16" s="310">
        <f>+SUMIFS(Tabla1[Avance_Med],Tabla1[Fecha],"&gt;="&amp;$A16,Tabla1[Fecha],"&lt;="&amp;EOMONTH($A16,0),Tabla1[Codigo_actividad],AM$4)*AM$3</f>
        <v>0</v>
      </c>
      <c r="AN16" s="309"/>
      <c r="AO16" s="304">
        <f t="shared" si="0"/>
        <v>1193006.1345999998</v>
      </c>
      <c r="AT16"/>
      <c r="AU16"/>
      <c r="AV16"/>
      <c r="AW16"/>
      <c r="AX16"/>
    </row>
    <row r="17" spans="1:52" x14ac:dyDescent="0.25">
      <c r="A17" s="222">
        <v>46296</v>
      </c>
      <c r="B17" s="310">
        <v>0</v>
      </c>
      <c r="C17" s="310">
        <f>+SUMIFS(Tabla1[Avance_Med],Tabla1[Fecha],"&gt;="&amp;$A17,Tabla1[Fecha],"&lt;="&amp;EOMONTH($A17,0),Tabla1[Codigo_actividad],C$4)*C$3</f>
        <v>0</v>
      </c>
      <c r="D17" s="310">
        <f>+SUMIFS(Tabla1[Avance_Med],Tabla1[Fecha],"&gt;="&amp;$A17,Tabla1[Fecha],"&lt;="&amp;EOMONTH($A17,0),Tabla1[Codigo_actividad],D$4)*D$3</f>
        <v>0</v>
      </c>
      <c r="E17" s="310">
        <f>+SUMIFS(Tabla1[Avance_Med],Tabla1[Fecha],"&gt;="&amp;$A17,Tabla1[Fecha],"&lt;="&amp;EOMONTH($A17,0),Tabla1[Codigo_actividad],E$4)*E$3</f>
        <v>0</v>
      </c>
      <c r="F17" s="310">
        <f>+SUMIFS(Tabla1[Avance_Med],Tabla1[Fecha],"&gt;="&amp;$A17,Tabla1[Fecha],"&lt;="&amp;EOMONTH($A17,0),Tabla1[Codigo_actividad],F$4)*F$3</f>
        <v>0</v>
      </c>
      <c r="G17" s="310">
        <f>+SUMIFS(Tabla1[Avance_Med],Tabla1[Fecha],"&gt;="&amp;$A17,Tabla1[Fecha],"&lt;="&amp;EOMONTH($A17,0),Tabla1[Codigo_actividad],G$4)*G$3</f>
        <v>0</v>
      </c>
      <c r="H17" s="310">
        <f>+SUMIFS(Tabla1[Avance_km],Tabla1[Fecha],"&gt;="&amp;$A17,Tabla1[Fecha],"&lt;="&amp;EOMONTH($A17,0),Tabla1[Codigo_actividad],H$4)*H$3</f>
        <v>241483.787595</v>
      </c>
      <c r="I17" s="310"/>
      <c r="J17" s="310">
        <f>+SUMIFS(Tabla1[Avance_km],Tabla1[Fecha],"&gt;="&amp;$A17,Tabla1[Fecha],"&lt;="&amp;EOMONTH($A17,0),Tabla1[Codigo_actividad],J$4,Tabla1[Avance_km],"&gt;0")*J$3</f>
        <v>22021.120934999992</v>
      </c>
      <c r="K17" s="310">
        <f>SUMIFS(Tabla1[Avance_km],Tabla1[Fecha],"&gt;="&amp;$A17,Tabla1[Fecha],"&lt;="&amp;EOMONTH($A17,0),Tabla1[Codigo_actividad],K$4,Tabla1[Avance_km],"&gt;0")*K$3</f>
        <v>886419.96</v>
      </c>
      <c r="L17" s="310">
        <f>+SUMIFS(Tabla1[Avance_Med],Tabla1[Fecha],"&gt;="&amp;$A17,Tabla1[Fecha],"&lt;="&amp;EOMONTH($A17,0),Tabla1[Codigo_actividad],L$4)*L$3</f>
        <v>0</v>
      </c>
      <c r="M17" s="310">
        <f>+SUMIFS(Tabla1[Avance_km],Tabla1[Fecha],"&gt;="&amp;$A17,Tabla1[Fecha],"&lt;="&amp;EOMONTH($A17,0),Tabla1[Codigo_actividad],M$4)*M$3</f>
        <v>14459.90381</v>
      </c>
      <c r="N17" s="310">
        <f>+SUMIFS(Tabla1[Avance_Med],Tabla1[Fecha],"&gt;="&amp;$A17,Tabla1[Fecha],"&lt;="&amp;EOMONTH($A17,0),Tabla1[Codigo_actividad],N$4)*N$3</f>
        <v>14160.48</v>
      </c>
      <c r="O17" s="310">
        <f>+SUMIFS(Tabla1[Avance_Med],Tabla1[Fecha],"&gt;="&amp;$A17,Tabla1[Fecha],"&lt;="&amp;EOMONTH($A17,0),Tabla1[Codigo_actividad],O$4)*O$3</f>
        <v>10585.12</v>
      </c>
      <c r="P17" s="310">
        <f>+SUMIFS(Tabla1[Avance_Med],Tabla1[Fecha],"&gt;="&amp;$A17,Tabla1[Fecha],"&lt;="&amp;EOMONTH($A17,0),Tabla1[Codigo_actividad],P$4)*P$3</f>
        <v>7882.6</v>
      </c>
      <c r="Q17" s="310">
        <f>+SUMIFS(Tabla1[Avance_Med],Tabla1[Fecha],"&gt;="&amp;$A17,Tabla1[Fecha],"&lt;="&amp;EOMONTH($A17,0),Tabla1[Codigo_actividad],Q$4)*Q$3</f>
        <v>37929.949999999997</v>
      </c>
      <c r="R17" s="310">
        <f>+SUMIFS(Tabla1[Avance_Med],Tabla1[Fecha],"&gt;="&amp;$A17,Tabla1[Fecha],"&lt;="&amp;EOMONTH($A17,0),Tabla1[Codigo_actividad],R$4)*R$3</f>
        <v>10593.539999999999</v>
      </c>
      <c r="S17" s="310">
        <f>+SUMIFS(Tabla1[Avance_Med],Tabla1[Fecha],"&gt;="&amp;$A17,Tabla1[Fecha],"&lt;="&amp;EOMONTH($A17,0),Tabla1[Codigo_actividad],S$4)*S$3</f>
        <v>11607.539999999999</v>
      </c>
      <c r="T17" s="310">
        <f>+SUMIFS(Tabla1[Avance_Med],Tabla1[Fecha],"&gt;="&amp;$A17,Tabla1[Fecha],"&lt;="&amp;EOMONTH($A17,0),Tabla1[Codigo_actividad],T$4)*T$3</f>
        <v>11763.539999999999</v>
      </c>
      <c r="U17" s="310">
        <f>+SUMIFS(Tabla1[Avance_Med],Tabla1[Fecha],"&gt;="&amp;$A17,Tabla1[Fecha],"&lt;="&amp;EOMONTH($A17,0),Tabla1[Codigo_actividad],U$4)*U$3</f>
        <v>0</v>
      </c>
      <c r="V17" s="310">
        <f>+SUMIFS(Tabla1[Avance_Med],Tabla1[Fecha],"&gt;="&amp;$A17,Tabla1[Fecha],"&lt;="&amp;EOMONTH($A17,0),Tabla1[Codigo_actividad],V$4)*V$3</f>
        <v>13323.54</v>
      </c>
      <c r="W17" s="310">
        <f>+SUMIFS(Tabla1[Avance_Med],Tabla1[Fecha],"&gt;="&amp;$A17,Tabla1[Fecha],"&lt;="&amp;EOMONTH($A17,0),Tabla1[Codigo_actividad],W$4)*W$3</f>
        <v>2090.59</v>
      </c>
      <c r="X17" s="310">
        <f>+SUMIFS(Tabla1[Avance_Med],Tabla1[Fecha],"&gt;="&amp;$A17,Tabla1[Fecha],"&lt;="&amp;EOMONTH($A17,0),Tabla1[Codigo_actividad],X$4)*X$3</f>
        <v>2090.59</v>
      </c>
      <c r="Y17" s="310">
        <f>+SUMIFS(Tabla1[Avance_Med],Tabla1[Fecha],"&gt;="&amp;$A17,Tabla1[Fecha],"&lt;="&amp;EOMONTH($A17,0),Tabla1[Codigo_actividad],Y$4)*Y$3</f>
        <v>2624</v>
      </c>
      <c r="Z17" s="310">
        <f>+SUMIFS(Tabla1[Avance_Med],Tabla1[Fecha],"&gt;="&amp;$A17,Tabla1[Fecha],"&lt;="&amp;EOMONTH($A17,0),Tabla1[Codigo_actividad],Z$4)*Z$3</f>
        <v>18704</v>
      </c>
      <c r="AA17" s="310">
        <f>+SUMIFS(Tabla1[Avance_Med],Tabla1[Fecha],"&gt;="&amp;$A17,Tabla1[Fecha],"&lt;="&amp;EOMONTH($A17,0),Tabla1[Codigo_actividad],AA$4)*AA$3</f>
        <v>0</v>
      </c>
      <c r="AB17" s="310">
        <f>+SUMIFS(Tabla1[Avance_Med],Tabla1[Fecha],"&gt;="&amp;$A17,Tabla1[Fecha],"&lt;="&amp;EOMONTH($A17,0),Tabla1[Codigo_actividad],AB$4)*AB$3</f>
        <v>0</v>
      </c>
      <c r="AC17" s="310">
        <f>+SUMIFS(Tabla1[Avance_Med],Tabla1[Fecha],"&gt;="&amp;$A17,Tabla1[Fecha],"&lt;="&amp;EOMONTH($A17,0),Tabla1[Codigo_actividad],AC$4)*AC$3</f>
        <v>0</v>
      </c>
      <c r="AD17" s="310">
        <f>+SUMIFS(Tabla1[Avance_Med],Tabla1[Fecha],"&gt;="&amp;$A17,Tabla1[Fecha],"&lt;="&amp;EOMONTH($A17,0),Tabla1[Codigo_actividad],AD$4)*AD$3</f>
        <v>0</v>
      </c>
      <c r="AE17" s="310">
        <f>+SUMIFS(Tabla1[Avance_Med],Tabla1[Fecha],"&gt;="&amp;$A17,Tabla1[Fecha],"&lt;="&amp;EOMONTH($A17,0),Tabla1[Codigo_actividad],AE$4)*AE$3</f>
        <v>0</v>
      </c>
      <c r="AF17" s="310">
        <f>+SUMIFS(Tabla1[Avance_Med],Tabla1[Fecha],"&gt;="&amp;$A17,Tabla1[Fecha],"&lt;="&amp;EOMONTH($A17,0),Tabla1[Codigo_actividad],AF$4)*AF$3</f>
        <v>0</v>
      </c>
      <c r="AG17" s="310">
        <f>+SUMIFS(Tabla1[Avance_Med],Tabla1[Fecha],"&gt;="&amp;$A17,Tabla1[Fecha],"&lt;="&amp;EOMONTH($A17,0),Tabla1[Codigo_actividad],AG$4)*AG$3</f>
        <v>0</v>
      </c>
      <c r="AH17" s="310">
        <f>+SUMIFS(Tabla1[Avance_Med],Tabla1[Fecha],"&gt;="&amp;$A17,Tabla1[Fecha],"&lt;="&amp;EOMONTH($A17,0),Tabla1[Codigo_actividad],AH$4)*AH$3</f>
        <v>0</v>
      </c>
      <c r="AI17" s="310">
        <f>+SUMIFS(Tabla1[Avance_Med],Tabla1[Fecha],"&gt;="&amp;$A17,Tabla1[Fecha],"&lt;="&amp;EOMONTH($A17,0),Tabla1[Codigo_actividad],AI$4)*AI$3</f>
        <v>0</v>
      </c>
      <c r="AJ17" s="310">
        <f>+SUMIFS(Tabla1[Avance_Med],Tabla1[Fecha],"&gt;="&amp;$A17,Tabla1[Fecha],"&lt;="&amp;EOMONTH($A17,0),Tabla1[Codigo_actividad],AJ$4)*AJ$3</f>
        <v>0</v>
      </c>
      <c r="AK17" s="310">
        <f>+SUMIFS(Tabla1[Avance_Med],Tabla1[Fecha],"&gt;="&amp;$A17,Tabla1[Fecha],"&lt;="&amp;EOMONTH($A17,0),Tabla1[Codigo_actividad],AK$4)*AK$3</f>
        <v>0</v>
      </c>
      <c r="AL17" s="310">
        <f>+SUMIFS(Tabla1[Avance_km],Tabla1[Fecha],"&gt;="&amp;$A17,Tabla1[Fecha],"&lt;="&amp;EOMONTH($A17,0),Tabla1[Codigo_actividad],AL$4)*AL$3</f>
        <v>0</v>
      </c>
      <c r="AM17" s="310">
        <f>+SUMIFS(Tabla1[Avance_Med],Tabla1[Fecha],"&gt;="&amp;$A17,Tabla1[Fecha],"&lt;="&amp;EOMONTH($A17,0),Tabla1[Codigo_actividad],AM$4)*AM$3</f>
        <v>0</v>
      </c>
      <c r="AN17" s="309"/>
      <c r="AO17" s="304">
        <f t="shared" ref="AO17:AO19" si="1">SUM(B17:AN17)</f>
        <v>1307740.2623400006</v>
      </c>
      <c r="AT17"/>
      <c r="AU17"/>
      <c r="AV17"/>
      <c r="AW17"/>
      <c r="AX17"/>
    </row>
    <row r="18" spans="1:52" x14ac:dyDescent="0.25">
      <c r="A18" s="222">
        <v>46327</v>
      </c>
      <c r="B18" s="310">
        <v>0</v>
      </c>
      <c r="C18" s="310">
        <f>+SUMIFS(Tabla1[Avance_Med],Tabla1[Fecha],"&gt;="&amp;$A18,Tabla1[Fecha],"&lt;="&amp;EOMONTH($A18,0),Tabla1[Codigo_actividad],C$4)*C$3</f>
        <v>0</v>
      </c>
      <c r="D18" s="310">
        <f>+SUMIFS(Tabla1[Avance_Med],Tabla1[Fecha],"&gt;="&amp;$A18,Tabla1[Fecha],"&lt;="&amp;EOMONTH($A18,0),Tabla1[Codigo_actividad],D$4)*D$3</f>
        <v>0</v>
      </c>
      <c r="E18" s="310">
        <f>+SUMIFS(Tabla1[Avance_Med],Tabla1[Fecha],"&gt;="&amp;$A18,Tabla1[Fecha],"&lt;="&amp;EOMONTH($A18,0),Tabla1[Codigo_actividad],E$4)*E$3</f>
        <v>0</v>
      </c>
      <c r="F18" s="310">
        <f>+SUMIFS(Tabla1[Avance_Med],Tabla1[Fecha],"&gt;="&amp;$A18,Tabla1[Fecha],"&lt;="&amp;EOMONTH($A18,0),Tabla1[Codigo_actividad],F$4)*F$3</f>
        <v>0</v>
      </c>
      <c r="G18" s="310">
        <f>+SUMIFS(Tabla1[Avance_Med],Tabla1[Fecha],"&gt;="&amp;$A18,Tabla1[Fecha],"&lt;="&amp;EOMONTH($A18,0),Tabla1[Codigo_actividad],G$4)*G$3</f>
        <v>0</v>
      </c>
      <c r="H18" s="310">
        <f>+SUMIFS(Tabla1[Avance_km],Tabla1[Fecha],"&gt;="&amp;$A18,Tabla1[Fecha],"&lt;="&amp;EOMONTH($A18,0),Tabla1[Codigo_actividad],H$4)*H$3</f>
        <v>0</v>
      </c>
      <c r="I18" s="310"/>
      <c r="J18" s="310">
        <f>+SUMIFS(Tabla1[Avance_km],Tabla1[Fecha],"&gt;="&amp;$A18,Tabla1[Fecha],"&lt;="&amp;EOMONTH($A18,0),Tabla1[Codigo_actividad],J$4,Tabla1[Avance_km],"&gt;0")*J$3</f>
        <v>0</v>
      </c>
      <c r="K18" s="310">
        <f>SUMIFS(Tabla1[Avance_km],Tabla1[Fecha],"&gt;="&amp;$A18,Tabla1[Fecha],"&lt;="&amp;EOMONTH($A18,0),Tabla1[Codigo_actividad],K$4,Tabla1[Avance_km],"&gt;0")*K$3</f>
        <v>0</v>
      </c>
      <c r="L18" s="310">
        <f>+SUMIFS(Tabla1[Avance_Med],Tabla1[Fecha],"&gt;="&amp;$A18,Tabla1[Fecha],"&lt;="&amp;EOMONTH($A18,0),Tabla1[Codigo_actividad],L$4)*L$3</f>
        <v>0</v>
      </c>
      <c r="M18" s="310">
        <f>+SUMIFS(Tabla1[Avance_km],Tabla1[Fecha],"&gt;="&amp;$A18,Tabla1[Fecha],"&lt;="&amp;EOMONTH($A18,0),Tabla1[Codigo_actividad],M$4)*M$3</f>
        <v>0</v>
      </c>
      <c r="N18" s="310">
        <f>+SUMIFS(Tabla1[Avance_Med],Tabla1[Fecha],"&gt;="&amp;$A18,Tabla1[Fecha],"&lt;="&amp;EOMONTH($A18,0),Tabla1[Codigo_actividad],N$4)*N$3</f>
        <v>0</v>
      </c>
      <c r="O18" s="310">
        <f>+SUMIFS(Tabla1[Avance_Med],Tabla1[Fecha],"&gt;="&amp;$A18,Tabla1[Fecha],"&lt;="&amp;EOMONTH($A18,0),Tabla1[Codigo_actividad],O$4)*O$3</f>
        <v>0</v>
      </c>
      <c r="P18" s="310">
        <f>+SUMIFS(Tabla1[Avance_Med],Tabla1[Fecha],"&gt;="&amp;$A18,Tabla1[Fecha],"&lt;="&amp;EOMONTH($A18,0),Tabla1[Codigo_actividad],P$4)*P$3</f>
        <v>0</v>
      </c>
      <c r="Q18" s="310">
        <f>+SUMIFS(Tabla1[Avance_Med],Tabla1[Fecha],"&gt;="&amp;$A18,Tabla1[Fecha],"&lt;="&amp;EOMONTH($A18,0),Tabla1[Codigo_actividad],Q$4)*Q$3</f>
        <v>0</v>
      </c>
      <c r="R18" s="310">
        <f>+SUMIFS(Tabla1[Avance_Med],Tabla1[Fecha],"&gt;="&amp;$A18,Tabla1[Fecha],"&lt;="&amp;EOMONTH($A18,0),Tabla1[Codigo_actividad],R$4)*R$3</f>
        <v>0</v>
      </c>
      <c r="S18" s="310">
        <f>+SUMIFS(Tabla1[Avance_Med],Tabla1[Fecha],"&gt;="&amp;$A18,Tabla1[Fecha],"&lt;="&amp;EOMONTH($A18,0),Tabla1[Codigo_actividad],S$4)*S$3</f>
        <v>0</v>
      </c>
      <c r="T18" s="310">
        <f>+SUMIFS(Tabla1[Avance_Med],Tabla1[Fecha],"&gt;="&amp;$A18,Tabla1[Fecha],"&lt;="&amp;EOMONTH($A18,0),Tabla1[Codigo_actividad],T$4)*T$3</f>
        <v>0</v>
      </c>
      <c r="U18" s="310">
        <f>+SUMIFS(Tabla1[Avance_Med],Tabla1[Fecha],"&gt;="&amp;$A18,Tabla1[Fecha],"&lt;="&amp;EOMONTH($A18,0),Tabla1[Codigo_actividad],U$4)*U$3</f>
        <v>0</v>
      </c>
      <c r="V18" s="310">
        <f>+SUMIFS(Tabla1[Avance_Med],Tabla1[Fecha],"&gt;="&amp;$A18,Tabla1[Fecha],"&lt;="&amp;EOMONTH($A18,0),Tabla1[Codigo_actividad],V$4)*V$3</f>
        <v>0</v>
      </c>
      <c r="W18" s="310">
        <f>+SUMIFS(Tabla1[Avance_Med],Tabla1[Fecha],"&gt;="&amp;$A18,Tabla1[Fecha],"&lt;="&amp;EOMONTH($A18,0),Tabla1[Codigo_actividad],W$4)*W$3</f>
        <v>0</v>
      </c>
      <c r="X18" s="310">
        <f>+SUMIFS(Tabla1[Avance_Med],Tabla1[Fecha],"&gt;="&amp;$A18,Tabla1[Fecha],"&lt;="&amp;EOMONTH($A18,0),Tabla1[Codigo_actividad],X$4)*X$3</f>
        <v>0</v>
      </c>
      <c r="Y18" s="310">
        <f>+SUMIFS(Tabla1[Avance_Med],Tabla1[Fecha],"&gt;="&amp;$A18,Tabla1[Fecha],"&lt;="&amp;EOMONTH($A18,0),Tabla1[Codigo_actividad],Y$4)*Y$3</f>
        <v>0</v>
      </c>
      <c r="Z18" s="310">
        <f>+SUMIFS(Tabla1[Avance_Med],Tabla1[Fecha],"&gt;="&amp;$A18,Tabla1[Fecha],"&lt;="&amp;EOMONTH($A18,0),Tabla1[Codigo_actividad],Z$4)*Z$3</f>
        <v>0</v>
      </c>
      <c r="AA18" s="310">
        <f>+SUMIFS(Tabla1[Avance_Med],Tabla1[Fecha],"&gt;="&amp;$A18,Tabla1[Fecha],"&lt;="&amp;EOMONTH($A18,0),Tabla1[Codigo_actividad],AA$4)*AA$3</f>
        <v>0</v>
      </c>
      <c r="AB18" s="310">
        <f>+SUMIFS(Tabla1[Avance_Med],Tabla1[Fecha],"&gt;="&amp;$A18,Tabla1[Fecha],"&lt;="&amp;EOMONTH($A18,0),Tabla1[Codigo_actividad],AB$4)*AB$3</f>
        <v>0</v>
      </c>
      <c r="AC18" s="310">
        <f>+SUMIFS(Tabla1[Avance_Med],Tabla1[Fecha],"&gt;="&amp;$A18,Tabla1[Fecha],"&lt;="&amp;EOMONTH($A18,0),Tabla1[Codigo_actividad],AC$4)*AC$3</f>
        <v>0</v>
      </c>
      <c r="AD18" s="310">
        <f>+SUMIFS(Tabla1[Avance_Med],Tabla1[Fecha],"&gt;="&amp;$A18,Tabla1[Fecha],"&lt;="&amp;EOMONTH($A18,0),Tabla1[Codigo_actividad],AD$4)*AD$3</f>
        <v>0</v>
      </c>
      <c r="AE18" s="310">
        <f>+SUMIFS(Tabla1[Avance_Med],Tabla1[Fecha],"&gt;="&amp;$A18,Tabla1[Fecha],"&lt;="&amp;EOMONTH($A18,0),Tabla1[Codigo_actividad],AE$4)*AE$3</f>
        <v>0</v>
      </c>
      <c r="AF18" s="310">
        <f>+SUMIFS(Tabla1[Avance_Med],Tabla1[Fecha],"&gt;="&amp;$A18,Tabla1[Fecha],"&lt;="&amp;EOMONTH($A18,0),Tabla1[Codigo_actividad],AF$4)*AF$3</f>
        <v>0</v>
      </c>
      <c r="AG18" s="310">
        <f>+SUMIFS(Tabla1[Avance_Med],Tabla1[Fecha],"&gt;="&amp;$A18,Tabla1[Fecha],"&lt;="&amp;EOMONTH($A18,0),Tabla1[Codigo_actividad],AG$4)*AG$3</f>
        <v>0</v>
      </c>
      <c r="AH18" s="310">
        <f>+SUMIFS(Tabla1[Avance_Med],Tabla1[Fecha],"&gt;="&amp;$A18,Tabla1[Fecha],"&lt;="&amp;EOMONTH($A18,0),Tabla1[Codigo_actividad],AH$4)*AH$3</f>
        <v>0</v>
      </c>
      <c r="AI18" s="310">
        <f>+SUMIFS(Tabla1[Avance_Med],Tabla1[Fecha],"&gt;="&amp;$A18,Tabla1[Fecha],"&lt;="&amp;EOMONTH($A18,0),Tabla1[Codigo_actividad],AI$4)*AI$3</f>
        <v>0</v>
      </c>
      <c r="AJ18" s="310">
        <f>+SUMIFS(Tabla1[Avance_Med],Tabla1[Fecha],"&gt;="&amp;$A18,Tabla1[Fecha],"&lt;="&amp;EOMONTH($A18,0),Tabla1[Codigo_actividad],AJ$4)*AJ$3</f>
        <v>0</v>
      </c>
      <c r="AK18" s="310">
        <f>+SUMIFS(Tabla1[Avance_Med],Tabla1[Fecha],"&gt;="&amp;$A18,Tabla1[Fecha],"&lt;="&amp;EOMONTH($A18,0),Tabla1[Codigo_actividad],AK$4)*AK$3</f>
        <v>0</v>
      </c>
      <c r="AL18" s="310">
        <f>+SUMIFS(Tabla1[Avance_km],Tabla1[Fecha],"&gt;="&amp;$A18,Tabla1[Fecha],"&lt;="&amp;EOMONTH($A18,0),Tabla1[Codigo_actividad],AL$4)*AL$3</f>
        <v>0</v>
      </c>
      <c r="AM18" s="310">
        <f>+SUMIFS(Tabla1[Avance_Med],Tabla1[Fecha],"&gt;="&amp;$A18,Tabla1[Fecha],"&lt;="&amp;EOMONTH($A18,0),Tabla1[Codigo_actividad],AM$4)*AM$3</f>
        <v>0</v>
      </c>
      <c r="AN18" s="309"/>
      <c r="AO18" s="304">
        <f t="shared" si="1"/>
        <v>0</v>
      </c>
      <c r="AT18"/>
      <c r="AU18"/>
      <c r="AV18"/>
      <c r="AW18"/>
      <c r="AX18"/>
    </row>
    <row r="19" spans="1:52" x14ac:dyDescent="0.25">
      <c r="A19" s="222">
        <v>46357</v>
      </c>
      <c r="B19" s="310">
        <v>0</v>
      </c>
      <c r="C19" s="310">
        <f>+SUMIFS(Tabla1[Avance_Med],Tabla1[Fecha],"&gt;="&amp;$A19,Tabla1[Fecha],"&lt;="&amp;EOMONTH($A19,0),Tabla1[Codigo_actividad],C$4)*C$3</f>
        <v>0</v>
      </c>
      <c r="D19" s="310">
        <f>+SUMIFS(Tabla1[Avance_Med],Tabla1[Fecha],"&gt;="&amp;$A19,Tabla1[Fecha],"&lt;="&amp;EOMONTH($A19,0),Tabla1[Codigo_actividad],D$4)*D$3</f>
        <v>0</v>
      </c>
      <c r="E19" s="310">
        <f>+SUMIFS(Tabla1[Avance_Med],Tabla1[Fecha],"&gt;="&amp;$A19,Tabla1[Fecha],"&lt;="&amp;EOMONTH($A19,0),Tabla1[Codigo_actividad],E$4)*E$3</f>
        <v>0</v>
      </c>
      <c r="F19" s="310">
        <f>+SUMIFS(Tabla1[Avance_Med],Tabla1[Fecha],"&gt;="&amp;$A19,Tabla1[Fecha],"&lt;="&amp;EOMONTH($A19,0),Tabla1[Codigo_actividad],F$4)*F$3</f>
        <v>0</v>
      </c>
      <c r="G19" s="310">
        <f>+SUMIFS(Tabla1[Avance_Med],Tabla1[Fecha],"&gt;="&amp;$A19,Tabla1[Fecha],"&lt;="&amp;EOMONTH($A19,0),Tabla1[Codigo_actividad],G$4)*G$3</f>
        <v>0</v>
      </c>
      <c r="H19" s="310">
        <f>+SUMIFS(Tabla1[Avance_km],Tabla1[Fecha],"&gt;="&amp;$A19,Tabla1[Fecha],"&lt;="&amp;EOMONTH($A19,0),Tabla1[Codigo_actividad],H$4)*H$3</f>
        <v>0</v>
      </c>
      <c r="I19" s="310"/>
      <c r="J19" s="310">
        <f>+SUMIFS(Tabla1[Avance_km],Tabla1[Fecha],"&gt;="&amp;$A19,Tabla1[Fecha],"&lt;="&amp;EOMONTH($A19,0),Tabla1[Codigo_actividad],J$4,Tabla1[Avance_km],"&gt;0")*J$3</f>
        <v>0</v>
      </c>
      <c r="K19" s="310">
        <f>SUMIFS(Tabla1[Avance_km],Tabla1[Fecha],"&gt;="&amp;$A19,Tabla1[Fecha],"&lt;="&amp;EOMONTH($A19,0),Tabla1[Codigo_actividad],K$4,Tabla1[Avance_km],"&gt;0")*K$3</f>
        <v>0</v>
      </c>
      <c r="L19" s="310">
        <f>+SUMIFS(Tabla1[Avance_Med],Tabla1[Fecha],"&gt;="&amp;$A19,Tabla1[Fecha],"&lt;="&amp;EOMONTH($A19,0),Tabla1[Codigo_actividad],L$4)*L$3</f>
        <v>0</v>
      </c>
      <c r="M19" s="310">
        <f>+SUMIFS(Tabla1[Avance_km],Tabla1[Fecha],"&gt;="&amp;$A19,Tabla1[Fecha],"&lt;="&amp;EOMONTH($A19,0),Tabla1[Codigo_actividad],M$4)*M$3</f>
        <v>0</v>
      </c>
      <c r="N19" s="310">
        <f>+SUMIFS(Tabla1[Avance_Med],Tabla1[Fecha],"&gt;="&amp;$A19,Tabla1[Fecha],"&lt;="&amp;EOMONTH($A19,0),Tabla1[Codigo_actividad],N$4)*N$3</f>
        <v>0</v>
      </c>
      <c r="O19" s="310">
        <f>+SUMIFS(Tabla1[Avance_Med],Tabla1[Fecha],"&gt;="&amp;$A19,Tabla1[Fecha],"&lt;="&amp;EOMONTH($A19,0),Tabla1[Codigo_actividad],O$4)*O$3</f>
        <v>0</v>
      </c>
      <c r="P19" s="310">
        <f>+SUMIFS(Tabla1[Avance_Med],Tabla1[Fecha],"&gt;="&amp;$A19,Tabla1[Fecha],"&lt;="&amp;EOMONTH($A19,0),Tabla1[Codigo_actividad],P$4)*P$3</f>
        <v>0</v>
      </c>
      <c r="Q19" s="310">
        <f>+SUMIFS(Tabla1[Avance_Med],Tabla1[Fecha],"&gt;="&amp;$A19,Tabla1[Fecha],"&lt;="&amp;EOMONTH($A19,0),Tabla1[Codigo_actividad],Q$4)*Q$3</f>
        <v>0</v>
      </c>
      <c r="R19" s="310">
        <f>+SUMIFS(Tabla1[Avance_Med],Tabla1[Fecha],"&gt;="&amp;$A19,Tabla1[Fecha],"&lt;="&amp;EOMONTH($A19,0),Tabla1[Codigo_actividad],R$4)*R$3</f>
        <v>0</v>
      </c>
      <c r="S19" s="310">
        <f>+SUMIFS(Tabla1[Avance_Med],Tabla1[Fecha],"&gt;="&amp;$A19,Tabla1[Fecha],"&lt;="&amp;EOMONTH($A19,0),Tabla1[Codigo_actividad],S$4)*S$3</f>
        <v>0</v>
      </c>
      <c r="T19" s="310">
        <f>+SUMIFS(Tabla1[Avance_Med],Tabla1[Fecha],"&gt;="&amp;$A19,Tabla1[Fecha],"&lt;="&amp;EOMONTH($A19,0),Tabla1[Codigo_actividad],T$4)*T$3</f>
        <v>0</v>
      </c>
      <c r="U19" s="310">
        <f>+SUMIFS(Tabla1[Avance_Med],Tabla1[Fecha],"&gt;="&amp;$A19,Tabla1[Fecha],"&lt;="&amp;EOMONTH($A19,0),Tabla1[Codigo_actividad],U$4)*U$3</f>
        <v>0</v>
      </c>
      <c r="V19" s="310">
        <f>+SUMIFS(Tabla1[Avance_Med],Tabla1[Fecha],"&gt;="&amp;$A19,Tabla1[Fecha],"&lt;="&amp;EOMONTH($A19,0),Tabla1[Codigo_actividad],V$4)*V$3</f>
        <v>0</v>
      </c>
      <c r="W19" s="310">
        <f>+SUMIFS(Tabla1[Avance_Med],Tabla1[Fecha],"&gt;="&amp;$A19,Tabla1[Fecha],"&lt;="&amp;EOMONTH($A19,0),Tabla1[Codigo_actividad],W$4)*W$3</f>
        <v>0</v>
      </c>
      <c r="X19" s="310">
        <f>+SUMIFS(Tabla1[Avance_Med],Tabla1[Fecha],"&gt;="&amp;$A19,Tabla1[Fecha],"&lt;="&amp;EOMONTH($A19,0),Tabla1[Codigo_actividad],X$4)*X$3</f>
        <v>0</v>
      </c>
      <c r="Y19" s="310">
        <f>+SUMIFS(Tabla1[Avance_Med],Tabla1[Fecha],"&gt;="&amp;$A19,Tabla1[Fecha],"&lt;="&amp;EOMONTH($A19,0),Tabla1[Codigo_actividad],Y$4)*Y$3</f>
        <v>0</v>
      </c>
      <c r="Z19" s="310">
        <f>+SUMIFS(Tabla1[Avance_Med],Tabla1[Fecha],"&gt;="&amp;$A19,Tabla1[Fecha],"&lt;="&amp;EOMONTH($A19,0),Tabla1[Codigo_actividad],Z$4)*Z$3</f>
        <v>0</v>
      </c>
      <c r="AA19" s="310">
        <f>+SUMIFS(Tabla1[Avance_Med],Tabla1[Fecha],"&gt;="&amp;$A19,Tabla1[Fecha],"&lt;="&amp;EOMONTH($A19,0),Tabla1[Codigo_actividad],AA$4)*AA$3</f>
        <v>0</v>
      </c>
      <c r="AB19" s="310">
        <f>+SUMIFS(Tabla1[Avance_Med],Tabla1[Fecha],"&gt;="&amp;$A19,Tabla1[Fecha],"&lt;="&amp;EOMONTH($A19,0),Tabla1[Codigo_actividad],AB$4)*AB$3</f>
        <v>0</v>
      </c>
      <c r="AC19" s="310">
        <f>+SUMIFS(Tabla1[Avance_Med],Tabla1[Fecha],"&gt;="&amp;$A19,Tabla1[Fecha],"&lt;="&amp;EOMONTH($A19,0),Tabla1[Codigo_actividad],AC$4)*AC$3</f>
        <v>0</v>
      </c>
      <c r="AD19" s="310">
        <f>+SUMIFS(Tabla1[Avance_Med],Tabla1[Fecha],"&gt;="&amp;$A19,Tabla1[Fecha],"&lt;="&amp;EOMONTH($A19,0),Tabla1[Codigo_actividad],AD$4)*AD$3</f>
        <v>0</v>
      </c>
      <c r="AE19" s="310">
        <f>+SUMIFS(Tabla1[Avance_Med],Tabla1[Fecha],"&gt;="&amp;$A19,Tabla1[Fecha],"&lt;="&amp;EOMONTH($A19,0),Tabla1[Codigo_actividad],AE$4)*AE$3</f>
        <v>0</v>
      </c>
      <c r="AF19" s="310">
        <f>+SUMIFS(Tabla1[Avance_Med],Tabla1[Fecha],"&gt;="&amp;$A19,Tabla1[Fecha],"&lt;="&amp;EOMONTH($A19,0),Tabla1[Codigo_actividad],AF$4)*AF$3</f>
        <v>0</v>
      </c>
      <c r="AG19" s="310">
        <f>+SUMIFS(Tabla1[Avance_Med],Tabla1[Fecha],"&gt;="&amp;$A19,Tabla1[Fecha],"&lt;="&amp;EOMONTH($A19,0),Tabla1[Codigo_actividad],AG$4)*AG$3</f>
        <v>0</v>
      </c>
      <c r="AH19" s="310">
        <f>+SUMIFS(Tabla1[Avance_Med],Tabla1[Fecha],"&gt;="&amp;$A19,Tabla1[Fecha],"&lt;="&amp;EOMONTH($A19,0),Tabla1[Codigo_actividad],AH$4)*AH$3</f>
        <v>0</v>
      </c>
      <c r="AI19" s="310">
        <f>+SUMIFS(Tabla1[Avance_Med],Tabla1[Fecha],"&gt;="&amp;$A19,Tabla1[Fecha],"&lt;="&amp;EOMONTH($A19,0),Tabla1[Codigo_actividad],AI$4)*AI$3</f>
        <v>0</v>
      </c>
      <c r="AJ19" s="310">
        <f>+SUMIFS(Tabla1[Avance_Med],Tabla1[Fecha],"&gt;="&amp;$A19,Tabla1[Fecha],"&lt;="&amp;EOMONTH($A19,0),Tabla1[Codigo_actividad],AJ$4)*AJ$3</f>
        <v>0</v>
      </c>
      <c r="AK19" s="310">
        <f>+SUMIFS(Tabla1[Avance_Med],Tabla1[Fecha],"&gt;="&amp;$A19,Tabla1[Fecha],"&lt;="&amp;EOMONTH($A19,0),Tabla1[Codigo_actividad],AK$4)*AK$3</f>
        <v>0</v>
      </c>
      <c r="AL19" s="310">
        <f>+SUMIFS(Tabla1[Avance_km],Tabla1[Fecha],"&gt;="&amp;$A19,Tabla1[Fecha],"&lt;="&amp;EOMONTH($A19,0),Tabla1[Codigo_actividad],AL$4)*AL$3</f>
        <v>0</v>
      </c>
      <c r="AM19" s="310">
        <f>+SUMIFS(Tabla1[Avance_Med],Tabla1[Fecha],"&gt;="&amp;$A19,Tabla1[Fecha],"&lt;="&amp;EOMONTH($A19,0),Tabla1[Codigo_actividad],AM$4)*AM$3</f>
        <v>0</v>
      </c>
      <c r="AN19" s="309"/>
      <c r="AO19" s="304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05">
        <f>SUM(AO5:AO19)+AO25</f>
        <v>89370.549240002409</v>
      </c>
      <c r="AQ20" s="412">
        <f>+AO20/AO5</f>
        <v>-8.0060176467205667E-3</v>
      </c>
      <c r="AT20"/>
      <c r="AU20"/>
      <c r="AV20"/>
      <c r="AW20"/>
      <c r="AX20"/>
    </row>
    <row r="21" spans="1:52" x14ac:dyDescent="0.25">
      <c r="A21"/>
      <c r="B21" s="306">
        <f>SUM(B6:B19)</f>
        <v>293805.96000000002</v>
      </c>
      <c r="C21" s="306">
        <f t="shared" ref="C21:AM21" si="2">SUM(C6:C19)</f>
        <v>377001.16000000003</v>
      </c>
      <c r="D21" s="306">
        <f t="shared" si="2"/>
        <v>114297.12000000001</v>
      </c>
      <c r="E21" s="306">
        <f t="shared" si="2"/>
        <v>123298.72</v>
      </c>
      <c r="F21" s="306">
        <f t="shared" si="2"/>
        <v>155121</v>
      </c>
      <c r="G21" s="306">
        <f t="shared" si="2"/>
        <v>183420.36000000002</v>
      </c>
      <c r="H21" s="437">
        <f>SUM(H6:H19)</f>
        <v>2649249.7368750004</v>
      </c>
      <c r="I21" s="307">
        <f t="shared" si="2"/>
        <v>0</v>
      </c>
      <c r="J21" s="437">
        <f t="shared" si="2"/>
        <v>2037743.3019349999</v>
      </c>
      <c r="K21" s="306">
        <f t="shared" si="2"/>
        <v>1627004.0999999999</v>
      </c>
      <c r="L21" s="306">
        <f t="shared" si="2"/>
        <v>1844568</v>
      </c>
      <c r="M21" s="437">
        <f t="shared" si="2"/>
        <v>421384.69043000002</v>
      </c>
      <c r="N21" s="306">
        <f t="shared" si="2"/>
        <v>325691.03999999998</v>
      </c>
      <c r="O21" s="306">
        <f t="shared" si="2"/>
        <v>243457.76</v>
      </c>
      <c r="P21" s="306">
        <f t="shared" si="2"/>
        <v>181299.80000000002</v>
      </c>
      <c r="Q21" s="306">
        <f t="shared" si="2"/>
        <v>113789.84999999999</v>
      </c>
      <c r="R21" s="306">
        <f t="shared" si="2"/>
        <v>28249.439999999995</v>
      </c>
      <c r="S21" s="306">
        <f t="shared" si="2"/>
        <v>30953.439999999995</v>
      </c>
      <c r="T21" s="306">
        <f t="shared" si="2"/>
        <v>31369.439999999995</v>
      </c>
      <c r="U21" s="306">
        <f t="shared" si="2"/>
        <v>4441.18</v>
      </c>
      <c r="V21" s="306">
        <f t="shared" si="2"/>
        <v>35529.440000000002</v>
      </c>
      <c r="W21" s="306">
        <f t="shared" si="2"/>
        <v>6271.77</v>
      </c>
      <c r="X21" s="306">
        <f t="shared" si="2"/>
        <v>8362.36</v>
      </c>
      <c r="Y21" s="306">
        <f t="shared" si="2"/>
        <v>9184</v>
      </c>
      <c r="Z21" s="306">
        <f t="shared" si="2"/>
        <v>65464</v>
      </c>
      <c r="AA21" s="306">
        <f t="shared" si="2"/>
        <v>0</v>
      </c>
      <c r="AB21" s="306">
        <f t="shared" si="2"/>
        <v>0</v>
      </c>
      <c r="AC21" s="306">
        <f t="shared" si="2"/>
        <v>0</v>
      </c>
      <c r="AD21" s="306">
        <f t="shared" si="2"/>
        <v>0</v>
      </c>
      <c r="AE21" s="306">
        <f t="shared" si="2"/>
        <v>0</v>
      </c>
      <c r="AF21" s="306">
        <f t="shared" si="2"/>
        <v>0</v>
      </c>
      <c r="AG21" s="306">
        <f t="shared" si="2"/>
        <v>0</v>
      </c>
      <c r="AH21" s="306">
        <f t="shared" si="2"/>
        <v>0</v>
      </c>
      <c r="AI21" s="306">
        <f t="shared" si="2"/>
        <v>0</v>
      </c>
      <c r="AJ21" s="306">
        <f t="shared" si="2"/>
        <v>173864.40000000002</v>
      </c>
      <c r="AK21" s="306">
        <f t="shared" si="2"/>
        <v>167470.32</v>
      </c>
      <c r="AL21" s="306">
        <f t="shared" si="2"/>
        <v>0</v>
      </c>
      <c r="AM21" s="306">
        <f t="shared" si="2"/>
        <v>0</v>
      </c>
      <c r="AN21" s="223"/>
      <c r="AO21" s="411">
        <f>+IF(SUM(AO6:AO19)=SUM(B21:AM21),SUM(AO6:AO19))</f>
        <v>11252292.389240002</v>
      </c>
      <c r="AQ21" s="413">
        <f>-AO21/AO5</f>
        <v>1.0080060176467205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1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3"/>
      <c r="G23"/>
      <c r="H23"/>
      <c r="I23"/>
      <c r="J23"/>
      <c r="K23" s="108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4">
        <f>+B22-B23</f>
        <v>0</v>
      </c>
      <c r="C24" s="484"/>
      <c r="D24" s="484"/>
      <c r="E24" s="484"/>
      <c r="F24" s="484"/>
      <c r="G24" s="484"/>
      <c r="H24"/>
      <c r="I24"/>
      <c r="J24"/>
      <c r="K24" s="484"/>
      <c r="L24" s="484"/>
      <c r="M24" s="484"/>
      <c r="N24" s="484"/>
      <c r="O24" s="484"/>
      <c r="P24" s="484"/>
      <c r="Q24" s="484"/>
      <c r="R24" s="484"/>
      <c r="S24" s="484"/>
      <c r="T24" s="484"/>
      <c r="U24" s="484"/>
      <c r="V24" s="484"/>
      <c r="W24" s="484"/>
      <c r="X24" s="484"/>
      <c r="Y24" s="484"/>
      <c r="Z24" s="484"/>
      <c r="AA24" s="484"/>
      <c r="AB24" s="484"/>
      <c r="AC24" s="484"/>
      <c r="AD24" s="484"/>
      <c r="AE24" s="484"/>
      <c r="AF24" s="484"/>
      <c r="AG24" s="484"/>
      <c r="AH24" s="484"/>
      <c r="AI24" s="484"/>
      <c r="AJ24" s="484"/>
      <c r="AK24" s="484"/>
      <c r="AL24"/>
      <c r="AM24"/>
      <c r="AN24"/>
      <c r="AO24" s="479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79"/>
      <c r="AP25"/>
      <c r="AT25"/>
      <c r="AU25"/>
      <c r="AV25"/>
      <c r="AW25"/>
      <c r="AX25"/>
      <c r="AY25"/>
      <c r="AZ25"/>
    </row>
    <row r="26" spans="1:52" x14ac:dyDescent="0.25">
      <c r="A26" s="222">
        <v>45962</v>
      </c>
      <c r="B26" s="303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 s="305"/>
      <c r="AP26"/>
      <c r="AT26"/>
      <c r="AU26"/>
      <c r="AV26"/>
      <c r="AW26"/>
      <c r="AX26"/>
      <c r="AY26"/>
      <c r="AZ26"/>
    </row>
    <row r="27" spans="1:52" x14ac:dyDescent="0.25">
      <c r="A27" s="222">
        <v>45992</v>
      </c>
      <c r="B27" s="303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05"/>
      <c r="AP27"/>
      <c r="AT27"/>
      <c r="AU27"/>
      <c r="AV27"/>
      <c r="AW27"/>
      <c r="AX27"/>
      <c r="AY27"/>
      <c r="AZ27"/>
    </row>
    <row r="28" spans="1:52" x14ac:dyDescent="0.25">
      <c r="A28" s="222">
        <v>46023</v>
      </c>
      <c r="B28" s="303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17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17"/>
      <c r="AP28"/>
      <c r="AT28"/>
      <c r="AU28"/>
      <c r="AV28"/>
      <c r="AW28"/>
      <c r="AX28"/>
      <c r="AY28"/>
      <c r="AZ28"/>
    </row>
    <row r="29" spans="1:52" x14ac:dyDescent="0.25">
      <c r="A29" s="222">
        <v>46054</v>
      </c>
      <c r="B29" s="303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17"/>
      <c r="AP29"/>
      <c r="AT29"/>
      <c r="AU29"/>
      <c r="AV29"/>
      <c r="AW29"/>
      <c r="AX29"/>
      <c r="AY29"/>
      <c r="AZ29"/>
    </row>
    <row r="30" spans="1:52" x14ac:dyDescent="0.25">
      <c r="A30" s="222">
        <v>46082</v>
      </c>
      <c r="B30" s="303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2">
        <v>46113</v>
      </c>
      <c r="B31" s="303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0"/>
      <c r="AP31"/>
      <c r="AT31"/>
      <c r="AU31"/>
      <c r="AV31"/>
      <c r="AW31"/>
      <c r="AX31"/>
      <c r="AY31"/>
      <c r="AZ31"/>
    </row>
    <row r="32" spans="1:52" x14ac:dyDescent="0.25">
      <c r="A32" s="222">
        <v>46143</v>
      </c>
      <c r="B32" s="303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2">
        <v>46174</v>
      </c>
      <c r="B33" s="303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2">
        <v>46204</v>
      </c>
      <c r="B34" s="303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2">
        <v>46235</v>
      </c>
      <c r="B35" s="303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2">
        <v>46266</v>
      </c>
      <c r="B36" s="303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2">
        <v>46296</v>
      </c>
      <c r="B37" s="303">
        <f>+SUMIFS(Tabla1[EV],Tabla1[Fecha],"&gt;="&amp;$A37,Tabla1[Fecha],"&lt;="&amp;EOMONTH($A37,0),Tabla1[EV],"&gt;0")</f>
        <v>1307740.2623400004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08">
        <f>SUM(B26:B37)</f>
        <v>11252292.38924</v>
      </c>
      <c r="C38" s="289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17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38" priority="1" stopIfTrue="1">
      <formula>B6=0</formula>
    </cfRule>
    <cfRule type="expression" dxfId="3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D26" sqref="D2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0" customFormat="1" ht="129.75" x14ac:dyDescent="0.25">
      <c r="B1" s="291" t="s">
        <v>276</v>
      </c>
      <c r="C1" s="291" t="s">
        <v>278</v>
      </c>
      <c r="D1" s="291" t="s">
        <v>280</v>
      </c>
      <c r="E1" s="291" t="s">
        <v>282</v>
      </c>
      <c r="F1" s="291" t="s">
        <v>284</v>
      </c>
      <c r="G1" s="291" t="s">
        <v>286</v>
      </c>
      <c r="H1" s="293" t="s">
        <v>79</v>
      </c>
      <c r="I1" s="293" t="s">
        <v>82</v>
      </c>
      <c r="J1" s="293" t="s">
        <v>80</v>
      </c>
      <c r="K1" s="293" t="s">
        <v>83</v>
      </c>
      <c r="L1" s="293" t="s">
        <v>81</v>
      </c>
      <c r="M1" s="293" t="s">
        <v>78</v>
      </c>
      <c r="N1" s="293" t="s">
        <v>294</v>
      </c>
      <c r="O1" s="293" t="s">
        <v>296</v>
      </c>
      <c r="P1" s="295" t="s">
        <v>298</v>
      </c>
      <c r="Q1" s="295" t="s">
        <v>415</v>
      </c>
      <c r="R1" s="295" t="s">
        <v>416</v>
      </c>
      <c r="S1" s="295" t="s">
        <v>423</v>
      </c>
      <c r="T1" s="295" t="s">
        <v>417</v>
      </c>
      <c r="U1" s="295" t="s">
        <v>424</v>
      </c>
      <c r="V1" s="295" t="s">
        <v>422</v>
      </c>
      <c r="W1" s="295" t="s">
        <v>418</v>
      </c>
      <c r="X1" s="295" t="s">
        <v>425</v>
      </c>
      <c r="Y1" s="295" t="s">
        <v>420</v>
      </c>
      <c r="Z1" s="295" t="s">
        <v>419</v>
      </c>
      <c r="AA1" s="295" t="s">
        <v>421</v>
      </c>
      <c r="AB1" s="297" t="s">
        <v>426</v>
      </c>
      <c r="AC1" s="297" t="s">
        <v>427</v>
      </c>
      <c r="AD1" s="297" t="s">
        <v>428</v>
      </c>
      <c r="AE1" s="297" t="s">
        <v>429</v>
      </c>
      <c r="AF1" s="297" t="s">
        <v>430</v>
      </c>
      <c r="AG1" s="297" t="s">
        <v>431</v>
      </c>
      <c r="AH1" s="297" t="s">
        <v>432</v>
      </c>
      <c r="AI1" s="297" t="s">
        <v>433</v>
      </c>
      <c r="AJ1" s="297" t="s">
        <v>434</v>
      </c>
      <c r="AK1" s="297" t="s">
        <v>435</v>
      </c>
      <c r="AL1" s="297" t="s">
        <v>436</v>
      </c>
      <c r="AM1" s="297" t="s">
        <v>437</v>
      </c>
    </row>
    <row r="2" spans="1:39" s="76" customFormat="1" x14ac:dyDescent="0.25">
      <c r="B2" s="292" t="s">
        <v>97</v>
      </c>
      <c r="C2" s="292" t="s">
        <v>97</v>
      </c>
      <c r="D2" s="292" t="s">
        <v>97</v>
      </c>
      <c r="E2" s="292" t="s">
        <v>97</v>
      </c>
      <c r="F2" s="292" t="s">
        <v>97</v>
      </c>
      <c r="G2" s="292" t="s">
        <v>97</v>
      </c>
      <c r="H2" s="294" t="s">
        <v>108</v>
      </c>
      <c r="I2" s="294" t="s">
        <v>108</v>
      </c>
      <c r="J2" s="294" t="s">
        <v>108</v>
      </c>
      <c r="K2" s="294" t="s">
        <v>108</v>
      </c>
      <c r="L2" s="294" t="s">
        <v>113</v>
      </c>
      <c r="M2" s="294" t="s">
        <v>108</v>
      </c>
      <c r="N2" s="294" t="s">
        <v>97</v>
      </c>
      <c r="O2" s="294" t="s">
        <v>97</v>
      </c>
      <c r="P2" s="296" t="s">
        <v>118</v>
      </c>
      <c r="Q2" s="296" t="s">
        <v>439</v>
      </c>
      <c r="R2" s="296" t="s">
        <v>439</v>
      </c>
      <c r="S2" s="296" t="s">
        <v>126</v>
      </c>
      <c r="T2" s="296" t="s">
        <v>126</v>
      </c>
      <c r="U2" s="296" t="s">
        <v>126</v>
      </c>
      <c r="V2" s="296" t="s">
        <v>126</v>
      </c>
      <c r="W2" s="296" t="s">
        <v>126</v>
      </c>
      <c r="X2" s="296" t="s">
        <v>126</v>
      </c>
      <c r="Y2" s="296" t="s">
        <v>126</v>
      </c>
      <c r="Z2" s="296" t="s">
        <v>126</v>
      </c>
      <c r="AA2" s="296" t="s">
        <v>97</v>
      </c>
      <c r="AB2" s="298" t="s">
        <v>97</v>
      </c>
      <c r="AC2" s="298" t="s">
        <v>97</v>
      </c>
      <c r="AD2" s="298" t="s">
        <v>97</v>
      </c>
      <c r="AE2" s="298" t="s">
        <v>97</v>
      </c>
      <c r="AF2" s="298" t="s">
        <v>97</v>
      </c>
      <c r="AG2" s="298" t="s">
        <v>97</v>
      </c>
      <c r="AH2" s="298" t="s">
        <v>97</v>
      </c>
      <c r="AI2" s="298" t="s">
        <v>97</v>
      </c>
      <c r="AJ2" s="298" t="s">
        <v>438</v>
      </c>
      <c r="AK2" s="298" t="s">
        <v>438</v>
      </c>
      <c r="AL2" s="298" t="s">
        <v>438</v>
      </c>
      <c r="AM2" s="298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2" t="s">
        <v>523</v>
      </c>
      <c r="AL4" s="1">
        <v>4.1100000000000003</v>
      </c>
      <c r="AM4" s="1">
        <v>4.12</v>
      </c>
    </row>
    <row r="5" spans="1:39" x14ac:dyDescent="0.25">
      <c r="A5" s="222">
        <v>45962</v>
      </c>
      <c r="B5" s="227">
        <f>+SUMIFS(Tabla1[Avance_Med],Tabla1[Fecha],"&gt;="&amp;$A5,Tabla1[Fecha],"&lt;="&amp;EOMONTH($A5,0),Tabla1[Codigo_actividad],B$4)*B$3</f>
        <v>0</v>
      </c>
      <c r="C5" s="227">
        <f>+SUMIFS(Tabla1[Avance_Med],Tabla1[Fecha],"&gt;="&amp;$A5,Tabla1[Fecha],"&lt;="&amp;EOMONTH($A5,0),Tabla1[Codigo_actividad],C$4)*C$3</f>
        <v>0</v>
      </c>
      <c r="D5" s="227">
        <f>+SUMIFS(Tabla1[Avance_Med],Tabla1[Fecha],"&gt;="&amp;$A5,Tabla1[Fecha],"&lt;="&amp;EOMONTH($A5,0),Tabla1[Codigo_actividad],D$4)*D$3</f>
        <v>0</v>
      </c>
      <c r="E5" s="227">
        <f>+SUMIFS(Tabla1[Avance_Med],Tabla1[Fecha],"&gt;="&amp;$A5,Tabla1[Fecha],"&lt;="&amp;EOMONTH($A5,0),Tabla1[Codigo_actividad],E$4)*E$3</f>
        <v>0</v>
      </c>
      <c r="F5" s="227">
        <f>+SUMIFS(Tabla1[Avance_Med],Tabla1[Fecha],"&gt;="&amp;$A5,Tabla1[Fecha],"&lt;="&amp;EOMONTH($A5,0),Tabla1[Codigo_actividad],F$4)*F$3</f>
        <v>0</v>
      </c>
      <c r="G5" s="227">
        <f>+SUMIFS(Tabla1[Avance_Med],Tabla1[Fecha],"&gt;="&amp;$A5,Tabla1[Fecha],"&lt;="&amp;EOMONTH($A5,0),Tabla1[Codigo_actividad],G$4)*G$3</f>
        <v>0</v>
      </c>
      <c r="H5" s="339">
        <f>+SUMIFS(Tabla1[Avance_km],Tabla1[Fecha],"&gt;="&amp;$A5,Tabla1[Fecha],"&lt;="&amp;EOMONTH($A5,0),Tabla1[Codigo_actividad],H$4)*H$3</f>
        <v>31.548999999999999</v>
      </c>
      <c r="I5" s="227"/>
      <c r="J5" s="339">
        <f>+SUMIFS(Tabla1[Avance_km],Tabla1[Fecha],"&gt;="&amp;$A5,Tabla1[Fecha],"&lt;="&amp;EOMONTH($A5,0),Tabla1[Codigo_actividad],J$4, Tabla1[Avance_km],"&gt;0")*J$3</f>
        <v>53.048999999999999</v>
      </c>
      <c r="K5" s="477">
        <f>ROUND(SUMIFS(Tabla1[Avance_km],Tabla1[Fecha],"&gt;="&amp;$A5,Tabla1[Fecha],"&lt;="&amp;EOMONTH($A5,0),Tabla1[Codigo_actividad],K$4,Tabla1[Avance_km],"&gt;0"),3)*K$3</f>
        <v>0</v>
      </c>
      <c r="L5" s="227">
        <f>+SUMIFS(Tabla1[Avance_Med],Tabla1[Fecha],"&gt;="&amp;$A5,Tabla1[Fecha],"&lt;="&amp;EOMONTH($A5,0),Tabla1[Codigo_actividad],L$4)*L$3</f>
        <v>98</v>
      </c>
      <c r="M5" s="339">
        <f>+SUMIFS(Tabla1[Avance_km],Tabla1[Fecha],"&gt;="&amp;$A5,Tabla1[Fecha],"&lt;="&amp;EOMONTH($A5,0),Tabla1[Codigo_actividad],M$4)*M$3</f>
        <v>72.02200000000002</v>
      </c>
      <c r="N5" s="227">
        <f>+SUMIFS(Tabla1[Avance_Med],Tabla1[Fecha],"&gt;="&amp;$A5,Tabla1[Fecha],"&lt;="&amp;EOMONTH($A5,0),Tabla1[Codigo_actividad],N$4)*N$3</f>
        <v>0</v>
      </c>
      <c r="O5" s="227">
        <f>+SUMIFS(Tabla1[Avance_Med],Tabla1[Fecha],"&gt;="&amp;$A5,Tabla1[Fecha],"&lt;="&amp;EOMONTH($A5,0),Tabla1[Codigo_actividad],O$4)*O$3</f>
        <v>0</v>
      </c>
      <c r="P5" s="227">
        <f>+SUMIFS(Tabla1[Avance_Med],Tabla1[Fecha],"&gt;="&amp;$A5,Tabla1[Fecha],"&lt;="&amp;EOMONTH($A5,0),Tabla1[Codigo_actividad],P$4)*P$3</f>
        <v>0</v>
      </c>
      <c r="Q5" s="227">
        <f>+SUMIFS(Tabla1[Avance_Med],Tabla1[Fecha],"&gt;="&amp;$A5,Tabla1[Fecha],"&lt;="&amp;EOMONTH($A5,0),Tabla1[Codigo_actividad],Q$4)*Q$3</f>
        <v>0</v>
      </c>
      <c r="R5" s="227">
        <f>+SUMIFS(Tabla1[Avance_Med],Tabla1[Fecha],"&gt;="&amp;$A5,Tabla1[Fecha],"&lt;="&amp;EOMONTH($A5,0),Tabla1[Codigo_actividad],R$4)*R$3</f>
        <v>0</v>
      </c>
      <c r="S5" s="227">
        <f>+SUMIFS(Tabla1[Avance_Med],Tabla1[Fecha],"&gt;="&amp;$A5,Tabla1[Fecha],"&lt;="&amp;EOMONTH($A5,0),Tabla1[Codigo_actividad],S$4)*S$3</f>
        <v>0</v>
      </c>
      <c r="T5" s="227">
        <f>+SUMIFS(Tabla1[Avance_Med],Tabla1[Fecha],"&gt;="&amp;$A5,Tabla1[Fecha],"&lt;="&amp;EOMONTH($A5,0),Tabla1[Codigo_actividad],T$4)*T$3</f>
        <v>0</v>
      </c>
      <c r="U5" s="227">
        <f>+SUMIFS(Tabla1[Avance_Med],Tabla1[Fecha],"&gt;="&amp;$A5,Tabla1[Fecha],"&lt;="&amp;EOMONTH($A5,0),Tabla1[Codigo_actividad],U$4)*U$3</f>
        <v>0</v>
      </c>
      <c r="V5" s="227">
        <f>+SUMIFS(Tabla1[Avance_Med],Tabla1[Fecha],"&gt;="&amp;$A5,Tabla1[Fecha],"&lt;="&amp;EOMONTH($A5,0),Tabla1[Codigo_actividad],V$4)*V$3</f>
        <v>0</v>
      </c>
      <c r="W5" s="227">
        <f>+SUMIFS(Tabla1[Avance_Med],Tabla1[Fecha],"&gt;="&amp;$A5,Tabla1[Fecha],"&lt;="&amp;EOMONTH($A5,0),Tabla1[Codigo_actividad],W$4)*W$3</f>
        <v>0</v>
      </c>
      <c r="X5" s="227">
        <f>+SUMIFS(Tabla1[Avance_Med],Tabla1[Fecha],"&gt;="&amp;$A5,Tabla1[Fecha],"&lt;="&amp;EOMONTH($A5,0),Tabla1[Codigo_actividad],X$4)*X$3</f>
        <v>0</v>
      </c>
      <c r="Y5" s="227">
        <f>+SUMIFS(Tabla1[Avance_Med],Tabla1[Fecha],"&gt;="&amp;$A5,Tabla1[Fecha],"&lt;="&amp;EOMONTH($A5,0),Tabla1[Codigo_actividad],Y$4)*Y$3</f>
        <v>0</v>
      </c>
      <c r="Z5" s="227">
        <f>+SUMIFS(Tabla1[Avance_Med],Tabla1[Fecha],"&gt;="&amp;$A5,Tabla1[Fecha],"&lt;="&amp;EOMONTH($A5,0),Tabla1[Codigo_actividad],Z$4)*Z$3</f>
        <v>0</v>
      </c>
      <c r="AA5" s="227">
        <f>+SUMIFS(Tabla1[Avance_Med],Tabla1[Fecha],"&gt;="&amp;$A5,Tabla1[Fecha],"&lt;="&amp;EOMONTH($A5,0),Tabla1[Codigo_actividad],AA$4)*AA$3</f>
        <v>0</v>
      </c>
      <c r="AB5" s="227">
        <f>+SUMIFS(Tabla1[Avance_Med],Tabla1[Fecha],"&gt;="&amp;$A5,Tabla1[Fecha],"&lt;="&amp;EOMONTH($A5,0),Tabla1[Codigo_actividad],AB$4)*AB$3</f>
        <v>0</v>
      </c>
      <c r="AC5" s="227">
        <f>+SUMIFS(Tabla1[Avance_Med],Tabla1[Fecha],"&gt;="&amp;$A5,Tabla1[Fecha],"&lt;="&amp;EOMONTH($A5,0),Tabla1[Codigo_actividad],AC$4)*AC$3</f>
        <v>0</v>
      </c>
      <c r="AD5" s="227">
        <f>+SUMIFS(Tabla1[Avance_Med],Tabla1[Fecha],"&gt;="&amp;$A5,Tabla1[Fecha],"&lt;="&amp;EOMONTH($A5,0),Tabla1[Codigo_actividad],AD$4)*AD$3</f>
        <v>0</v>
      </c>
      <c r="AE5" s="227">
        <f>+SUMIFS(Tabla1[Avance_Med],Tabla1[Fecha],"&gt;="&amp;$A5,Tabla1[Fecha],"&lt;="&amp;EOMONTH($A5,0),Tabla1[Codigo_actividad],AE$4)*AE$3</f>
        <v>0</v>
      </c>
      <c r="AF5" s="227">
        <f>+SUMIFS(Tabla1[Avance_Med],Tabla1[Fecha],"&gt;="&amp;$A5,Tabla1[Fecha],"&lt;="&amp;EOMONTH($A5,0),Tabla1[Codigo_actividad],AF$4)*AF$3</f>
        <v>0</v>
      </c>
      <c r="AG5" s="227">
        <f>+SUMIFS(Tabla1[Avance_Med],Tabla1[Fecha],"&gt;="&amp;$A5,Tabla1[Fecha],"&lt;="&amp;EOMONTH($A5,0),Tabla1[Codigo_actividad],AG$4)*AG$3</f>
        <v>0</v>
      </c>
      <c r="AH5" s="227">
        <f>+SUMIFS(Tabla1[Avance_Med],Tabla1[Fecha],"&gt;="&amp;$A5,Tabla1[Fecha],"&lt;="&amp;EOMONTH($A5,0),Tabla1[Codigo_actividad],AH$4)*AH$3</f>
        <v>0</v>
      </c>
      <c r="AI5" s="227">
        <f>+SUMIFS(Tabla1[Avance_Med],Tabla1[Fecha],"&gt;="&amp;$A5,Tabla1[Fecha],"&lt;="&amp;EOMONTH($A5,0),Tabla1[Codigo_actividad],AI$4)*AI$3</f>
        <v>0</v>
      </c>
      <c r="AJ5" s="227">
        <f>+SUMIFS(Tabla1[Avance_Med],Tabla1[Fecha],"&gt;="&amp;$A5,Tabla1[Fecha],"&lt;="&amp;EOMONTH($A5,0),Tabla1[Codigo_actividad],AJ$4)*AJ$3</f>
        <v>0</v>
      </c>
      <c r="AK5" s="227">
        <f>+SUMIFS(Tabla1[Avance_Med],Tabla1[Fecha],"&gt;="&amp;$A5,Tabla1[Fecha],"&lt;="&amp;EOMONTH($A5,0),Tabla1[Codigo_actividad],AK$4)*AK$3</f>
        <v>0</v>
      </c>
      <c r="AL5" s="227">
        <f>+SUMIFS(Tabla1[Avance_km],Tabla1[Fecha],"&gt;="&amp;$A5,Tabla1[Fecha],"&lt;="&amp;EOMONTH($A5,0),Tabla1[Codigo_actividad],AL$4)*AL$3</f>
        <v>0</v>
      </c>
      <c r="AM5" s="227">
        <f>+SUMIFS(Tabla1[Avance_Med],Tabla1[Fecha],"&gt;="&amp;$A5,Tabla1[Fecha],"&lt;="&amp;EOMONTH($A5,0),Tabla1[Codigo_actividad],AM$4)*AM$3</f>
        <v>0</v>
      </c>
    </row>
    <row r="6" spans="1:39" x14ac:dyDescent="0.25">
      <c r="A6" s="222">
        <v>45992</v>
      </c>
      <c r="B6" s="227">
        <f>+SUMIFS(Tabla1[Avance_Med],Tabla1[Fecha],"&gt;="&amp;$A6,Tabla1[Fecha],"&lt;="&amp;EOMONTH($A6,0),Tabla1[Codigo_actividad],B$4)*B$3</f>
        <v>0</v>
      </c>
      <c r="C6" s="227">
        <f>+SUMIFS(Tabla1[Avance_Med],Tabla1[Fecha],"&gt;="&amp;$A6,Tabla1[Fecha],"&lt;="&amp;EOMONTH($A6,0),Tabla1[Codigo_actividad],C$4)*C$3</f>
        <v>0</v>
      </c>
      <c r="D6" s="227">
        <f>+SUMIFS(Tabla1[Avance_Med],Tabla1[Fecha],"&gt;="&amp;$A6,Tabla1[Fecha],"&lt;="&amp;EOMONTH($A6,0),Tabla1[Codigo_actividad],D$4)*D$3</f>
        <v>0</v>
      </c>
      <c r="E6" s="227">
        <f>+SUMIFS(Tabla1[Avance_Med],Tabla1[Fecha],"&gt;="&amp;$A6,Tabla1[Fecha],"&lt;="&amp;EOMONTH($A6,0),Tabla1[Codigo_actividad],E$4)*E$3</f>
        <v>0</v>
      </c>
      <c r="F6" s="227">
        <f>+SUMIFS(Tabla1[Avance_Med],Tabla1[Fecha],"&gt;="&amp;$A6,Tabla1[Fecha],"&lt;="&amp;EOMONTH($A6,0),Tabla1[Codigo_actividad],F$4)*F$3</f>
        <v>0</v>
      </c>
      <c r="G6" s="227">
        <f>+SUMIFS(Tabla1[Avance_Med],Tabla1[Fecha],"&gt;="&amp;$A6,Tabla1[Fecha],"&lt;="&amp;EOMONTH($A6,0),Tabla1[Codigo_actividad],G$4)*G$3</f>
        <v>0</v>
      </c>
      <c r="H6" s="339">
        <f>+SUMIFS(Tabla1[Avance_km],Tabla1[Fecha],"&gt;="&amp;$A6,Tabla1[Fecha],"&lt;="&amp;EOMONTH($A6,0),Tabla1[Codigo_actividad],H$4)*H$3</f>
        <v>31.517000000000003</v>
      </c>
      <c r="I6" s="227"/>
      <c r="J6" s="339">
        <f>+SUMIFS(Tabla1[Avance_km],Tabla1[Fecha],"&gt;="&amp;$A6,Tabla1[Fecha],"&lt;="&amp;EOMONTH($A6,0),Tabla1[Codigo_actividad],J$4, Tabla1[Avance_km],"&gt;0")*J$3</f>
        <v>31.543999999999993</v>
      </c>
      <c r="K6" s="477">
        <f>ROUND(SUMIFS(Tabla1[Avance_km],Tabla1[Fecha],"&gt;="&amp;$A6,Tabla1[Fecha],"&lt;="&amp;EOMONTH($A6,0),Tabla1[Codigo_actividad],K$4,Tabla1[Avance_km],"&gt;0"),3)*K$3</f>
        <v>0</v>
      </c>
      <c r="L6" s="227">
        <f>+SUMIFS(Tabla1[Avance_Med],Tabla1[Fecha],"&gt;="&amp;$A6,Tabla1[Fecha],"&lt;="&amp;EOMONTH($A6,0),Tabla1[Codigo_actividad],L$4)*L$3</f>
        <v>130</v>
      </c>
      <c r="M6" s="339">
        <f>+SUMIFS(Tabla1[Avance_km],Tabla1[Fecha],"&gt;="&amp;$A6,Tabla1[Fecha],"&lt;="&amp;EOMONTH($A6,0),Tabla1[Codigo_actividad],M$4)*M$3</f>
        <v>21.183</v>
      </c>
      <c r="N6" s="227">
        <f>+SUMIFS(Tabla1[Avance_Med],Tabla1[Fecha],"&gt;="&amp;$A6,Tabla1[Fecha],"&lt;="&amp;EOMONTH($A6,0),Tabla1[Codigo_actividad],N$4)*N$3</f>
        <v>0</v>
      </c>
      <c r="O6" s="227">
        <f>+SUMIFS(Tabla1[Avance_Med],Tabla1[Fecha],"&gt;="&amp;$A6,Tabla1[Fecha],"&lt;="&amp;EOMONTH($A6,0),Tabla1[Codigo_actividad],O$4)*O$3</f>
        <v>0</v>
      </c>
      <c r="P6" s="227">
        <f>+SUMIFS(Tabla1[Avance_Med],Tabla1[Fecha],"&gt;="&amp;$A6,Tabla1[Fecha],"&lt;="&amp;EOMONTH($A6,0),Tabla1[Codigo_actividad],P$4)*P$3</f>
        <v>0</v>
      </c>
      <c r="Q6" s="227">
        <f>+SUMIFS(Tabla1[Avance_Med],Tabla1[Fecha],"&gt;="&amp;$A6,Tabla1[Fecha],"&lt;="&amp;EOMONTH($A6,0),Tabla1[Codigo_actividad],Q$4)*Q$3</f>
        <v>0</v>
      </c>
      <c r="R6" s="227">
        <f>+SUMIFS(Tabla1[Avance_Med],Tabla1[Fecha],"&gt;="&amp;$A6,Tabla1[Fecha],"&lt;="&amp;EOMONTH($A6,0),Tabla1[Codigo_actividad],R$4)*R$3</f>
        <v>0</v>
      </c>
      <c r="S6" s="227">
        <f>+SUMIFS(Tabla1[Avance_Med],Tabla1[Fecha],"&gt;="&amp;$A6,Tabla1[Fecha],"&lt;="&amp;EOMONTH($A6,0),Tabla1[Codigo_actividad],S$4)*S$3</f>
        <v>0</v>
      </c>
      <c r="T6" s="227">
        <f>+SUMIFS(Tabla1[Avance_Med],Tabla1[Fecha],"&gt;="&amp;$A6,Tabla1[Fecha],"&lt;="&amp;EOMONTH($A6,0),Tabla1[Codigo_actividad],T$4)*T$3</f>
        <v>0</v>
      </c>
      <c r="U6" s="227">
        <f>+SUMIFS(Tabla1[Avance_Med],Tabla1[Fecha],"&gt;="&amp;$A6,Tabla1[Fecha],"&lt;="&amp;EOMONTH($A6,0),Tabla1[Codigo_actividad],U$4)*U$3</f>
        <v>0</v>
      </c>
      <c r="V6" s="227">
        <f>+SUMIFS(Tabla1[Avance_Med],Tabla1[Fecha],"&gt;="&amp;$A6,Tabla1[Fecha],"&lt;="&amp;EOMONTH($A6,0),Tabla1[Codigo_actividad],V$4)*V$3</f>
        <v>0</v>
      </c>
      <c r="W6" s="227">
        <f>+SUMIFS(Tabla1[Avance_Med],Tabla1[Fecha],"&gt;="&amp;$A6,Tabla1[Fecha],"&lt;="&amp;EOMONTH($A6,0),Tabla1[Codigo_actividad],W$4)*W$3</f>
        <v>0</v>
      </c>
      <c r="X6" s="227">
        <f>+SUMIFS(Tabla1[Avance_Med],Tabla1[Fecha],"&gt;="&amp;$A6,Tabla1[Fecha],"&lt;="&amp;EOMONTH($A6,0),Tabla1[Codigo_actividad],X$4)*X$3</f>
        <v>0</v>
      </c>
      <c r="Y6" s="227">
        <f>+SUMIFS(Tabla1[Avance_Med],Tabla1[Fecha],"&gt;="&amp;$A6,Tabla1[Fecha],"&lt;="&amp;EOMONTH($A6,0),Tabla1[Codigo_actividad],Y$4)*Y$3</f>
        <v>0</v>
      </c>
      <c r="Z6" s="227">
        <f>+SUMIFS(Tabla1[Avance_Med],Tabla1[Fecha],"&gt;="&amp;$A6,Tabla1[Fecha],"&lt;="&amp;EOMONTH($A6,0),Tabla1[Codigo_actividad],Z$4)*Z$3</f>
        <v>0</v>
      </c>
      <c r="AA6" s="227">
        <f>+SUMIFS(Tabla1[Avance_Med],Tabla1[Fecha],"&gt;="&amp;$A6,Tabla1[Fecha],"&lt;="&amp;EOMONTH($A6,0),Tabla1[Codigo_actividad],AA$4)*AA$3</f>
        <v>0</v>
      </c>
      <c r="AB6" s="227">
        <f>+SUMIFS(Tabla1[Avance_Med],Tabla1[Fecha],"&gt;="&amp;$A6,Tabla1[Fecha],"&lt;="&amp;EOMONTH($A6,0),Tabla1[Codigo_actividad],AB$4)*AB$3</f>
        <v>0</v>
      </c>
      <c r="AC6" s="227">
        <f>+SUMIFS(Tabla1[Avance_Med],Tabla1[Fecha],"&gt;="&amp;$A6,Tabla1[Fecha],"&lt;="&amp;EOMONTH($A6,0),Tabla1[Codigo_actividad],AC$4)*AC$3</f>
        <v>0</v>
      </c>
      <c r="AD6" s="227">
        <f>+SUMIFS(Tabla1[Avance_Med],Tabla1[Fecha],"&gt;="&amp;$A6,Tabla1[Fecha],"&lt;="&amp;EOMONTH($A6,0),Tabla1[Codigo_actividad],AD$4)*AD$3</f>
        <v>0</v>
      </c>
      <c r="AE6" s="227">
        <f>+SUMIFS(Tabla1[Avance_Med],Tabla1[Fecha],"&gt;="&amp;$A6,Tabla1[Fecha],"&lt;="&amp;EOMONTH($A6,0),Tabla1[Codigo_actividad],AE$4)*AE$3</f>
        <v>0</v>
      </c>
      <c r="AF6" s="227">
        <f>+SUMIFS(Tabla1[Avance_Med],Tabla1[Fecha],"&gt;="&amp;$A6,Tabla1[Fecha],"&lt;="&amp;EOMONTH($A6,0),Tabla1[Codigo_actividad],AF$4)*AF$3</f>
        <v>0</v>
      </c>
      <c r="AG6" s="227">
        <f>+SUMIFS(Tabla1[Avance_Med],Tabla1[Fecha],"&gt;="&amp;$A6,Tabla1[Fecha],"&lt;="&amp;EOMONTH($A6,0),Tabla1[Codigo_actividad],AG$4)*AG$3</f>
        <v>0</v>
      </c>
      <c r="AH6" s="227">
        <f>+SUMIFS(Tabla1[Avance_Med],Tabla1[Fecha],"&gt;="&amp;$A6,Tabla1[Fecha],"&lt;="&amp;EOMONTH($A6,0),Tabla1[Codigo_actividad],AH$4)*AH$3</f>
        <v>0</v>
      </c>
      <c r="AI6" s="227">
        <f>+SUMIFS(Tabla1[Avance_Med],Tabla1[Fecha],"&gt;="&amp;$A6,Tabla1[Fecha],"&lt;="&amp;EOMONTH($A6,0),Tabla1[Codigo_actividad],AI$4)*AI$3</f>
        <v>0</v>
      </c>
      <c r="AJ6" s="227">
        <f>+SUMIFS(Tabla1[Avance_Med],Tabla1[Fecha],"&gt;="&amp;$A6,Tabla1[Fecha],"&lt;="&amp;EOMONTH($A6,0),Tabla1[Codigo_actividad],AJ$4)*AJ$3</f>
        <v>0</v>
      </c>
      <c r="AK6" s="227">
        <f>+SUMIFS(Tabla1[Avance_Med],Tabla1[Fecha],"&gt;="&amp;$A6,Tabla1[Fecha],"&lt;="&amp;EOMONTH($A6,0),Tabla1[Codigo_actividad],AK$4)*AK$3</f>
        <v>0</v>
      </c>
      <c r="AL6" s="227">
        <f>+SUMIFS(Tabla1[Avance_km],Tabla1[Fecha],"&gt;="&amp;$A6,Tabla1[Fecha],"&lt;="&amp;EOMONTH($A6,0),Tabla1[Codigo_actividad],AL$4)*AL$3</f>
        <v>0</v>
      </c>
      <c r="AM6" s="227">
        <f>+SUMIFS(Tabla1[Avance_Med],Tabla1[Fecha],"&gt;="&amp;$A6,Tabla1[Fecha],"&lt;="&amp;EOMONTH($A6,0),Tabla1[Codigo_actividad],AM$4)*AM$3</f>
        <v>0</v>
      </c>
    </row>
    <row r="7" spans="1:39" x14ac:dyDescent="0.25">
      <c r="A7" s="222">
        <v>46023</v>
      </c>
      <c r="B7" s="227">
        <f>+SUMIFS(Tabla1[Avance_Med],Tabla1[Fecha],"&gt;="&amp;$A7,Tabla1[Fecha],"&lt;="&amp;EOMONTH($A7,0),Tabla1[Codigo_actividad],B$4)*B$3</f>
        <v>0</v>
      </c>
      <c r="C7" s="227">
        <f>+SUMIFS(Tabla1[Avance_Med],Tabla1[Fecha],"&gt;="&amp;$A7,Tabla1[Fecha],"&lt;="&amp;EOMONTH($A7,0),Tabla1[Codigo_actividad],C$4)*C$3</f>
        <v>0</v>
      </c>
      <c r="D7" s="227">
        <f>+SUMIFS(Tabla1[Avance_Med],Tabla1[Fecha],"&gt;="&amp;$A7,Tabla1[Fecha],"&lt;="&amp;EOMONTH($A7,0),Tabla1[Codigo_actividad],D$4)*D$3</f>
        <v>0</v>
      </c>
      <c r="E7" s="227">
        <f>+SUMIFS(Tabla1[Avance_Med],Tabla1[Fecha],"&gt;="&amp;$A7,Tabla1[Fecha],"&lt;="&amp;EOMONTH($A7,0),Tabla1[Codigo_actividad],E$4)*E$3</f>
        <v>0</v>
      </c>
      <c r="F7" s="227">
        <f>+SUMIFS(Tabla1[Avance_Med],Tabla1[Fecha],"&gt;="&amp;$A7,Tabla1[Fecha],"&lt;="&amp;EOMONTH($A7,0),Tabla1[Codigo_actividad],F$4)*F$3</f>
        <v>0</v>
      </c>
      <c r="G7" s="227">
        <f>+SUMIFS(Tabla1[Avance_Med],Tabla1[Fecha],"&gt;="&amp;$A7,Tabla1[Fecha],"&lt;="&amp;EOMONTH($A7,0),Tabla1[Codigo_actividad],G$4)*G$3</f>
        <v>0</v>
      </c>
      <c r="H7" s="339">
        <f>+SUMIFS(Tabla1[Avance_km],Tabla1[Fecha],"&gt;="&amp;$A7,Tabla1[Fecha],"&lt;="&amp;EOMONTH($A7,0),Tabla1[Codigo_actividad],H$4)*H$3</f>
        <v>36.840000000000011</v>
      </c>
      <c r="I7" s="227"/>
      <c r="J7" s="339">
        <f>+SUMIFS(Tabla1[Avance_km],Tabla1[Fecha],"&gt;="&amp;$A7,Tabla1[Fecha],"&lt;="&amp;EOMONTH($A7,0),Tabla1[Codigo_actividad],J$4, Tabla1[Avance_km],"&gt;0")*J$3</f>
        <v>15.313000000000004</v>
      </c>
      <c r="K7" s="477">
        <f>ROUND(SUMIFS(Tabla1[Avance_km],Tabla1[Fecha],"&gt;="&amp;$A7,Tabla1[Fecha],"&lt;="&amp;EOMONTH($A7,0),Tabla1[Codigo_actividad],K$4,Tabla1[Avance_km],"&gt;0"),3)*K$3</f>
        <v>0</v>
      </c>
      <c r="L7" s="227">
        <f>+SUMIFS(Tabla1[Avance_Med],Tabla1[Fecha],"&gt;="&amp;$A7,Tabla1[Fecha],"&lt;="&amp;EOMONTH($A7,0),Tabla1[Codigo_actividad],L$4)*L$3</f>
        <v>130</v>
      </c>
      <c r="M7" s="339">
        <f>+SUMIFS(Tabla1[Avance_km],Tabla1[Fecha],"&gt;="&amp;$A7,Tabla1[Fecha],"&lt;="&amp;EOMONTH($A7,0),Tabla1[Codigo_actividad],M$4)*M$3</f>
        <v>6.7009999999999996</v>
      </c>
      <c r="N7" s="227">
        <f>+SUMIFS(Tabla1[Avance_Med],Tabla1[Fecha],"&gt;="&amp;$A7,Tabla1[Fecha],"&lt;="&amp;EOMONTH($A7,0),Tabla1[Codigo_actividad],N$4)*N$3</f>
        <v>0</v>
      </c>
      <c r="O7" s="227">
        <f>+SUMIFS(Tabla1[Avance_Med],Tabla1[Fecha],"&gt;="&amp;$A7,Tabla1[Fecha],"&lt;="&amp;EOMONTH($A7,0),Tabla1[Codigo_actividad],O$4)*O$3</f>
        <v>0</v>
      </c>
      <c r="P7" s="227">
        <f>+SUMIFS(Tabla1[Avance_Med],Tabla1[Fecha],"&gt;="&amp;$A7,Tabla1[Fecha],"&lt;="&amp;EOMONTH($A7,0),Tabla1[Codigo_actividad],P$4)*P$3</f>
        <v>0</v>
      </c>
      <c r="Q7" s="227">
        <f>+SUMIFS(Tabla1[Avance_Med],Tabla1[Fecha],"&gt;="&amp;$A7,Tabla1[Fecha],"&lt;="&amp;EOMONTH($A7,0),Tabla1[Codigo_actividad],Q$4)*Q$3</f>
        <v>0</v>
      </c>
      <c r="R7" s="227">
        <f>+SUMIFS(Tabla1[Avance_Med],Tabla1[Fecha],"&gt;="&amp;$A7,Tabla1[Fecha],"&lt;="&amp;EOMONTH($A7,0),Tabla1[Codigo_actividad],R$4)*R$3</f>
        <v>0</v>
      </c>
      <c r="S7" s="227">
        <f>+SUMIFS(Tabla1[Avance_Med],Tabla1[Fecha],"&gt;="&amp;$A7,Tabla1[Fecha],"&lt;="&amp;EOMONTH($A7,0),Tabla1[Codigo_actividad],S$4)*S$3</f>
        <v>0</v>
      </c>
      <c r="T7" s="227">
        <f>+SUMIFS(Tabla1[Avance_Med],Tabla1[Fecha],"&gt;="&amp;$A7,Tabla1[Fecha],"&lt;="&amp;EOMONTH($A7,0),Tabla1[Codigo_actividad],T$4)*T$3</f>
        <v>0</v>
      </c>
      <c r="U7" s="227">
        <f>+SUMIFS(Tabla1[Avance_Med],Tabla1[Fecha],"&gt;="&amp;$A7,Tabla1[Fecha],"&lt;="&amp;EOMONTH($A7,0),Tabla1[Codigo_actividad],U$4)*U$3</f>
        <v>0</v>
      </c>
      <c r="V7" s="227">
        <f>+SUMIFS(Tabla1[Avance_Med],Tabla1[Fecha],"&gt;="&amp;$A7,Tabla1[Fecha],"&lt;="&amp;EOMONTH($A7,0),Tabla1[Codigo_actividad],V$4)*V$3</f>
        <v>0</v>
      </c>
      <c r="W7" s="227">
        <f>+SUMIFS(Tabla1[Avance_Med],Tabla1[Fecha],"&gt;="&amp;$A7,Tabla1[Fecha],"&lt;="&amp;EOMONTH($A7,0),Tabla1[Codigo_actividad],W$4)*W$3</f>
        <v>0</v>
      </c>
      <c r="X7" s="227">
        <f>+SUMIFS(Tabla1[Avance_Med],Tabla1[Fecha],"&gt;="&amp;$A7,Tabla1[Fecha],"&lt;="&amp;EOMONTH($A7,0),Tabla1[Codigo_actividad],X$4)*X$3</f>
        <v>0</v>
      </c>
      <c r="Y7" s="227">
        <f>+SUMIFS(Tabla1[Avance_Med],Tabla1[Fecha],"&gt;="&amp;$A7,Tabla1[Fecha],"&lt;="&amp;EOMONTH($A7,0),Tabla1[Codigo_actividad],Y$4)*Y$3</f>
        <v>0</v>
      </c>
      <c r="Z7" s="227">
        <f>+SUMIFS(Tabla1[Avance_Med],Tabla1[Fecha],"&gt;="&amp;$A7,Tabla1[Fecha],"&lt;="&amp;EOMONTH($A7,0),Tabla1[Codigo_actividad],Z$4)*Z$3</f>
        <v>0</v>
      </c>
      <c r="AA7" s="227">
        <f>+SUMIFS(Tabla1[Avance_Med],Tabla1[Fecha],"&gt;="&amp;$A7,Tabla1[Fecha],"&lt;="&amp;EOMONTH($A7,0),Tabla1[Codigo_actividad],AA$4)*AA$3</f>
        <v>0</v>
      </c>
      <c r="AB7" s="227">
        <f>+SUMIFS(Tabla1[Avance_Med],Tabla1[Fecha],"&gt;="&amp;$A7,Tabla1[Fecha],"&lt;="&amp;EOMONTH($A7,0),Tabla1[Codigo_actividad],AB$4)*AB$3</f>
        <v>0</v>
      </c>
      <c r="AC7" s="227">
        <f>+SUMIFS(Tabla1[Avance_Med],Tabla1[Fecha],"&gt;="&amp;$A7,Tabla1[Fecha],"&lt;="&amp;EOMONTH($A7,0),Tabla1[Codigo_actividad],AC$4)*AC$3</f>
        <v>0</v>
      </c>
      <c r="AD7" s="227">
        <f>+SUMIFS(Tabla1[Avance_Med],Tabla1[Fecha],"&gt;="&amp;$A7,Tabla1[Fecha],"&lt;="&amp;EOMONTH($A7,0),Tabla1[Codigo_actividad],AD$4)*AD$3</f>
        <v>0</v>
      </c>
      <c r="AE7" s="227">
        <f>+SUMIFS(Tabla1[Avance_Med],Tabla1[Fecha],"&gt;="&amp;$A7,Tabla1[Fecha],"&lt;="&amp;EOMONTH($A7,0),Tabla1[Codigo_actividad],AE$4)*AE$3</f>
        <v>0</v>
      </c>
      <c r="AF7" s="227">
        <f>+SUMIFS(Tabla1[Avance_Med],Tabla1[Fecha],"&gt;="&amp;$A7,Tabla1[Fecha],"&lt;="&amp;EOMONTH($A7,0),Tabla1[Codigo_actividad],AF$4)*AF$3</f>
        <v>0</v>
      </c>
      <c r="AG7" s="227">
        <f>+SUMIFS(Tabla1[Avance_Med],Tabla1[Fecha],"&gt;="&amp;$A7,Tabla1[Fecha],"&lt;="&amp;EOMONTH($A7,0),Tabla1[Codigo_actividad],AG$4)*AG$3</f>
        <v>0</v>
      </c>
      <c r="AH7" s="227">
        <f>+SUMIFS(Tabla1[Avance_Med],Tabla1[Fecha],"&gt;="&amp;$A7,Tabla1[Fecha],"&lt;="&amp;EOMONTH($A7,0),Tabla1[Codigo_actividad],AH$4)*AH$3</f>
        <v>0</v>
      </c>
      <c r="AI7" s="227">
        <f>+SUMIFS(Tabla1[Avance_Med],Tabla1[Fecha],"&gt;="&amp;$A7,Tabla1[Fecha],"&lt;="&amp;EOMONTH($A7,0),Tabla1[Codigo_actividad],AI$4)*AI$3</f>
        <v>0</v>
      </c>
      <c r="AJ7" s="227">
        <f>+SUMIFS(Tabla1[Avance_Med],Tabla1[Fecha],"&gt;="&amp;$A7,Tabla1[Fecha],"&lt;="&amp;EOMONTH($A7,0),Tabla1[Codigo_actividad],AJ$4)*AJ$3</f>
        <v>0</v>
      </c>
      <c r="AK7" s="227">
        <f>+SUMIFS(Tabla1[Avance_Med],Tabla1[Fecha],"&gt;="&amp;$A7,Tabla1[Fecha],"&lt;="&amp;EOMONTH($A7,0),Tabla1[Codigo_actividad],AK$4)*AK$3</f>
        <v>0</v>
      </c>
      <c r="AL7" s="227">
        <f>+SUMIFS(Tabla1[Avance_km],Tabla1[Fecha],"&gt;="&amp;$A7,Tabla1[Fecha],"&lt;="&amp;EOMONTH($A7,0),Tabla1[Codigo_actividad],AL$4)*AL$3</f>
        <v>0</v>
      </c>
      <c r="AM7" s="227">
        <f>+SUMIFS(Tabla1[Avance_Med],Tabla1[Fecha],"&gt;="&amp;$A7,Tabla1[Fecha],"&lt;="&amp;EOMONTH($A7,0),Tabla1[Codigo_actividad],AM$4)*AM$3</f>
        <v>0</v>
      </c>
    </row>
    <row r="8" spans="1:39" x14ac:dyDescent="0.25">
      <c r="A8" s="222">
        <v>46054</v>
      </c>
      <c r="B8" s="227">
        <f>+SUMIFS(Tabla1[Avance_Med],Tabla1[Fecha],"&gt;="&amp;$A8,Tabla1[Fecha],"&lt;="&amp;EOMONTH($A8,0),Tabla1[Codigo_actividad],B$4)*B$3</f>
        <v>0</v>
      </c>
      <c r="C8" s="227">
        <f>+SUMIFS(Tabla1[Avance_Med],Tabla1[Fecha],"&gt;="&amp;$A8,Tabla1[Fecha],"&lt;="&amp;EOMONTH($A8,0),Tabla1[Codigo_actividad],C$4)*C$3</f>
        <v>0</v>
      </c>
      <c r="D8" s="227">
        <f>+SUMIFS(Tabla1[Avance_Med],Tabla1[Fecha],"&gt;="&amp;$A8,Tabla1[Fecha],"&lt;="&amp;EOMONTH($A8,0),Tabla1[Codigo_actividad],D$4)*D$3</f>
        <v>0</v>
      </c>
      <c r="E8" s="227">
        <f>+SUMIFS(Tabla1[Avance_Med],Tabla1[Fecha],"&gt;="&amp;$A8,Tabla1[Fecha],"&lt;="&amp;EOMONTH($A8,0),Tabla1[Codigo_actividad],E$4)*E$3</f>
        <v>0</v>
      </c>
      <c r="F8" s="227">
        <f>+SUMIFS(Tabla1[Avance_Med],Tabla1[Fecha],"&gt;="&amp;$A8,Tabla1[Fecha],"&lt;="&amp;EOMONTH($A8,0),Tabla1[Codigo_actividad],F$4)*F$3</f>
        <v>0</v>
      </c>
      <c r="G8" s="227">
        <f>+SUMIFS(Tabla1[Avance_Med],Tabla1[Fecha],"&gt;="&amp;$A8,Tabla1[Fecha],"&lt;="&amp;EOMONTH($A8,0),Tabla1[Codigo_actividad],G$4)*G$3</f>
        <v>0</v>
      </c>
      <c r="H8" s="339">
        <f>+SUMIFS(Tabla1[Avance_km],Tabla1[Fecha],"&gt;="&amp;$A8,Tabla1[Fecha],"&lt;="&amp;EOMONTH($A8,0),Tabla1[Codigo_actividad],H$4)*H$3</f>
        <v>0</v>
      </c>
      <c r="I8" s="227"/>
      <c r="J8" s="339">
        <f>+SUMIFS(Tabla1[Avance_km],Tabla1[Fecha],"&gt;="&amp;$A8,Tabla1[Fecha],"&lt;="&amp;EOMONTH($A8,0),Tabla1[Codigo_actividad],J$4, Tabla1[Avance_km],"&gt;0")*J$3</f>
        <v>0</v>
      </c>
      <c r="K8" s="477">
        <f>ROUND(SUMIFS(Tabla1[Avance_km],Tabla1[Fecha],"&gt;="&amp;$A8,Tabla1[Fecha],"&lt;="&amp;EOMONTH($A8,0),Tabla1[Codigo_actividad],K$4,Tabla1[Avance_km],"&gt;0"),3)*K$3</f>
        <v>0</v>
      </c>
      <c r="L8" s="227">
        <f>+SUMIFS(Tabla1[Avance_Med],Tabla1[Fecha],"&gt;="&amp;$A8,Tabla1[Fecha],"&lt;="&amp;EOMONTH($A8,0),Tabla1[Codigo_actividad],L$4)*L$3</f>
        <v>18</v>
      </c>
      <c r="M8" s="339">
        <f>+SUMIFS(Tabla1[Avance_km],Tabla1[Fecha],"&gt;="&amp;$A8,Tabla1[Fecha],"&lt;="&amp;EOMONTH($A8,0),Tabla1[Codigo_actividad],M$4)*M$3</f>
        <v>0</v>
      </c>
      <c r="N8" s="227">
        <f>+SUMIFS(Tabla1[Avance_Med],Tabla1[Fecha],"&gt;="&amp;$A8,Tabla1[Fecha],"&lt;="&amp;EOMONTH($A8,0),Tabla1[Codigo_actividad],N$4)*N$3</f>
        <v>0</v>
      </c>
      <c r="O8" s="227">
        <f>+SUMIFS(Tabla1[Avance_Med],Tabla1[Fecha],"&gt;="&amp;$A8,Tabla1[Fecha],"&lt;="&amp;EOMONTH($A8,0),Tabla1[Codigo_actividad],O$4)*O$3</f>
        <v>0</v>
      </c>
      <c r="P8" s="227">
        <f>+SUMIFS(Tabla1[Avance_Med],Tabla1[Fecha],"&gt;="&amp;$A8,Tabla1[Fecha],"&lt;="&amp;EOMONTH($A8,0),Tabla1[Codigo_actividad],P$4)*P$3</f>
        <v>0</v>
      </c>
      <c r="Q8" s="227">
        <f>+SUMIFS(Tabla1[Avance_Med],Tabla1[Fecha],"&gt;="&amp;$A8,Tabla1[Fecha],"&lt;="&amp;EOMONTH($A8,0),Tabla1[Codigo_actividad],Q$4)*Q$3</f>
        <v>0</v>
      </c>
      <c r="R8" s="227">
        <f>+SUMIFS(Tabla1[Avance_Med],Tabla1[Fecha],"&gt;="&amp;$A8,Tabla1[Fecha],"&lt;="&amp;EOMONTH($A8,0),Tabla1[Codigo_actividad],R$4)*R$3</f>
        <v>0</v>
      </c>
      <c r="S8" s="227">
        <f>+SUMIFS(Tabla1[Avance_Med],Tabla1[Fecha],"&gt;="&amp;$A8,Tabla1[Fecha],"&lt;="&amp;EOMONTH($A8,0),Tabla1[Codigo_actividad],S$4)*S$3</f>
        <v>0</v>
      </c>
      <c r="T8" s="227">
        <f>+SUMIFS(Tabla1[Avance_Med],Tabla1[Fecha],"&gt;="&amp;$A8,Tabla1[Fecha],"&lt;="&amp;EOMONTH($A8,0),Tabla1[Codigo_actividad],T$4)*T$3</f>
        <v>0</v>
      </c>
      <c r="U8" s="227">
        <f>+SUMIFS(Tabla1[Avance_Med],Tabla1[Fecha],"&gt;="&amp;$A8,Tabla1[Fecha],"&lt;="&amp;EOMONTH($A8,0),Tabla1[Codigo_actividad],U$4)*U$3</f>
        <v>0</v>
      </c>
      <c r="V8" s="227">
        <f>+SUMIFS(Tabla1[Avance_Med],Tabla1[Fecha],"&gt;="&amp;$A8,Tabla1[Fecha],"&lt;="&amp;EOMONTH($A8,0),Tabla1[Codigo_actividad],V$4)*V$3</f>
        <v>0</v>
      </c>
      <c r="W8" s="227">
        <f>+SUMIFS(Tabla1[Avance_Med],Tabla1[Fecha],"&gt;="&amp;$A8,Tabla1[Fecha],"&lt;="&amp;EOMONTH($A8,0),Tabla1[Codigo_actividad],W$4)*W$3</f>
        <v>0</v>
      </c>
      <c r="X8" s="227">
        <f>+SUMIFS(Tabla1[Avance_Med],Tabla1[Fecha],"&gt;="&amp;$A8,Tabla1[Fecha],"&lt;="&amp;EOMONTH($A8,0),Tabla1[Codigo_actividad],X$4)*X$3</f>
        <v>0</v>
      </c>
      <c r="Y8" s="227">
        <f>+SUMIFS(Tabla1[Avance_Med],Tabla1[Fecha],"&gt;="&amp;$A8,Tabla1[Fecha],"&lt;="&amp;EOMONTH($A8,0),Tabla1[Codigo_actividad],Y$4)*Y$3</f>
        <v>0</v>
      </c>
      <c r="Z8" s="227">
        <f>+SUMIFS(Tabla1[Avance_Med],Tabla1[Fecha],"&gt;="&amp;$A8,Tabla1[Fecha],"&lt;="&amp;EOMONTH($A8,0),Tabla1[Codigo_actividad],Z$4)*Z$3</f>
        <v>0</v>
      </c>
      <c r="AA8" s="227">
        <f>+SUMIFS(Tabla1[Avance_Med],Tabla1[Fecha],"&gt;="&amp;$A8,Tabla1[Fecha],"&lt;="&amp;EOMONTH($A8,0),Tabla1[Codigo_actividad],AA$4)*AA$3</f>
        <v>0</v>
      </c>
      <c r="AB8" s="227">
        <f>+SUMIFS(Tabla1[Avance_Med],Tabla1[Fecha],"&gt;="&amp;$A8,Tabla1[Fecha],"&lt;="&amp;EOMONTH($A8,0),Tabla1[Codigo_actividad],AB$4)*AB$3</f>
        <v>0</v>
      </c>
      <c r="AC8" s="227">
        <f>+SUMIFS(Tabla1[Avance_Med],Tabla1[Fecha],"&gt;="&amp;$A8,Tabla1[Fecha],"&lt;="&amp;EOMONTH($A8,0),Tabla1[Codigo_actividad],AC$4)*AC$3</f>
        <v>0</v>
      </c>
      <c r="AD8" s="227">
        <f>+SUMIFS(Tabla1[Avance_Med],Tabla1[Fecha],"&gt;="&amp;$A8,Tabla1[Fecha],"&lt;="&amp;EOMONTH($A8,0),Tabla1[Codigo_actividad],AD$4)*AD$3</f>
        <v>0</v>
      </c>
      <c r="AE8" s="227">
        <f>+SUMIFS(Tabla1[Avance_Med],Tabla1[Fecha],"&gt;="&amp;$A8,Tabla1[Fecha],"&lt;="&amp;EOMONTH($A8,0),Tabla1[Codigo_actividad],AE$4)*AE$3</f>
        <v>0</v>
      </c>
      <c r="AF8" s="227">
        <f>+SUMIFS(Tabla1[Avance_Med],Tabla1[Fecha],"&gt;="&amp;$A8,Tabla1[Fecha],"&lt;="&amp;EOMONTH($A8,0),Tabla1[Codigo_actividad],AF$4)*AF$3</f>
        <v>0</v>
      </c>
      <c r="AG8" s="227">
        <f>+SUMIFS(Tabla1[Avance_Med],Tabla1[Fecha],"&gt;="&amp;$A8,Tabla1[Fecha],"&lt;="&amp;EOMONTH($A8,0),Tabla1[Codigo_actividad],AG$4)*AG$3</f>
        <v>0</v>
      </c>
      <c r="AH8" s="227">
        <f>+SUMIFS(Tabla1[Avance_Med],Tabla1[Fecha],"&gt;="&amp;$A8,Tabla1[Fecha],"&lt;="&amp;EOMONTH($A8,0),Tabla1[Codigo_actividad],AH$4)*AH$3</f>
        <v>0</v>
      </c>
      <c r="AI8" s="227">
        <f>+SUMIFS(Tabla1[Avance_Med],Tabla1[Fecha],"&gt;="&amp;$A8,Tabla1[Fecha],"&lt;="&amp;EOMONTH($A8,0),Tabla1[Codigo_actividad],AI$4)*AI$3</f>
        <v>0</v>
      </c>
      <c r="AJ8" s="227">
        <f>+SUMIFS(Tabla1[Avance_Med],Tabla1[Fecha],"&gt;="&amp;$A8,Tabla1[Fecha],"&lt;="&amp;EOMONTH($A8,0),Tabla1[Codigo_actividad],AJ$4)*AJ$3</f>
        <v>0</v>
      </c>
      <c r="AK8" s="227">
        <f>+SUMIFS(Tabla1[Avance_Med],Tabla1[Fecha],"&gt;="&amp;$A8,Tabla1[Fecha],"&lt;="&amp;EOMONTH($A8,0),Tabla1[Codigo_actividad],AK$4)*AK$3</f>
        <v>0</v>
      </c>
      <c r="AL8" s="227">
        <f>+SUMIFS(Tabla1[Avance_km],Tabla1[Fecha],"&gt;="&amp;$A8,Tabla1[Fecha],"&lt;="&amp;EOMONTH($A8,0),Tabla1[Codigo_actividad],AL$4)*AL$3</f>
        <v>0</v>
      </c>
      <c r="AM8" s="227">
        <f>+SUMIFS(Tabla1[Avance_Med],Tabla1[Fecha],"&gt;="&amp;$A8,Tabla1[Fecha],"&lt;="&amp;EOMONTH($A8,0),Tabla1[Codigo_actividad],AM$4)*AM$3</f>
        <v>0</v>
      </c>
    </row>
    <row r="9" spans="1:39" x14ac:dyDescent="0.25">
      <c r="A9" s="222">
        <v>46082</v>
      </c>
      <c r="B9" s="227">
        <f>+SUMIFS(Tabla1[Avance_Med],Tabla1[Fecha],"&gt;="&amp;$A9,Tabla1[Fecha],"&lt;="&amp;EOMONTH($A9,0),Tabla1[Codigo_actividad],B$4)*B$3</f>
        <v>99</v>
      </c>
      <c r="C9" s="227">
        <f>+SUMIFS(Tabla1[Avance_Med],Tabla1[Fecha],"&gt;="&amp;$A9,Tabla1[Fecha],"&lt;="&amp;EOMONTH($A9,0),Tabla1[Codigo_actividad],C$4)*C$3</f>
        <v>99</v>
      </c>
      <c r="D9" s="227">
        <f>+SUMIFS(Tabla1[Avance_Med],Tabla1[Fecha],"&gt;="&amp;$A9,Tabla1[Fecha],"&lt;="&amp;EOMONTH($A9,0),Tabla1[Codigo_actividad],D$4)*D$3</f>
        <v>99</v>
      </c>
      <c r="E9" s="227">
        <f>+SUMIFS(Tabla1[Avance_Med],Tabla1[Fecha],"&gt;="&amp;$A9,Tabla1[Fecha],"&lt;="&amp;EOMONTH($A9,0),Tabla1[Codigo_actividad],E$4)*E$3</f>
        <v>99</v>
      </c>
      <c r="F9" s="227">
        <f>+SUMIFS(Tabla1[Avance_Med],Tabla1[Fecha],"&gt;="&amp;$A9,Tabla1[Fecha],"&lt;="&amp;EOMONTH($A9,0),Tabla1[Codigo_actividad],F$4)*F$3</f>
        <v>99</v>
      </c>
      <c r="G9" s="227">
        <f>+SUMIFS(Tabla1[Avance_Med],Tabla1[Fecha],"&gt;="&amp;$A9,Tabla1[Fecha],"&lt;="&amp;EOMONTH($A9,0),Tabla1[Codigo_actividad],G$4)*G$3</f>
        <v>99</v>
      </c>
      <c r="H9" s="339">
        <f>+SUMIFS(Tabla1[Avance_km],Tabla1[Fecha],"&gt;="&amp;$A9,Tabla1[Fecha],"&lt;="&amp;EOMONTH($A9,0),Tabla1[Codigo_actividad],H$4)*H$3</f>
        <v>0</v>
      </c>
      <c r="I9" s="227"/>
      <c r="J9" s="339">
        <f>+SUMIFS(Tabla1[Avance_km],Tabla1[Fecha],"&gt;="&amp;$A9,Tabla1[Fecha],"&lt;="&amp;EOMONTH($A9,0),Tabla1[Codigo_actividad],J$4, Tabla1[Avance_km],"&gt;0")*J$3</f>
        <v>0</v>
      </c>
      <c r="K9" s="477">
        <f>ROUND(SUMIFS(Tabla1[Avance_km],Tabla1[Fecha],"&gt;="&amp;$A9,Tabla1[Fecha],"&lt;="&amp;EOMONTH($A9,0),Tabla1[Codigo_actividad],K$4,Tabla1[Avance_km],"&gt;0"),3)*K$3</f>
        <v>0</v>
      </c>
      <c r="L9" s="227">
        <f>+SUMIFS(Tabla1[Avance_Med],Tabla1[Fecha],"&gt;="&amp;$A9,Tabla1[Fecha],"&lt;="&amp;EOMONTH($A9,0),Tabla1[Codigo_actividad],L$4)*L$3</f>
        <v>0</v>
      </c>
      <c r="M9" s="339">
        <f>+SUMIFS(Tabla1[Avance_km],Tabla1[Fecha],"&gt;="&amp;$A9,Tabla1[Fecha],"&lt;="&amp;EOMONTH($A9,0),Tabla1[Codigo_actividad],M$4)*M$3</f>
        <v>3.6</v>
      </c>
      <c r="N9" s="227">
        <f>+SUMIFS(Tabla1[Avance_Med],Tabla1[Fecha],"&gt;="&amp;$A9,Tabla1[Fecha],"&lt;="&amp;EOMONTH($A9,0),Tabla1[Codigo_actividad],N$4)*N$3</f>
        <v>54</v>
      </c>
      <c r="O9" s="227">
        <f>+SUMIFS(Tabla1[Avance_Med],Tabla1[Fecha],"&gt;="&amp;$A9,Tabla1[Fecha],"&lt;="&amp;EOMONTH($A9,0),Tabla1[Codigo_actividad],O$4)*O$3</f>
        <v>54</v>
      </c>
      <c r="P9" s="227">
        <f>+SUMIFS(Tabla1[Avance_Med],Tabla1[Fecha],"&gt;="&amp;$A9,Tabla1[Fecha],"&lt;="&amp;EOMONTH($A9,0),Tabla1[Codigo_actividad],P$4)*P$3</f>
        <v>54</v>
      </c>
      <c r="Q9" s="227">
        <f>+SUMIFS(Tabla1[Avance_Med],Tabla1[Fecha],"&gt;="&amp;$A9,Tabla1[Fecha],"&lt;="&amp;EOMONTH($A9,0),Tabla1[Codigo_actividad],Q$4)*Q$3</f>
        <v>0</v>
      </c>
      <c r="R9" s="227">
        <f>+SUMIFS(Tabla1[Avance_Med],Tabla1[Fecha],"&gt;="&amp;$A9,Tabla1[Fecha],"&lt;="&amp;EOMONTH($A9,0),Tabla1[Codigo_actividad],R$4)*R$3</f>
        <v>0</v>
      </c>
      <c r="S9" s="227">
        <f>+SUMIFS(Tabla1[Avance_Med],Tabla1[Fecha],"&gt;="&amp;$A9,Tabla1[Fecha],"&lt;="&amp;EOMONTH($A9,0),Tabla1[Codigo_actividad],S$4)*S$3</f>
        <v>0</v>
      </c>
      <c r="T9" s="227">
        <f>+SUMIFS(Tabla1[Avance_Med],Tabla1[Fecha],"&gt;="&amp;$A9,Tabla1[Fecha],"&lt;="&amp;EOMONTH($A9,0),Tabla1[Codigo_actividad],T$4)*T$3</f>
        <v>0</v>
      </c>
      <c r="U9" s="227">
        <f>+SUMIFS(Tabla1[Avance_Med],Tabla1[Fecha],"&gt;="&amp;$A9,Tabla1[Fecha],"&lt;="&amp;EOMONTH($A9,0),Tabla1[Codigo_actividad],U$4)*U$3</f>
        <v>0</v>
      </c>
      <c r="V9" s="227">
        <f>+SUMIFS(Tabla1[Avance_Med],Tabla1[Fecha],"&gt;="&amp;$A9,Tabla1[Fecha],"&lt;="&amp;EOMONTH($A9,0),Tabla1[Codigo_actividad],V$4)*V$3</f>
        <v>0</v>
      </c>
      <c r="W9" s="227">
        <f>+SUMIFS(Tabla1[Avance_Med],Tabla1[Fecha],"&gt;="&amp;$A9,Tabla1[Fecha],"&lt;="&amp;EOMONTH($A9,0),Tabla1[Codigo_actividad],W$4)*W$3</f>
        <v>0</v>
      </c>
      <c r="X9" s="227">
        <f>+SUMIFS(Tabla1[Avance_Med],Tabla1[Fecha],"&gt;="&amp;$A9,Tabla1[Fecha],"&lt;="&amp;EOMONTH($A9,0),Tabla1[Codigo_actividad],X$4)*X$3</f>
        <v>0</v>
      </c>
      <c r="Y9" s="227">
        <f>+SUMIFS(Tabla1[Avance_Med],Tabla1[Fecha],"&gt;="&amp;$A9,Tabla1[Fecha],"&lt;="&amp;EOMONTH($A9,0),Tabla1[Codigo_actividad],Y$4)*Y$3</f>
        <v>0</v>
      </c>
      <c r="Z9" s="227">
        <f>+SUMIFS(Tabla1[Avance_Med],Tabla1[Fecha],"&gt;="&amp;$A9,Tabla1[Fecha],"&lt;="&amp;EOMONTH($A9,0),Tabla1[Codigo_actividad],Z$4)*Z$3</f>
        <v>0</v>
      </c>
      <c r="AA9" s="227">
        <f>+SUMIFS(Tabla1[Avance_Med],Tabla1[Fecha],"&gt;="&amp;$A9,Tabla1[Fecha],"&lt;="&amp;EOMONTH($A9,0),Tabla1[Codigo_actividad],AA$4)*AA$3</f>
        <v>0</v>
      </c>
      <c r="AB9" s="227">
        <f>+SUMIFS(Tabla1[Avance_Med],Tabla1[Fecha],"&gt;="&amp;$A9,Tabla1[Fecha],"&lt;="&amp;EOMONTH($A9,0),Tabla1[Codigo_actividad],AB$4)*AB$3</f>
        <v>0</v>
      </c>
      <c r="AC9" s="227">
        <f>+SUMIFS(Tabla1[Avance_Med],Tabla1[Fecha],"&gt;="&amp;$A9,Tabla1[Fecha],"&lt;="&amp;EOMONTH($A9,0),Tabla1[Codigo_actividad],AC$4)*AC$3</f>
        <v>0</v>
      </c>
      <c r="AD9" s="227">
        <f>+SUMIFS(Tabla1[Avance_Med],Tabla1[Fecha],"&gt;="&amp;$A9,Tabla1[Fecha],"&lt;="&amp;EOMONTH($A9,0),Tabla1[Codigo_actividad],AD$4)*AD$3</f>
        <v>0</v>
      </c>
      <c r="AE9" s="227">
        <f>+SUMIFS(Tabla1[Avance_Med],Tabla1[Fecha],"&gt;="&amp;$A9,Tabla1[Fecha],"&lt;="&amp;EOMONTH($A9,0),Tabla1[Codigo_actividad],AE$4)*AE$3</f>
        <v>0</v>
      </c>
      <c r="AF9" s="227">
        <f>+SUMIFS(Tabla1[Avance_Med],Tabla1[Fecha],"&gt;="&amp;$A9,Tabla1[Fecha],"&lt;="&amp;EOMONTH($A9,0),Tabla1[Codigo_actividad],AF$4)*AF$3</f>
        <v>0</v>
      </c>
      <c r="AG9" s="227">
        <f>+SUMIFS(Tabla1[Avance_Med],Tabla1[Fecha],"&gt;="&amp;$A9,Tabla1[Fecha],"&lt;="&amp;EOMONTH($A9,0),Tabla1[Codigo_actividad],AG$4)*AG$3</f>
        <v>0</v>
      </c>
      <c r="AH9" s="227">
        <f>+SUMIFS(Tabla1[Avance_Med],Tabla1[Fecha],"&gt;="&amp;$A9,Tabla1[Fecha],"&lt;="&amp;EOMONTH($A9,0),Tabla1[Codigo_actividad],AH$4)*AH$3</f>
        <v>0</v>
      </c>
      <c r="AI9" s="227">
        <f>+SUMIFS(Tabla1[Avance_Med],Tabla1[Fecha],"&gt;="&amp;$A9,Tabla1[Fecha],"&lt;="&amp;EOMONTH($A9,0),Tabla1[Codigo_actividad],AI$4)*AI$3</f>
        <v>0</v>
      </c>
      <c r="AJ9" s="227">
        <f>+SUMIFS(Tabla1[Avance_Med],Tabla1[Fecha],"&gt;="&amp;$A9,Tabla1[Fecha],"&lt;="&amp;EOMONTH($A9,0),Tabla1[Codigo_actividad],AJ$4)*AJ$3</f>
        <v>0</v>
      </c>
      <c r="AK9" s="227">
        <f>+SUMIFS(Tabla1[Avance_Med],Tabla1[Fecha],"&gt;="&amp;$A9,Tabla1[Fecha],"&lt;="&amp;EOMONTH($A9,0),Tabla1[Codigo_actividad],AK$4)*AK$3</f>
        <v>0</v>
      </c>
      <c r="AL9" s="227">
        <f>+SUMIFS(Tabla1[Avance_km],Tabla1[Fecha],"&gt;="&amp;$A9,Tabla1[Fecha],"&lt;="&amp;EOMONTH($A9,0),Tabla1[Codigo_actividad],AL$4)*AL$3</f>
        <v>0</v>
      </c>
      <c r="AM9" s="227">
        <f>+SUMIFS(Tabla1[Avance_Med],Tabla1[Fecha],"&gt;="&amp;$A9,Tabla1[Fecha],"&lt;="&amp;EOMONTH($A9,0),Tabla1[Codigo_actividad],AM$4)*AM$3</f>
        <v>0</v>
      </c>
    </row>
    <row r="10" spans="1:39" x14ac:dyDescent="0.25">
      <c r="A10" s="222">
        <v>46113</v>
      </c>
      <c r="B10" s="227">
        <f>+SUMIFS(Tabla1[Avance_Med],Tabla1[Fecha],"&gt;="&amp;$A10,Tabla1[Fecha],"&lt;="&amp;EOMONTH($A10,0),Tabla1[Codigo_actividad],B$4)*B$3</f>
        <v>17</v>
      </c>
      <c r="C10" s="227">
        <f>+SUMIFS(Tabla1[Avance_Med],Tabla1[Fecha],"&gt;="&amp;$A10,Tabla1[Fecha],"&lt;="&amp;EOMONTH($A10,0),Tabla1[Codigo_actividad],C$4)*C$3</f>
        <v>17</v>
      </c>
      <c r="D10" s="227">
        <f>+SUMIFS(Tabla1[Avance_Med],Tabla1[Fecha],"&gt;="&amp;$A10,Tabla1[Fecha],"&lt;="&amp;EOMONTH($A10,0),Tabla1[Codigo_actividad],D$4)*D$3</f>
        <v>17</v>
      </c>
      <c r="E10" s="227">
        <f>+SUMIFS(Tabla1[Avance_Med],Tabla1[Fecha],"&gt;="&amp;$A10,Tabla1[Fecha],"&lt;="&amp;EOMONTH($A10,0),Tabla1[Codigo_actividad],E$4)*E$3</f>
        <v>17</v>
      </c>
      <c r="F10" s="227">
        <f>+SUMIFS(Tabla1[Avance_Med],Tabla1[Fecha],"&gt;="&amp;$A10,Tabla1[Fecha],"&lt;="&amp;EOMONTH($A10,0),Tabla1[Codigo_actividad],F$4)*F$3</f>
        <v>17</v>
      </c>
      <c r="G10" s="227">
        <f>+SUMIFS(Tabla1[Avance_Med],Tabla1[Fecha],"&gt;="&amp;$A10,Tabla1[Fecha],"&lt;="&amp;EOMONTH($A10,0),Tabla1[Codigo_actividad],G$4)*G$3</f>
        <v>17</v>
      </c>
      <c r="H10" s="339">
        <f>+SUMIFS(Tabla1[Avance_km],Tabla1[Fecha],"&gt;="&amp;$A10,Tabla1[Fecha],"&lt;="&amp;EOMONTH($A10,0),Tabla1[Codigo_actividad],H$4)*H$3</f>
        <v>0</v>
      </c>
      <c r="I10" s="227"/>
      <c r="J10" s="339">
        <f>+SUMIFS(Tabla1[Avance_km],Tabla1[Fecha],"&gt;="&amp;$A10,Tabla1[Fecha],"&lt;="&amp;EOMONTH($A10,0),Tabla1[Codigo_actividad],J$4, Tabla1[Avance_km],"&gt;0")*J$3</f>
        <v>5.9550000000000001</v>
      </c>
      <c r="K10" s="477">
        <f>ROUND(SUMIFS(Tabla1[Avance_km],Tabla1[Fecha],"&gt;="&amp;$A10,Tabla1[Fecha],"&lt;="&amp;EOMONTH($A10,0),Tabla1[Codigo_actividad],K$4,Tabla1[Avance_km],"&gt;0"),3)*K$3</f>
        <v>0</v>
      </c>
      <c r="L10" s="227">
        <f>+SUMIFS(Tabla1[Avance_Med],Tabla1[Fecha],"&gt;="&amp;$A10,Tabla1[Fecha],"&lt;="&amp;EOMONTH($A10,0),Tabla1[Codigo_actividad],L$4)*L$3</f>
        <v>0</v>
      </c>
      <c r="M10" s="339">
        <f>+SUMIFS(Tabla1[Avance_km],Tabla1[Fecha],"&gt;="&amp;$A10,Tabla1[Fecha],"&lt;="&amp;EOMONTH($A10,0),Tabla1[Codigo_actividad],M$4)*M$3</f>
        <v>21.635999999999999</v>
      </c>
      <c r="N10" s="227">
        <f>+SUMIFS(Tabla1[Avance_Med],Tabla1[Fecha],"&gt;="&amp;$A10,Tabla1[Fecha],"&lt;="&amp;EOMONTH($A10,0),Tabla1[Codigo_actividad],N$4)*N$3</f>
        <v>0</v>
      </c>
      <c r="O10" s="227">
        <f>+SUMIFS(Tabla1[Avance_Med],Tabla1[Fecha],"&gt;="&amp;$A10,Tabla1[Fecha],"&lt;="&amp;EOMONTH($A10,0),Tabla1[Codigo_actividad],O$4)*O$3</f>
        <v>0</v>
      </c>
      <c r="P10" s="227">
        <f>+SUMIFS(Tabla1[Avance_Med],Tabla1[Fecha],"&gt;="&amp;$A10,Tabla1[Fecha],"&lt;="&amp;EOMONTH($A10,0),Tabla1[Codigo_actividad],P$4)*P$3</f>
        <v>0</v>
      </c>
      <c r="Q10" s="227">
        <f>+SUMIFS(Tabla1[Avance_Med],Tabla1[Fecha],"&gt;="&amp;$A10,Tabla1[Fecha],"&lt;="&amp;EOMONTH($A10,0),Tabla1[Codigo_actividad],Q$4)*Q$3</f>
        <v>0</v>
      </c>
      <c r="R10" s="227">
        <f>+SUMIFS(Tabla1[Avance_Med],Tabla1[Fecha],"&gt;="&amp;$A10,Tabla1[Fecha],"&lt;="&amp;EOMONTH($A10,0),Tabla1[Codigo_actividad],R$4)*R$3</f>
        <v>0</v>
      </c>
      <c r="S10" s="227">
        <f>+SUMIFS(Tabla1[Avance_Med],Tabla1[Fecha],"&gt;="&amp;$A10,Tabla1[Fecha],"&lt;="&amp;EOMONTH($A10,0),Tabla1[Codigo_actividad],S$4)*S$3</f>
        <v>0</v>
      </c>
      <c r="T10" s="227">
        <f>+SUMIFS(Tabla1[Avance_Med],Tabla1[Fecha],"&gt;="&amp;$A10,Tabla1[Fecha],"&lt;="&amp;EOMONTH($A10,0),Tabla1[Codigo_actividad],T$4)*T$3</f>
        <v>0</v>
      </c>
      <c r="U10" s="227">
        <f>+SUMIFS(Tabla1[Avance_Med],Tabla1[Fecha],"&gt;="&amp;$A10,Tabla1[Fecha],"&lt;="&amp;EOMONTH($A10,0),Tabla1[Codigo_actividad],U$4)*U$3</f>
        <v>0</v>
      </c>
      <c r="V10" s="227">
        <f>+SUMIFS(Tabla1[Avance_Med],Tabla1[Fecha],"&gt;="&amp;$A10,Tabla1[Fecha],"&lt;="&amp;EOMONTH($A10,0),Tabla1[Codigo_actividad],V$4)*V$3</f>
        <v>0</v>
      </c>
      <c r="W10" s="227">
        <f>+SUMIFS(Tabla1[Avance_Med],Tabla1[Fecha],"&gt;="&amp;$A10,Tabla1[Fecha],"&lt;="&amp;EOMONTH($A10,0),Tabla1[Codigo_actividad],W$4)*W$3</f>
        <v>0</v>
      </c>
      <c r="X10" s="227">
        <f>+SUMIFS(Tabla1[Avance_Med],Tabla1[Fecha],"&gt;="&amp;$A10,Tabla1[Fecha],"&lt;="&amp;EOMONTH($A10,0),Tabla1[Codigo_actividad],X$4)*X$3</f>
        <v>0</v>
      </c>
      <c r="Y10" s="227">
        <f>+SUMIFS(Tabla1[Avance_Med],Tabla1[Fecha],"&gt;="&amp;$A10,Tabla1[Fecha],"&lt;="&amp;EOMONTH($A10,0),Tabla1[Codigo_actividad],Y$4)*Y$3</f>
        <v>0</v>
      </c>
      <c r="Z10" s="227">
        <f>+SUMIFS(Tabla1[Avance_Med],Tabla1[Fecha],"&gt;="&amp;$A10,Tabla1[Fecha],"&lt;="&amp;EOMONTH($A10,0),Tabla1[Codigo_actividad],Z$4)*Z$3</f>
        <v>0</v>
      </c>
      <c r="AA10" s="227">
        <f>+SUMIFS(Tabla1[Avance_Med],Tabla1[Fecha],"&gt;="&amp;$A10,Tabla1[Fecha],"&lt;="&amp;EOMONTH($A10,0),Tabla1[Codigo_actividad],AA$4)*AA$3</f>
        <v>0</v>
      </c>
      <c r="AB10" s="227">
        <f>+SUMIFS(Tabla1[Avance_Med],Tabla1[Fecha],"&gt;="&amp;$A10,Tabla1[Fecha],"&lt;="&amp;EOMONTH($A10,0),Tabla1[Codigo_actividad],AB$4)*AB$3</f>
        <v>0</v>
      </c>
      <c r="AC10" s="227">
        <f>+SUMIFS(Tabla1[Avance_Med],Tabla1[Fecha],"&gt;="&amp;$A10,Tabla1[Fecha],"&lt;="&amp;EOMONTH($A10,0),Tabla1[Codigo_actividad],AC$4)*AC$3</f>
        <v>0</v>
      </c>
      <c r="AD10" s="227">
        <f>+SUMIFS(Tabla1[Avance_Med],Tabla1[Fecha],"&gt;="&amp;$A10,Tabla1[Fecha],"&lt;="&amp;EOMONTH($A10,0),Tabla1[Codigo_actividad],AD$4)*AD$3</f>
        <v>0</v>
      </c>
      <c r="AE10" s="227">
        <f>+SUMIFS(Tabla1[Avance_Med],Tabla1[Fecha],"&gt;="&amp;$A10,Tabla1[Fecha],"&lt;="&amp;EOMONTH($A10,0),Tabla1[Codigo_actividad],AE$4)*AE$3</f>
        <v>0</v>
      </c>
      <c r="AF10" s="227">
        <f>+SUMIFS(Tabla1[Avance_Med],Tabla1[Fecha],"&gt;="&amp;$A10,Tabla1[Fecha],"&lt;="&amp;EOMONTH($A10,0),Tabla1[Codigo_actividad],AF$4)*AF$3</f>
        <v>0</v>
      </c>
      <c r="AG10" s="227">
        <f>+SUMIFS(Tabla1[Avance_Med],Tabla1[Fecha],"&gt;="&amp;$A10,Tabla1[Fecha],"&lt;="&amp;EOMONTH($A10,0),Tabla1[Codigo_actividad],AG$4)*AG$3</f>
        <v>0</v>
      </c>
      <c r="AH10" s="227">
        <f>+SUMIFS(Tabla1[Avance_Med],Tabla1[Fecha],"&gt;="&amp;$A10,Tabla1[Fecha],"&lt;="&amp;EOMONTH($A10,0),Tabla1[Codigo_actividad],AH$4)*AH$3</f>
        <v>0</v>
      </c>
      <c r="AI10" s="227">
        <f>+SUMIFS(Tabla1[Avance_Med],Tabla1[Fecha],"&gt;="&amp;$A10,Tabla1[Fecha],"&lt;="&amp;EOMONTH($A10,0),Tabla1[Codigo_actividad],AI$4)*AI$3</f>
        <v>0</v>
      </c>
      <c r="AJ10" s="227">
        <f>+SUMIFS(Tabla1[Avance_Med],Tabla1[Fecha],"&gt;="&amp;$A10,Tabla1[Fecha],"&lt;="&amp;EOMONTH($A10,0),Tabla1[Codigo_actividad],AJ$4)*AJ$3</f>
        <v>0</v>
      </c>
      <c r="AK10" s="227">
        <f>+SUMIFS(Tabla1[Avance_Med],Tabla1[Fecha],"&gt;="&amp;$A10,Tabla1[Fecha],"&lt;="&amp;EOMONTH($A10,0),Tabla1[Codigo_actividad],AK$4)*AK$3</f>
        <v>0</v>
      </c>
      <c r="AL10" s="227">
        <f>+SUMIFS(Tabla1[Avance_km],Tabla1[Fecha],"&gt;="&amp;$A10,Tabla1[Fecha],"&lt;="&amp;EOMONTH($A10,0),Tabla1[Codigo_actividad],AL$4)*AL$3</f>
        <v>0</v>
      </c>
      <c r="AM10" s="227">
        <f>+SUMIFS(Tabla1[Avance_Med],Tabla1[Fecha],"&gt;="&amp;$A10,Tabla1[Fecha],"&lt;="&amp;EOMONTH($A10,0),Tabla1[Codigo_actividad],AM$4)*AM$3</f>
        <v>0</v>
      </c>
    </row>
    <row r="11" spans="1:39" x14ac:dyDescent="0.25">
      <c r="A11" s="222">
        <v>46143</v>
      </c>
      <c r="B11" s="227">
        <v>0</v>
      </c>
      <c r="C11" s="227">
        <f>+SUMIFS(Tabla1[Avance_Med],Tabla1[Fecha],"&gt;="&amp;$A11,Tabla1[Fecha],"&lt;="&amp;EOMONTH($A11,0),Tabla1[Codigo_actividad],C$4)*C$3</f>
        <v>0</v>
      </c>
      <c r="D11" s="227">
        <f>+SUMIFS(Tabla1[Avance_Med],Tabla1[Fecha],"&gt;="&amp;$A11,Tabla1[Fecha],"&lt;="&amp;EOMONTH($A11,0),Tabla1[Codigo_actividad],D$4)*D$3</f>
        <v>0</v>
      </c>
      <c r="E11" s="227">
        <f>+SUMIFS(Tabla1[Avance_Med],Tabla1[Fecha],"&gt;="&amp;$A11,Tabla1[Fecha],"&lt;="&amp;EOMONTH($A11,0),Tabla1[Codigo_actividad],E$4)*E$3</f>
        <v>0</v>
      </c>
      <c r="F11" s="227">
        <f>+SUMIFS(Tabla1[Avance_Med],Tabla1[Fecha],"&gt;="&amp;$A11,Tabla1[Fecha],"&lt;="&amp;EOMONTH($A11,0),Tabla1[Codigo_actividad],F$4)*F$3</f>
        <v>0</v>
      </c>
      <c r="G11" s="227">
        <f>+SUMIFS(Tabla1[Avance_Med],Tabla1[Fecha],"&gt;="&amp;$A11,Tabla1[Fecha],"&lt;="&amp;EOMONTH($A11,0),Tabla1[Codigo_actividad],G$4)*G$3</f>
        <v>0</v>
      </c>
      <c r="H11" s="339">
        <f>+SUMIFS(Tabla1[Avance_km],Tabla1[Fecha],"&gt;="&amp;$A11,Tabla1[Fecha],"&lt;="&amp;EOMONTH($A11,0),Tabla1[Codigo_actividad],H$4)*H$3</f>
        <v>11.253</v>
      </c>
      <c r="I11" s="227"/>
      <c r="J11" s="339">
        <f>+SUMIFS(Tabla1[Avance_km],Tabla1[Fecha],"&gt;="&amp;$A11,Tabla1[Fecha],"&lt;="&amp;EOMONTH($A11,0),Tabla1[Codigo_actividad],J$4, Tabla1[Avance_km],"&gt;0")*J$3</f>
        <v>19.906000000000002</v>
      </c>
      <c r="K11" s="477">
        <f>ROUND(SUMIFS(Tabla1[Avance_km],Tabla1[Fecha],"&gt;="&amp;$A11,Tabla1[Fecha],"&lt;="&amp;EOMONTH($A11,0),Tabla1[Codigo_actividad],K$4,Tabla1[Avance_km],"&gt;0"),3)*K$3</f>
        <v>0</v>
      </c>
      <c r="L11" s="227">
        <f>+SUMIFS(Tabla1[Avance_Med],Tabla1[Fecha],"&gt;="&amp;$A11,Tabla1[Fecha],"&lt;="&amp;EOMONTH($A11,0),Tabla1[Codigo_actividad],L$4)*L$3</f>
        <v>0</v>
      </c>
      <c r="M11" s="339">
        <f>+SUMIFS(Tabla1[Avance_km],Tabla1[Fecha],"&gt;="&amp;$A11,Tabla1[Fecha],"&lt;="&amp;EOMONTH($A11,0),Tabla1[Codigo_actividad],M$4)*M$3</f>
        <v>3.6269999999999998</v>
      </c>
      <c r="N11" s="227">
        <f>+SUMIFS(Tabla1[Avance_Med],Tabla1[Fecha],"&gt;="&amp;$A11,Tabla1[Fecha],"&lt;="&amp;EOMONTH($A11,0),Tabla1[Codigo_actividad],N$4)*N$3</f>
        <v>0</v>
      </c>
      <c r="O11" s="227">
        <f>+SUMIFS(Tabla1[Avance_Med],Tabla1[Fecha],"&gt;="&amp;$A11,Tabla1[Fecha],"&lt;="&amp;EOMONTH($A11,0),Tabla1[Codigo_actividad],O$4)*O$3</f>
        <v>0</v>
      </c>
      <c r="P11" s="227">
        <f>+SUMIFS(Tabla1[Avance_Med],Tabla1[Fecha],"&gt;="&amp;$A11,Tabla1[Fecha],"&lt;="&amp;EOMONTH($A11,0),Tabla1[Codigo_actividad],P$4)*P$3</f>
        <v>0</v>
      </c>
      <c r="Q11" s="227">
        <f>+SUMIFS(Tabla1[Avance_Med],Tabla1[Fecha],"&gt;="&amp;$A11,Tabla1[Fecha],"&lt;="&amp;EOMONTH($A11,0),Tabla1[Codigo_actividad],Q$4)*Q$3</f>
        <v>0</v>
      </c>
      <c r="R11" s="227">
        <f>+SUMIFS(Tabla1[Avance_Med],Tabla1[Fecha],"&gt;="&amp;$A11,Tabla1[Fecha],"&lt;="&amp;EOMONTH($A11,0),Tabla1[Codigo_actividad],R$4)*R$3</f>
        <v>0</v>
      </c>
      <c r="S11" s="227">
        <f>+SUMIFS(Tabla1[Avance_Med],Tabla1[Fecha],"&gt;="&amp;$A11,Tabla1[Fecha],"&lt;="&amp;EOMONTH($A11,0),Tabla1[Codigo_actividad],S$4)*S$3</f>
        <v>0</v>
      </c>
      <c r="T11" s="227">
        <f>+SUMIFS(Tabla1[Avance_Med],Tabla1[Fecha],"&gt;="&amp;$A11,Tabla1[Fecha],"&lt;="&amp;EOMONTH($A11,0),Tabla1[Codigo_actividad],T$4)*T$3</f>
        <v>0</v>
      </c>
      <c r="U11" s="227">
        <f>+SUMIFS(Tabla1[Avance_Med],Tabla1[Fecha],"&gt;="&amp;$A11,Tabla1[Fecha],"&lt;="&amp;EOMONTH($A11,0),Tabla1[Codigo_actividad],U$4)*U$3</f>
        <v>0</v>
      </c>
      <c r="V11" s="227">
        <f>+SUMIFS(Tabla1[Avance_Med],Tabla1[Fecha],"&gt;="&amp;$A11,Tabla1[Fecha],"&lt;="&amp;EOMONTH($A11,0),Tabla1[Codigo_actividad],V$4)*V$3</f>
        <v>0</v>
      </c>
      <c r="W11" s="227">
        <f>+SUMIFS(Tabla1[Avance_Med],Tabla1[Fecha],"&gt;="&amp;$A11,Tabla1[Fecha],"&lt;="&amp;EOMONTH($A11,0),Tabla1[Codigo_actividad],W$4)*W$3</f>
        <v>0</v>
      </c>
      <c r="X11" s="227">
        <f>+SUMIFS(Tabla1[Avance_Med],Tabla1[Fecha],"&gt;="&amp;$A11,Tabla1[Fecha],"&lt;="&amp;EOMONTH($A11,0),Tabla1[Codigo_actividad],X$4)*X$3</f>
        <v>0</v>
      </c>
      <c r="Y11" s="227">
        <f>+SUMIFS(Tabla1[Avance_Med],Tabla1[Fecha],"&gt;="&amp;$A11,Tabla1[Fecha],"&lt;="&amp;EOMONTH($A11,0),Tabla1[Codigo_actividad],Y$4)*Y$3</f>
        <v>0</v>
      </c>
      <c r="Z11" s="227">
        <f>+SUMIFS(Tabla1[Avance_Med],Tabla1[Fecha],"&gt;="&amp;$A11,Tabla1[Fecha],"&lt;="&amp;EOMONTH($A11,0),Tabla1[Codigo_actividad],Z$4)*Z$3</f>
        <v>0</v>
      </c>
      <c r="AA11" s="227">
        <f>+SUMIFS(Tabla1[Avance_Med],Tabla1[Fecha],"&gt;="&amp;$A11,Tabla1[Fecha],"&lt;="&amp;EOMONTH($A11,0),Tabla1[Codigo_actividad],AA$4)*AA$3</f>
        <v>0</v>
      </c>
      <c r="AB11" s="227">
        <f>+SUMIFS(Tabla1[Avance_Med],Tabla1[Fecha],"&gt;="&amp;$A11,Tabla1[Fecha],"&lt;="&amp;EOMONTH($A11,0),Tabla1[Codigo_actividad],AB$4)*AB$3</f>
        <v>0</v>
      </c>
      <c r="AC11" s="227">
        <f>+SUMIFS(Tabla1[Avance_Med],Tabla1[Fecha],"&gt;="&amp;$A11,Tabla1[Fecha],"&lt;="&amp;EOMONTH($A11,0),Tabla1[Codigo_actividad],AC$4)*AC$3</f>
        <v>0</v>
      </c>
      <c r="AD11" s="227">
        <f>+SUMIFS(Tabla1[Avance_Med],Tabla1[Fecha],"&gt;="&amp;$A11,Tabla1[Fecha],"&lt;="&amp;EOMONTH($A11,0),Tabla1[Codigo_actividad],AD$4)*AD$3</f>
        <v>0</v>
      </c>
      <c r="AE11" s="227">
        <f>+SUMIFS(Tabla1[Avance_Med],Tabla1[Fecha],"&gt;="&amp;$A11,Tabla1[Fecha],"&lt;="&amp;EOMONTH($A11,0),Tabla1[Codigo_actividad],AE$4)*AE$3</f>
        <v>0</v>
      </c>
      <c r="AF11" s="227">
        <f>+SUMIFS(Tabla1[Avance_Med],Tabla1[Fecha],"&gt;="&amp;$A11,Tabla1[Fecha],"&lt;="&amp;EOMONTH($A11,0),Tabla1[Codigo_actividad],AF$4)*AF$3</f>
        <v>0</v>
      </c>
      <c r="AG11" s="227">
        <f>+SUMIFS(Tabla1[Avance_Med],Tabla1[Fecha],"&gt;="&amp;$A11,Tabla1[Fecha],"&lt;="&amp;EOMONTH($A11,0),Tabla1[Codigo_actividad],AG$4)*AG$3</f>
        <v>0</v>
      </c>
      <c r="AH11" s="227">
        <f>+SUMIFS(Tabla1[Avance_Med],Tabla1[Fecha],"&gt;="&amp;$A11,Tabla1[Fecha],"&lt;="&amp;EOMONTH($A11,0),Tabla1[Codigo_actividad],AH$4)*AH$3</f>
        <v>0</v>
      </c>
      <c r="AI11" s="227">
        <f>+SUMIFS(Tabla1[Avance_Med],Tabla1[Fecha],"&gt;="&amp;$A11,Tabla1[Fecha],"&lt;="&amp;EOMONTH($A11,0),Tabla1[Codigo_actividad],AI$4)*AI$3</f>
        <v>0</v>
      </c>
      <c r="AJ11" s="227">
        <f>+SUMIFS(Tabla1[Avance_Med],Tabla1[Fecha],"&gt;="&amp;$A11,Tabla1[Fecha],"&lt;="&amp;EOMONTH($A11,0),Tabla1[Codigo_actividad],AJ$4)*AJ$3</f>
        <v>0</v>
      </c>
      <c r="AK11" s="227">
        <f>+SUMIFS(Tabla1[Avance_Med],Tabla1[Fecha],"&gt;="&amp;$A11,Tabla1[Fecha],"&lt;="&amp;EOMONTH($A11,0),Tabla1[Codigo_actividad],AK$4)*AK$3</f>
        <v>0</v>
      </c>
      <c r="AL11" s="227">
        <f>+SUMIFS(Tabla1[Avance_km],Tabla1[Fecha],"&gt;="&amp;$A11,Tabla1[Fecha],"&lt;="&amp;EOMONTH($A11,0),Tabla1[Codigo_actividad],AL$4)*AL$3</f>
        <v>0</v>
      </c>
      <c r="AM11" s="227">
        <f>+SUMIFS(Tabla1[Avance_Med],Tabla1[Fecha],"&gt;="&amp;$A11,Tabla1[Fecha],"&lt;="&amp;EOMONTH($A11,0),Tabla1[Codigo_actividad],AM$4)*AM$3</f>
        <v>0</v>
      </c>
    </row>
    <row r="12" spans="1:39" x14ac:dyDescent="0.25">
      <c r="A12" s="222">
        <v>46174</v>
      </c>
      <c r="B12" s="227">
        <v>0</v>
      </c>
      <c r="C12" s="227">
        <f>+SUMIFS(Tabla1[Avance_Med],Tabla1[Fecha],"&gt;="&amp;$A12,Tabla1[Fecha],"&lt;="&amp;EOMONTH($A12,0),Tabla1[Codigo_actividad],C$4)*C$3</f>
        <v>0</v>
      </c>
      <c r="D12" s="227">
        <f>+SUMIFS(Tabla1[Avance_Med],Tabla1[Fecha],"&gt;="&amp;$A12,Tabla1[Fecha],"&lt;="&amp;EOMONTH($A12,0),Tabla1[Codigo_actividad],D$4)*D$3</f>
        <v>0</v>
      </c>
      <c r="E12" s="227">
        <f>+SUMIFS(Tabla1[Avance_Med],Tabla1[Fecha],"&gt;="&amp;$A12,Tabla1[Fecha],"&lt;="&amp;EOMONTH($A12,0),Tabla1[Codigo_actividad],E$4)*E$3</f>
        <v>0</v>
      </c>
      <c r="F12" s="227">
        <f>+SUMIFS(Tabla1[Avance_Med],Tabla1[Fecha],"&gt;="&amp;$A12,Tabla1[Fecha],"&lt;="&amp;EOMONTH($A12,0),Tabla1[Codigo_actividad],F$4)*F$3</f>
        <v>0</v>
      </c>
      <c r="G12" s="227">
        <f>+SUMIFS(Tabla1[Avance_Med],Tabla1[Fecha],"&gt;="&amp;$A12,Tabla1[Fecha],"&lt;="&amp;EOMONTH($A12,0),Tabla1[Codigo_actividad],G$4)*G$3</f>
        <v>0</v>
      </c>
      <c r="H12" s="339">
        <f>+SUMIFS(Tabla1[Avance_km],Tabla1[Fecha],"&gt;="&amp;$A12,Tabla1[Fecha],"&lt;="&amp;EOMONTH($A12,0),Tabla1[Codigo_actividad],H$4)*H$3</f>
        <v>20.328000000000003</v>
      </c>
      <c r="I12" s="227"/>
      <c r="J12" s="339">
        <f>+SUMIFS(Tabla1[Avance_km],Tabla1[Fecha],"&gt;="&amp;$A12,Tabla1[Fecha],"&lt;="&amp;EOMONTH($A12,0),Tabla1[Codigo_actividad],J$4, Tabla1[Avance_km],"&gt;0")*J$3</f>
        <v>0</v>
      </c>
      <c r="K12" s="477">
        <f>ROUND(SUMIFS(Tabla1[Avance_km],Tabla1[Fecha],"&gt;="&amp;$A12,Tabla1[Fecha],"&lt;="&amp;EOMONTH($A12,0),Tabla1[Codigo_actividad],K$4,Tabla1[Avance_km],"&gt;0"),3)*K$3</f>
        <v>0</v>
      </c>
      <c r="L12" s="227">
        <f>+SUMIFS(Tabla1[Avance_Med],Tabla1[Fecha],"&gt;="&amp;$A12,Tabla1[Fecha],"&lt;="&amp;EOMONTH($A12,0),Tabla1[Codigo_actividad],L$4)*L$3</f>
        <v>0</v>
      </c>
      <c r="M12" s="339">
        <f>+SUMIFS(Tabla1[Avance_km],Tabla1[Fecha],"&gt;="&amp;$A12,Tabla1[Fecha],"&lt;="&amp;EOMONTH($A12,0),Tabla1[Codigo_actividad],M$4)*M$3</f>
        <v>5.4169999999999998</v>
      </c>
      <c r="N12" s="227">
        <f>+SUMIFS(Tabla1[Avance_Med],Tabla1[Fecha],"&gt;="&amp;$A12,Tabla1[Fecha],"&lt;="&amp;EOMONTH($A12,0),Tabla1[Codigo_actividad],N$4)*N$3</f>
        <v>0</v>
      </c>
      <c r="O12" s="227">
        <f>+SUMIFS(Tabla1[Avance_Med],Tabla1[Fecha],"&gt;="&amp;$A12,Tabla1[Fecha],"&lt;="&amp;EOMONTH($A12,0),Tabla1[Codigo_actividad],O$4)*O$3</f>
        <v>0</v>
      </c>
      <c r="P12" s="227">
        <f>+SUMIFS(Tabla1[Avance_Med],Tabla1[Fecha],"&gt;="&amp;$A12,Tabla1[Fecha],"&lt;="&amp;EOMONTH($A12,0),Tabla1[Codigo_actividad],P$4)*P$3</f>
        <v>0</v>
      </c>
      <c r="Q12" s="227">
        <f>+SUMIFS(Tabla1[Avance_Med],Tabla1[Fecha],"&gt;="&amp;$A12,Tabla1[Fecha],"&lt;="&amp;EOMONTH($A12,0),Tabla1[Codigo_actividad],Q$4)*Q$3</f>
        <v>0</v>
      </c>
      <c r="R12" s="227">
        <f>+SUMIFS(Tabla1[Avance_Med],Tabla1[Fecha],"&gt;="&amp;$A12,Tabla1[Fecha],"&lt;="&amp;EOMONTH($A12,0),Tabla1[Codigo_actividad],R$4)*R$3</f>
        <v>0</v>
      </c>
      <c r="S12" s="227">
        <f>+SUMIFS(Tabla1[Avance_Med],Tabla1[Fecha],"&gt;="&amp;$A12,Tabla1[Fecha],"&lt;="&amp;EOMONTH($A12,0),Tabla1[Codigo_actividad],S$4)*S$3</f>
        <v>0</v>
      </c>
      <c r="T12" s="227">
        <f>+SUMIFS(Tabla1[Avance_Med],Tabla1[Fecha],"&gt;="&amp;$A12,Tabla1[Fecha],"&lt;="&amp;EOMONTH($A12,0),Tabla1[Codigo_actividad],T$4)*T$3</f>
        <v>0</v>
      </c>
      <c r="U12" s="227">
        <f>+SUMIFS(Tabla1[Avance_Med],Tabla1[Fecha],"&gt;="&amp;$A12,Tabla1[Fecha],"&lt;="&amp;EOMONTH($A12,0),Tabla1[Codigo_actividad],U$4)*U$3</f>
        <v>0</v>
      </c>
      <c r="V12" s="227">
        <f>+SUMIFS(Tabla1[Avance_Med],Tabla1[Fecha],"&gt;="&amp;$A12,Tabla1[Fecha],"&lt;="&amp;EOMONTH($A12,0),Tabla1[Codigo_actividad],V$4)*V$3</f>
        <v>0</v>
      </c>
      <c r="W12" s="227">
        <f>+SUMIFS(Tabla1[Avance_Med],Tabla1[Fecha],"&gt;="&amp;$A12,Tabla1[Fecha],"&lt;="&amp;EOMONTH($A12,0),Tabla1[Codigo_actividad],W$4)*W$3</f>
        <v>0</v>
      </c>
      <c r="X12" s="227">
        <f>+SUMIFS(Tabla1[Avance_Med],Tabla1[Fecha],"&gt;="&amp;$A12,Tabla1[Fecha],"&lt;="&amp;EOMONTH($A12,0),Tabla1[Codigo_actividad],X$4)*X$3</f>
        <v>0</v>
      </c>
      <c r="Y12" s="227">
        <f>+SUMIFS(Tabla1[Avance_Med],Tabla1[Fecha],"&gt;="&amp;$A12,Tabla1[Fecha],"&lt;="&amp;EOMONTH($A12,0),Tabla1[Codigo_actividad],Y$4)*Y$3</f>
        <v>0</v>
      </c>
      <c r="Z12" s="227">
        <f>+SUMIFS(Tabla1[Avance_Med],Tabla1[Fecha],"&gt;="&amp;$A12,Tabla1[Fecha],"&lt;="&amp;EOMONTH($A12,0),Tabla1[Codigo_actividad],Z$4)*Z$3</f>
        <v>0</v>
      </c>
      <c r="AA12" s="227">
        <f>+SUMIFS(Tabla1[Avance_Med],Tabla1[Fecha],"&gt;="&amp;$A12,Tabla1[Fecha],"&lt;="&amp;EOMONTH($A12,0),Tabla1[Codigo_actividad],AA$4)*AA$3</f>
        <v>0</v>
      </c>
      <c r="AB12" s="227">
        <f>+SUMIFS(Tabla1[Avance_Med],Tabla1[Fecha],"&gt;="&amp;$A12,Tabla1[Fecha],"&lt;="&amp;EOMONTH($A12,0),Tabla1[Codigo_actividad],AB$4)*AB$3</f>
        <v>0</v>
      </c>
      <c r="AC12" s="227">
        <f>+SUMIFS(Tabla1[Avance_Med],Tabla1[Fecha],"&gt;="&amp;$A12,Tabla1[Fecha],"&lt;="&amp;EOMONTH($A12,0),Tabla1[Codigo_actividad],AC$4)*AC$3</f>
        <v>0</v>
      </c>
      <c r="AD12" s="227">
        <f>+SUMIFS(Tabla1[Avance_Med],Tabla1[Fecha],"&gt;="&amp;$A12,Tabla1[Fecha],"&lt;="&amp;EOMONTH($A12,0),Tabla1[Codigo_actividad],AD$4)*AD$3</f>
        <v>0</v>
      </c>
      <c r="AE12" s="227">
        <f>+SUMIFS(Tabla1[Avance_Med],Tabla1[Fecha],"&gt;="&amp;$A12,Tabla1[Fecha],"&lt;="&amp;EOMONTH($A12,0),Tabla1[Codigo_actividad],AE$4)*AE$3</f>
        <v>0</v>
      </c>
      <c r="AF12" s="227">
        <f>+SUMIFS(Tabla1[Avance_Med],Tabla1[Fecha],"&gt;="&amp;$A12,Tabla1[Fecha],"&lt;="&amp;EOMONTH($A12,0),Tabla1[Codigo_actividad],AF$4)*AF$3</f>
        <v>0</v>
      </c>
      <c r="AG12" s="227">
        <f>+SUMIFS(Tabla1[Avance_Med],Tabla1[Fecha],"&gt;="&amp;$A12,Tabla1[Fecha],"&lt;="&amp;EOMONTH($A12,0),Tabla1[Codigo_actividad],AG$4)*AG$3</f>
        <v>0</v>
      </c>
      <c r="AH12" s="227">
        <f>+SUMIFS(Tabla1[Avance_Med],Tabla1[Fecha],"&gt;="&amp;$A12,Tabla1[Fecha],"&lt;="&amp;EOMONTH($A12,0),Tabla1[Codigo_actividad],AH$4)*AH$3</f>
        <v>0</v>
      </c>
      <c r="AI12" s="227">
        <f>+SUMIFS(Tabla1[Avance_Med],Tabla1[Fecha],"&gt;="&amp;$A12,Tabla1[Fecha],"&lt;="&amp;EOMONTH($A12,0),Tabla1[Codigo_actividad],AI$4)*AI$3</f>
        <v>0</v>
      </c>
      <c r="AJ12" s="227">
        <f>+SUMIFS(Tabla1[Avance_Med],Tabla1[Fecha],"&gt;="&amp;$A12,Tabla1[Fecha],"&lt;="&amp;EOMONTH($A12,0),Tabla1[Codigo_actividad],AJ$4)*AJ$3</f>
        <v>0</v>
      </c>
      <c r="AK12" s="227">
        <f>+SUMIFS(Tabla1[Avance_Med],Tabla1[Fecha],"&gt;="&amp;$A12,Tabla1[Fecha],"&lt;="&amp;EOMONTH($A12,0),Tabla1[Codigo_actividad],AK$4)*AK$3</f>
        <v>0</v>
      </c>
      <c r="AL12" s="227">
        <f>+SUMIFS(Tabla1[Avance_km],Tabla1[Fecha],"&gt;="&amp;$A12,Tabla1[Fecha],"&lt;="&amp;EOMONTH($A12,0),Tabla1[Codigo_actividad],AL$4)*AL$3</f>
        <v>0</v>
      </c>
      <c r="AM12" s="227">
        <f>+SUMIFS(Tabla1[Avance_Med],Tabla1[Fecha],"&gt;="&amp;$A12,Tabla1[Fecha],"&lt;="&amp;EOMONTH($A12,0),Tabla1[Codigo_actividad],AM$4)*AM$3</f>
        <v>0</v>
      </c>
    </row>
    <row r="13" spans="1:39" x14ac:dyDescent="0.25">
      <c r="A13" s="222">
        <v>46204</v>
      </c>
      <c r="B13" s="227">
        <v>0</v>
      </c>
      <c r="C13" s="227">
        <f>+SUMIFS(Tabla1[Avance_Med],Tabla1[Fecha],"&gt;="&amp;$A13,Tabla1[Fecha],"&lt;="&amp;EOMONTH($A13,0),Tabla1[Codigo_actividad],C$4)*C$3</f>
        <v>0</v>
      </c>
      <c r="D13" s="227">
        <f>+SUMIFS(Tabla1[Avance_Med],Tabla1[Fecha],"&gt;="&amp;$A13,Tabla1[Fecha],"&lt;="&amp;EOMONTH($A13,0),Tabla1[Codigo_actividad],D$4)*D$3</f>
        <v>0</v>
      </c>
      <c r="E13" s="227">
        <f>+SUMIFS(Tabla1[Avance_Med],Tabla1[Fecha],"&gt;="&amp;$A13,Tabla1[Fecha],"&lt;="&amp;EOMONTH($A13,0),Tabla1[Codigo_actividad],E$4)*E$3</f>
        <v>0</v>
      </c>
      <c r="F13" s="227">
        <f>+SUMIFS(Tabla1[Avance_Med],Tabla1[Fecha],"&gt;="&amp;$A13,Tabla1[Fecha],"&lt;="&amp;EOMONTH($A13,0),Tabla1[Codigo_actividad],F$4)*F$3</f>
        <v>0</v>
      </c>
      <c r="G13" s="227">
        <f>+SUMIFS(Tabla1[Avance_Med],Tabla1[Fecha],"&gt;="&amp;$A13,Tabla1[Fecha],"&lt;="&amp;EOMONTH($A13,0),Tabla1[Codigo_actividad],G$4)*G$3</f>
        <v>0</v>
      </c>
      <c r="H13" s="339">
        <f>+SUMIFS(Tabla1[Avance_km],Tabla1[Fecha],"&gt;="&amp;$A13,Tabla1[Fecha],"&lt;="&amp;EOMONTH($A13,0),Tabla1[Codigo_actividad],H$4)*H$3</f>
        <v>13.568</v>
      </c>
      <c r="I13" s="227"/>
      <c r="J13" s="339">
        <f>+SUMIFS(Tabla1[Avance_km],Tabla1[Fecha],"&gt;="&amp;$A13,Tabla1[Fecha],"&lt;="&amp;EOMONTH($A13,0),Tabla1[Codigo_actividad],J$4, Tabla1[Avance_km],"&gt;0")*J$3</f>
        <v>10.538</v>
      </c>
      <c r="K13" s="477">
        <f>ROUND(SUMIFS(Tabla1[Avance_km],Tabla1[Fecha],"&gt;="&amp;$A13,Tabla1[Fecha],"&lt;="&amp;EOMONTH($A13,0),Tabla1[Codigo_actividad],K$4,Tabla1[Avance_km],"&gt;0"),3)*K$3</f>
        <v>0</v>
      </c>
      <c r="L13" s="227">
        <f>+SUMIFS(Tabla1[Avance_Med],Tabla1[Fecha],"&gt;="&amp;$A13,Tabla1[Fecha],"&lt;="&amp;EOMONTH($A13,0),Tabla1[Codigo_actividad],L$4)*L$3</f>
        <v>0</v>
      </c>
      <c r="M13" s="339">
        <f>+SUMIFS(Tabla1[Avance_km],Tabla1[Fecha],"&gt;="&amp;$A13,Tabla1[Fecha],"&lt;="&amp;EOMONTH($A13,0),Tabla1[Codigo_actividad],M$4)*M$3</f>
        <v>13.835000000000001</v>
      </c>
      <c r="N13" s="227">
        <f>+SUMIFS(Tabla1[Avance_Med],Tabla1[Fecha],"&gt;="&amp;$A13,Tabla1[Fecha],"&lt;="&amp;EOMONTH($A13,0),Tabla1[Codigo_actividad],N$4)*N$3</f>
        <v>0</v>
      </c>
      <c r="O13" s="227">
        <f>+SUMIFS(Tabla1[Avance_Med],Tabla1[Fecha],"&gt;="&amp;$A13,Tabla1[Fecha],"&lt;="&amp;EOMONTH($A13,0),Tabla1[Codigo_actividad],O$4)*O$3</f>
        <v>0</v>
      </c>
      <c r="P13" s="227">
        <f>+SUMIFS(Tabla1[Avance_Med],Tabla1[Fecha],"&gt;="&amp;$A13,Tabla1[Fecha],"&lt;="&amp;EOMONTH($A13,0),Tabla1[Codigo_actividad],P$4)*P$3</f>
        <v>0</v>
      </c>
      <c r="Q13" s="227">
        <f>+SUMIFS(Tabla1[Avance_Med],Tabla1[Fecha],"&gt;="&amp;$A13,Tabla1[Fecha],"&lt;="&amp;EOMONTH($A13,0),Tabla1[Codigo_actividad],Q$4)*Q$3</f>
        <v>0</v>
      </c>
      <c r="R13" s="227">
        <f>+SUMIFS(Tabla1[Avance_Med],Tabla1[Fecha],"&gt;="&amp;$A13,Tabla1[Fecha],"&lt;="&amp;EOMONTH($A13,0),Tabla1[Codigo_actividad],R$4)*R$3</f>
        <v>0</v>
      </c>
      <c r="S13" s="227">
        <f>+SUMIFS(Tabla1[Avance_Med],Tabla1[Fecha],"&gt;="&amp;$A13,Tabla1[Fecha],"&lt;="&amp;EOMONTH($A13,0),Tabla1[Codigo_actividad],S$4)*S$3</f>
        <v>0</v>
      </c>
      <c r="T13" s="227">
        <f>+SUMIFS(Tabla1[Avance_Med],Tabla1[Fecha],"&gt;="&amp;$A13,Tabla1[Fecha],"&lt;="&amp;EOMONTH($A13,0),Tabla1[Codigo_actividad],T$4)*T$3</f>
        <v>0</v>
      </c>
      <c r="U13" s="227">
        <f>+SUMIFS(Tabla1[Avance_Med],Tabla1[Fecha],"&gt;="&amp;$A13,Tabla1[Fecha],"&lt;="&amp;EOMONTH($A13,0),Tabla1[Codigo_actividad],U$4)*U$3</f>
        <v>0</v>
      </c>
      <c r="V13" s="227">
        <f>+SUMIFS(Tabla1[Avance_Med],Tabla1[Fecha],"&gt;="&amp;$A13,Tabla1[Fecha],"&lt;="&amp;EOMONTH($A13,0),Tabla1[Codigo_actividad],V$4)*V$3</f>
        <v>0</v>
      </c>
      <c r="W13" s="227">
        <f>+SUMIFS(Tabla1[Avance_Med],Tabla1[Fecha],"&gt;="&amp;$A13,Tabla1[Fecha],"&lt;="&amp;EOMONTH($A13,0),Tabla1[Codigo_actividad],W$4)*W$3</f>
        <v>0</v>
      </c>
      <c r="X13" s="227">
        <f>+SUMIFS(Tabla1[Avance_Med],Tabla1[Fecha],"&gt;="&amp;$A13,Tabla1[Fecha],"&lt;="&amp;EOMONTH($A13,0),Tabla1[Codigo_actividad],X$4)*X$3</f>
        <v>0</v>
      </c>
      <c r="Y13" s="227">
        <f>+SUMIFS(Tabla1[Avance_Med],Tabla1[Fecha],"&gt;="&amp;$A13,Tabla1[Fecha],"&lt;="&amp;EOMONTH($A13,0),Tabla1[Codigo_actividad],Y$4)*Y$3</f>
        <v>0</v>
      </c>
      <c r="Z13" s="227">
        <f>+SUMIFS(Tabla1[Avance_Med],Tabla1[Fecha],"&gt;="&amp;$A13,Tabla1[Fecha],"&lt;="&amp;EOMONTH($A13,0),Tabla1[Codigo_actividad],Z$4)*Z$3</f>
        <v>0</v>
      </c>
      <c r="AA13" s="227">
        <f>+SUMIFS(Tabla1[Avance_Med],Tabla1[Fecha],"&gt;="&amp;$A13,Tabla1[Fecha],"&lt;="&amp;EOMONTH($A13,0),Tabla1[Codigo_actividad],AA$4)*AA$3</f>
        <v>0</v>
      </c>
      <c r="AB13" s="227">
        <f>+SUMIFS(Tabla1[Avance_Med],Tabla1[Fecha],"&gt;="&amp;$A13,Tabla1[Fecha],"&lt;="&amp;EOMONTH($A13,0),Tabla1[Codigo_actividad],AB$4)*AB$3</f>
        <v>0</v>
      </c>
      <c r="AC13" s="227">
        <f>+SUMIFS(Tabla1[Avance_Med],Tabla1[Fecha],"&gt;="&amp;$A13,Tabla1[Fecha],"&lt;="&amp;EOMONTH($A13,0),Tabla1[Codigo_actividad],AC$4)*AC$3</f>
        <v>0</v>
      </c>
      <c r="AD13" s="227">
        <f>+SUMIFS(Tabla1[Avance_Med],Tabla1[Fecha],"&gt;="&amp;$A13,Tabla1[Fecha],"&lt;="&amp;EOMONTH($A13,0),Tabla1[Codigo_actividad],AD$4)*AD$3</f>
        <v>0</v>
      </c>
      <c r="AE13" s="227">
        <f>+SUMIFS(Tabla1[Avance_Med],Tabla1[Fecha],"&gt;="&amp;$A13,Tabla1[Fecha],"&lt;="&amp;EOMONTH($A13,0),Tabla1[Codigo_actividad],AE$4)*AE$3</f>
        <v>0</v>
      </c>
      <c r="AF13" s="227">
        <f>+SUMIFS(Tabla1[Avance_Med],Tabla1[Fecha],"&gt;="&amp;$A13,Tabla1[Fecha],"&lt;="&amp;EOMONTH($A13,0),Tabla1[Codigo_actividad],AF$4)*AF$3</f>
        <v>0</v>
      </c>
      <c r="AG13" s="227">
        <f>+SUMIFS(Tabla1[Avance_Med],Tabla1[Fecha],"&gt;="&amp;$A13,Tabla1[Fecha],"&lt;="&amp;EOMONTH($A13,0),Tabla1[Codigo_actividad],AG$4)*AG$3</f>
        <v>0</v>
      </c>
      <c r="AH13" s="227">
        <f>+SUMIFS(Tabla1[Avance_Med],Tabla1[Fecha],"&gt;="&amp;$A13,Tabla1[Fecha],"&lt;="&amp;EOMONTH($A13,0),Tabla1[Codigo_actividad],AH$4)*AH$3</f>
        <v>0</v>
      </c>
      <c r="AI13" s="227">
        <f>+SUMIFS(Tabla1[Avance_Med],Tabla1[Fecha],"&gt;="&amp;$A13,Tabla1[Fecha],"&lt;="&amp;EOMONTH($A13,0),Tabla1[Codigo_actividad],AI$4)*AI$3</f>
        <v>0</v>
      </c>
      <c r="AJ13" s="227">
        <f>+SUMIFS(Tabla1[Avance_Med],Tabla1[Fecha],"&gt;="&amp;$A13,Tabla1[Fecha],"&lt;="&amp;EOMONTH($A13,0),Tabla1[Codigo_actividad],AJ$4)*AJ$3</f>
        <v>0</v>
      </c>
      <c r="AK13" s="227">
        <f>+SUMIFS(Tabla1[Avance_Med],Tabla1[Fecha],"&gt;="&amp;$A13,Tabla1[Fecha],"&lt;="&amp;EOMONTH($A13,0),Tabla1[Codigo_actividad],AK$4)*AK$3</f>
        <v>0</v>
      </c>
      <c r="AL13" s="227">
        <f>+SUMIFS(Tabla1[Avance_km],Tabla1[Fecha],"&gt;="&amp;$A13,Tabla1[Fecha],"&lt;="&amp;EOMONTH($A13,0),Tabla1[Codigo_actividad],AL$4)*AL$3</f>
        <v>0</v>
      </c>
      <c r="AM13" s="227">
        <f>+SUMIFS(Tabla1[Avance_Med],Tabla1[Fecha],"&gt;="&amp;$A13,Tabla1[Fecha],"&lt;="&amp;EOMONTH($A13,0),Tabla1[Codigo_actividad],AM$4)*AM$3</f>
        <v>0</v>
      </c>
    </row>
    <row r="14" spans="1:39" x14ac:dyDescent="0.25">
      <c r="A14" s="222">
        <v>46235</v>
      </c>
      <c r="B14" s="227">
        <v>0</v>
      </c>
      <c r="C14" s="227">
        <f>+SUMIFS(Tabla1[Avance_Med],Tabla1[Fecha],"&gt;="&amp;$A14,Tabla1[Fecha],"&lt;="&amp;EOMONTH($A14,0),Tabla1[Codigo_actividad],C$4)*C$3</f>
        <v>0</v>
      </c>
      <c r="D14" s="227">
        <f>+SUMIFS(Tabla1[Avance_Med],Tabla1[Fecha],"&gt;="&amp;$A14,Tabla1[Fecha],"&lt;="&amp;EOMONTH($A14,0),Tabla1[Codigo_actividad],D$4)*D$3</f>
        <v>0</v>
      </c>
      <c r="E14" s="227">
        <f>+SUMIFS(Tabla1[Avance_Med],Tabla1[Fecha],"&gt;="&amp;$A14,Tabla1[Fecha],"&lt;="&amp;EOMONTH($A14,0),Tabla1[Codigo_actividad],E$4)*E$3</f>
        <v>0</v>
      </c>
      <c r="F14" s="227">
        <f>+SUMIFS(Tabla1[Avance_Med],Tabla1[Fecha],"&gt;="&amp;$A14,Tabla1[Fecha],"&lt;="&amp;EOMONTH($A14,0),Tabla1[Codigo_actividad],F$4)*F$3</f>
        <v>0</v>
      </c>
      <c r="G14" s="227">
        <f>+SUMIFS(Tabla1[Avance_Med],Tabla1[Fecha],"&gt;="&amp;$A14,Tabla1[Fecha],"&lt;="&amp;EOMONTH($A14,0),Tabla1[Codigo_actividad],G$4)*G$3</f>
        <v>0</v>
      </c>
      <c r="H14" s="339">
        <f>+SUMIFS(Tabla1[Avance_km],Tabla1[Fecha],"&gt;="&amp;$A14,Tabla1[Fecha],"&lt;="&amp;EOMONTH($A14,0),Tabla1[Codigo_actividad],H$4)*H$3</f>
        <v>10.033000000000001</v>
      </c>
      <c r="I14" s="227"/>
      <c r="J14" s="339">
        <f>+SUMIFS(Tabla1[Avance_km],Tabla1[Fecha],"&gt;="&amp;$A14,Tabla1[Fecha],"&lt;="&amp;EOMONTH($A14,0),Tabla1[Codigo_actividad],J$4, Tabla1[Avance_km],"&gt;0")*J$3</f>
        <v>12.395</v>
      </c>
      <c r="K14" s="477">
        <f>ROUND(SUMIFS(Tabla1[Avance_km],Tabla1[Fecha],"&gt;="&amp;$A14,Tabla1[Fecha],"&lt;="&amp;EOMONTH($A14,0),Tabla1[Codigo_actividad],K$4,Tabla1[Avance_km],"&gt;0"),3)*K$3</f>
        <v>21.928999999999998</v>
      </c>
      <c r="L14" s="227">
        <f>+SUMIFS(Tabla1[Avance_Med],Tabla1[Fecha],"&gt;="&amp;$A14,Tabla1[Fecha],"&lt;="&amp;EOMONTH($A14,0),Tabla1[Codigo_actividad],L$4)*L$3</f>
        <v>0</v>
      </c>
      <c r="M14" s="339">
        <f>+SUMIFS(Tabla1[Avance_km],Tabla1[Fecha],"&gt;="&amp;$A14,Tabla1[Fecha],"&lt;="&amp;EOMONTH($A14,0),Tabla1[Codigo_actividad],M$4)*M$3</f>
        <v>12.17</v>
      </c>
      <c r="N14" s="227">
        <f>+SUMIFS(Tabla1[Avance_Med],Tabla1[Fecha],"&gt;="&amp;$A14,Tabla1[Fecha],"&lt;="&amp;EOMONTH($A14,0),Tabla1[Codigo_actividad],N$4)*N$3</f>
        <v>0</v>
      </c>
      <c r="O14" s="227">
        <f>+SUMIFS(Tabla1[Avance_Med],Tabla1[Fecha],"&gt;="&amp;$A14,Tabla1[Fecha],"&lt;="&amp;EOMONTH($A14,0),Tabla1[Codigo_actividad],O$4)*O$3</f>
        <v>0</v>
      </c>
      <c r="P14" s="227">
        <f>+SUMIFS(Tabla1[Avance_Med],Tabla1[Fecha],"&gt;="&amp;$A14,Tabla1[Fecha],"&lt;="&amp;EOMONTH($A14,0),Tabla1[Codigo_actividad],P$4)*P$3</f>
        <v>0</v>
      </c>
      <c r="Q14" s="227">
        <f>+SUMIFS(Tabla1[Avance_Med],Tabla1[Fecha],"&gt;="&amp;$A14,Tabla1[Fecha],"&lt;="&amp;EOMONTH($A14,0),Tabla1[Codigo_actividad],Q$4)*Q$3</f>
        <v>2</v>
      </c>
      <c r="R14" s="227">
        <f>+SUMIFS(Tabla1[Avance_Med],Tabla1[Fecha],"&gt;="&amp;$A14,Tabla1[Fecha],"&lt;="&amp;EOMONTH($A14,0),Tabla1[Codigo_actividad],R$4)*R$3</f>
        <v>2</v>
      </c>
      <c r="S14" s="227">
        <f>+SUMIFS(Tabla1[Avance_Med],Tabla1[Fecha],"&gt;="&amp;$A14,Tabla1[Fecha],"&lt;="&amp;EOMONTH($A14,0),Tabla1[Codigo_actividad],S$4)*S$3</f>
        <v>2</v>
      </c>
      <c r="T14" s="227">
        <f>+SUMIFS(Tabla1[Avance_Med],Tabla1[Fecha],"&gt;="&amp;$A14,Tabla1[Fecha],"&lt;="&amp;EOMONTH($A14,0),Tabla1[Codigo_actividad],T$4)*T$3</f>
        <v>2</v>
      </c>
      <c r="U14" s="227">
        <f>+SUMIFS(Tabla1[Avance_Med],Tabla1[Fecha],"&gt;="&amp;$A14,Tabla1[Fecha],"&lt;="&amp;EOMONTH($A14,0),Tabla1[Codigo_actividad],U$4)*U$3</f>
        <v>0</v>
      </c>
      <c r="V14" s="227">
        <f>+SUMIFS(Tabla1[Avance_Med],Tabla1[Fecha],"&gt;="&amp;$A14,Tabla1[Fecha],"&lt;="&amp;EOMONTH($A14,0),Tabla1[Codigo_actividad],V$4)*V$3</f>
        <v>2</v>
      </c>
      <c r="W14" s="227">
        <f>+SUMIFS(Tabla1[Avance_Med],Tabla1[Fecha],"&gt;="&amp;$A14,Tabla1[Fecha],"&lt;="&amp;EOMONTH($A14,0),Tabla1[Codigo_actividad],W$4)*W$3</f>
        <v>0</v>
      </c>
      <c r="X14" s="227">
        <f>+SUMIFS(Tabla1[Avance_Med],Tabla1[Fecha],"&gt;="&amp;$A14,Tabla1[Fecha],"&lt;="&amp;EOMONTH($A14,0),Tabla1[Codigo_actividad],X$4)*X$3</f>
        <v>0</v>
      </c>
      <c r="Y14" s="227">
        <f>+SUMIFS(Tabla1[Avance_Med],Tabla1[Fecha],"&gt;="&amp;$A14,Tabla1[Fecha],"&lt;="&amp;EOMONTH($A14,0),Tabla1[Codigo_actividad],Y$4)*Y$3</f>
        <v>2</v>
      </c>
      <c r="Z14" s="227">
        <f>+SUMIFS(Tabla1[Avance_Med],Tabla1[Fecha],"&gt;="&amp;$A14,Tabla1[Fecha],"&lt;="&amp;EOMONTH($A14,0),Tabla1[Codigo_actividad],Z$4)*Z$3</f>
        <v>2</v>
      </c>
      <c r="AA14" s="227">
        <f>+SUMIFS(Tabla1[Avance_Med],Tabla1[Fecha],"&gt;="&amp;$A14,Tabla1[Fecha],"&lt;="&amp;EOMONTH($A14,0),Tabla1[Codigo_actividad],AA$4)*AA$3</f>
        <v>0</v>
      </c>
      <c r="AB14" s="227">
        <f>+SUMIFS(Tabla1[Avance_Med],Tabla1[Fecha],"&gt;="&amp;$A14,Tabla1[Fecha],"&lt;="&amp;EOMONTH($A14,0),Tabla1[Codigo_actividad],AB$4)*AB$3</f>
        <v>0</v>
      </c>
      <c r="AC14" s="227">
        <f>+SUMIFS(Tabla1[Avance_Med],Tabla1[Fecha],"&gt;="&amp;$A14,Tabla1[Fecha],"&lt;="&amp;EOMONTH($A14,0),Tabla1[Codigo_actividad],AC$4)*AC$3</f>
        <v>0</v>
      </c>
      <c r="AD14" s="227">
        <f>+SUMIFS(Tabla1[Avance_Med],Tabla1[Fecha],"&gt;="&amp;$A14,Tabla1[Fecha],"&lt;="&amp;EOMONTH($A14,0),Tabla1[Codigo_actividad],AD$4)*AD$3</f>
        <v>0</v>
      </c>
      <c r="AE14" s="227">
        <f>+SUMIFS(Tabla1[Avance_Med],Tabla1[Fecha],"&gt;="&amp;$A14,Tabla1[Fecha],"&lt;="&amp;EOMONTH($A14,0),Tabla1[Codigo_actividad],AE$4)*AE$3</f>
        <v>0</v>
      </c>
      <c r="AF14" s="227">
        <f>+SUMIFS(Tabla1[Avance_Med],Tabla1[Fecha],"&gt;="&amp;$A14,Tabla1[Fecha],"&lt;="&amp;EOMONTH($A14,0),Tabla1[Codigo_actividad],AF$4)*AF$3</f>
        <v>0</v>
      </c>
      <c r="AG14" s="227">
        <f>+SUMIFS(Tabla1[Avance_Med],Tabla1[Fecha],"&gt;="&amp;$A14,Tabla1[Fecha],"&lt;="&amp;EOMONTH($A14,0),Tabla1[Codigo_actividad],AG$4)*AG$3</f>
        <v>0</v>
      </c>
      <c r="AH14" s="227">
        <f>+SUMIFS(Tabla1[Avance_Med],Tabla1[Fecha],"&gt;="&amp;$A14,Tabla1[Fecha],"&lt;="&amp;EOMONTH($A14,0),Tabla1[Codigo_actividad],AH$4)*AH$3</f>
        <v>0</v>
      </c>
      <c r="AI14" s="227">
        <f>+SUMIFS(Tabla1[Avance_Med],Tabla1[Fecha],"&gt;="&amp;$A14,Tabla1[Fecha],"&lt;="&amp;EOMONTH($A14,0),Tabla1[Codigo_actividad],AI$4)*AI$3</f>
        <v>0</v>
      </c>
      <c r="AJ14" s="227">
        <f>+SUMIFS(Tabla1[Avance_Med],Tabla1[Fecha],"&gt;="&amp;$A14,Tabla1[Fecha],"&lt;="&amp;EOMONTH($A14,0),Tabla1[Codigo_actividad],AJ$4)*AJ$3</f>
        <v>24</v>
      </c>
      <c r="AK14" s="227">
        <f>+SUMIFS(Tabla1[Avance_Med],Tabla1[Fecha],"&gt;="&amp;$A14,Tabla1[Fecha],"&lt;="&amp;EOMONTH($A14,0),Tabla1[Codigo_actividad],AK$4)*AK$3</f>
        <v>24</v>
      </c>
      <c r="AL14" s="227">
        <f>+SUMIFS(Tabla1[Avance_km],Tabla1[Fecha],"&gt;="&amp;$A14,Tabla1[Fecha],"&lt;="&amp;EOMONTH($A14,0),Tabla1[Codigo_actividad],AL$4)*AL$3</f>
        <v>0</v>
      </c>
      <c r="AM14" s="227">
        <f>+SUMIFS(Tabla1[Avance_Med],Tabla1[Fecha],"&gt;="&amp;$A14,Tabla1[Fecha],"&lt;="&amp;EOMONTH($A14,0),Tabla1[Codigo_actividad],AM$4)*AM$3</f>
        <v>0</v>
      </c>
    </row>
    <row r="15" spans="1:39" x14ac:dyDescent="0.25">
      <c r="A15" s="222">
        <v>46266</v>
      </c>
      <c r="B15" s="227">
        <v>0</v>
      </c>
      <c r="C15" s="227">
        <f>+SUMIFS(Tabla1[Avance_Med],Tabla1[Fecha],"&gt;="&amp;$A15,Tabla1[Fecha],"&lt;="&amp;EOMONTH($A15,0),Tabla1[Codigo_actividad],C$4)*C$3</f>
        <v>0</v>
      </c>
      <c r="D15" s="227">
        <f>+SUMIFS(Tabla1[Avance_Med],Tabla1[Fecha],"&gt;="&amp;$A15,Tabla1[Fecha],"&lt;="&amp;EOMONTH($A15,0),Tabla1[Codigo_actividad],D$4)*D$3</f>
        <v>0</v>
      </c>
      <c r="E15" s="227">
        <f>+SUMIFS(Tabla1[Avance_Med],Tabla1[Fecha],"&gt;="&amp;$A15,Tabla1[Fecha],"&lt;="&amp;EOMONTH($A15,0),Tabla1[Codigo_actividad],E$4)*E$3</f>
        <v>0</v>
      </c>
      <c r="F15" s="227">
        <f>+SUMIFS(Tabla1[Avance_Med],Tabla1[Fecha],"&gt;="&amp;$A15,Tabla1[Fecha],"&lt;="&amp;EOMONTH($A15,0),Tabla1[Codigo_actividad],F$4)*F$3</f>
        <v>0</v>
      </c>
      <c r="G15" s="227">
        <f>+SUMIFS(Tabla1[Avance_Med],Tabla1[Fecha],"&gt;="&amp;$A15,Tabla1[Fecha],"&lt;="&amp;EOMONTH($A15,0),Tabla1[Codigo_actividad],G$4)*G$3</f>
        <v>0</v>
      </c>
      <c r="H15" s="339">
        <f>+SUMIFS(Tabla1[Avance_km],Tabla1[Fecha],"&gt;="&amp;$A15,Tabla1[Fecha],"&lt;="&amp;EOMONTH($A15,0),Tabla1[Codigo_actividad],H$4)*H$3</f>
        <v>10.719999999999999</v>
      </c>
      <c r="I15" s="227"/>
      <c r="J15" s="339">
        <f>+SUMIFS(Tabla1[Avance_km],Tabla1[Fecha],"&gt;="&amp;$A15,Tabla1[Fecha],"&lt;="&amp;EOMONTH($A15,0),Tabla1[Codigo_actividad],J$4, Tabla1[Avance_km],"&gt;0")*J$3</f>
        <v>0</v>
      </c>
      <c r="K15" s="477">
        <f>ROUND(SUMIFS(Tabla1[Avance_km],Tabla1[Fecha],"&gt;="&amp;$A15,Tabla1[Fecha],"&lt;="&amp;EOMONTH($A15,0),Tabla1[Codigo_actividad],K$4,Tabla1[Avance_km],"&gt;0"),3)*K$3</f>
        <v>32.143000000000001</v>
      </c>
      <c r="L15" s="227">
        <f>+SUMIFS(Tabla1[Avance_Med],Tabla1[Fecha],"&gt;="&amp;$A15,Tabla1[Fecha],"&lt;="&amp;EOMONTH($A15,0),Tabla1[Codigo_actividad],L$4)*L$3</f>
        <v>20</v>
      </c>
      <c r="M15" s="339">
        <f>+SUMIFS(Tabla1[Avance_km],Tabla1[Fecha],"&gt;="&amp;$A15,Tabla1[Fecha],"&lt;="&amp;EOMONTH($A15,0),Tabla1[Codigo_actividad],M$4)*M$3</f>
        <v>20.07</v>
      </c>
      <c r="N15" s="227">
        <f>+SUMIFS(Tabla1[Avance_Med],Tabla1[Fecha],"&gt;="&amp;$A15,Tabla1[Fecha],"&lt;="&amp;EOMONTH($A15,0),Tabla1[Codigo_actividad],N$4)*N$3</f>
        <v>34</v>
      </c>
      <c r="O15" s="227">
        <f>+SUMIFS(Tabla1[Avance_Med],Tabla1[Fecha],"&gt;="&amp;$A15,Tabla1[Fecha],"&lt;="&amp;EOMONTH($A15,0),Tabla1[Codigo_actividad],O$4)*O$3</f>
        <v>34</v>
      </c>
      <c r="P15" s="227">
        <f>+SUMIFS(Tabla1[Avance_Med],Tabla1[Fecha],"&gt;="&amp;$A15,Tabla1[Fecha],"&lt;="&amp;EOMONTH($A15,0),Tabla1[Codigo_actividad],P$4)*P$3</f>
        <v>34</v>
      </c>
      <c r="Q15" s="227">
        <f>+SUMIFS(Tabla1[Avance_Med],Tabla1[Fecha],"&gt;="&amp;$A15,Tabla1[Fecha],"&lt;="&amp;EOMONTH($A15,0),Tabla1[Codigo_actividad],Q$4)*Q$3</f>
        <v>8</v>
      </c>
      <c r="R15" s="227">
        <f>+SUMIFS(Tabla1[Avance_Med],Tabla1[Fecha],"&gt;="&amp;$A15,Tabla1[Fecha],"&lt;="&amp;EOMONTH($A15,0),Tabla1[Codigo_actividad],R$4)*R$3</f>
        <v>8</v>
      </c>
      <c r="S15" s="227">
        <f>+SUMIFS(Tabla1[Avance_Med],Tabla1[Fecha],"&gt;="&amp;$A15,Tabla1[Fecha],"&lt;="&amp;EOMONTH($A15,0),Tabla1[Codigo_actividad],S$4)*S$3</f>
        <v>8</v>
      </c>
      <c r="T15" s="227">
        <f>+SUMIFS(Tabla1[Avance_Med],Tabla1[Fecha],"&gt;="&amp;$A15,Tabla1[Fecha],"&lt;="&amp;EOMONTH($A15,0),Tabla1[Codigo_actividad],T$4)*T$3</f>
        <v>8</v>
      </c>
      <c r="U15" s="227">
        <f>+SUMIFS(Tabla1[Avance_Med],Tabla1[Fecha],"&gt;="&amp;$A15,Tabla1[Fecha],"&lt;="&amp;EOMONTH($A15,0),Tabla1[Codigo_actividad],U$4)*U$3</f>
        <v>2</v>
      </c>
      <c r="V15" s="227">
        <f>+SUMIFS(Tabla1[Avance_Med],Tabla1[Fecha],"&gt;="&amp;$A15,Tabla1[Fecha],"&lt;="&amp;EOMONTH($A15,0),Tabla1[Codigo_actividad],V$4)*V$3</f>
        <v>8</v>
      </c>
      <c r="W15" s="227">
        <f>+SUMIFS(Tabla1[Avance_Med],Tabla1[Fecha],"&gt;="&amp;$A15,Tabla1[Fecha],"&lt;="&amp;EOMONTH($A15,0),Tabla1[Codigo_actividad],W$4)*W$3</f>
        <v>2</v>
      </c>
      <c r="X15" s="227">
        <f>+SUMIFS(Tabla1[Avance_Med],Tabla1[Fecha],"&gt;="&amp;$A15,Tabla1[Fecha],"&lt;="&amp;EOMONTH($A15,0),Tabla1[Codigo_actividad],X$4)*X$3</f>
        <v>3</v>
      </c>
      <c r="Y15" s="227">
        <f>+SUMIFS(Tabla1[Avance_Med],Tabla1[Fecha],"&gt;="&amp;$A15,Tabla1[Fecha],"&lt;="&amp;EOMONTH($A15,0),Tabla1[Codigo_actividad],Y$4)*Y$3</f>
        <v>8</v>
      </c>
      <c r="Z15" s="227">
        <f>+SUMIFS(Tabla1[Avance_Med],Tabla1[Fecha],"&gt;="&amp;$A15,Tabla1[Fecha],"&lt;="&amp;EOMONTH($A15,0),Tabla1[Codigo_actividad],Z$4)*Z$3</f>
        <v>8</v>
      </c>
      <c r="AA15" s="227">
        <f>+SUMIFS(Tabla1[Avance_Med],Tabla1[Fecha],"&gt;="&amp;$A15,Tabla1[Fecha],"&lt;="&amp;EOMONTH($A15,0),Tabla1[Codigo_actividad],AA$4)*AA$3</f>
        <v>0</v>
      </c>
      <c r="AB15" s="227">
        <f>+SUMIFS(Tabla1[Avance_Med],Tabla1[Fecha],"&gt;="&amp;$A15,Tabla1[Fecha],"&lt;="&amp;EOMONTH($A15,0),Tabla1[Codigo_actividad],AB$4)*AB$3</f>
        <v>0</v>
      </c>
      <c r="AC15" s="227">
        <f>+SUMIFS(Tabla1[Avance_Med],Tabla1[Fecha],"&gt;="&amp;$A15,Tabla1[Fecha],"&lt;="&amp;EOMONTH($A15,0),Tabla1[Codigo_actividad],AC$4)*AC$3</f>
        <v>0</v>
      </c>
      <c r="AD15" s="227">
        <f>+SUMIFS(Tabla1[Avance_Med],Tabla1[Fecha],"&gt;="&amp;$A15,Tabla1[Fecha],"&lt;="&amp;EOMONTH($A15,0),Tabla1[Codigo_actividad],AD$4)*AD$3</f>
        <v>0</v>
      </c>
      <c r="AE15" s="227">
        <f>+SUMIFS(Tabla1[Avance_Med],Tabla1[Fecha],"&gt;="&amp;$A15,Tabla1[Fecha],"&lt;="&amp;EOMONTH($A15,0),Tabla1[Codigo_actividad],AE$4)*AE$3</f>
        <v>0</v>
      </c>
      <c r="AF15" s="227">
        <f>+SUMIFS(Tabla1[Avance_Med],Tabla1[Fecha],"&gt;="&amp;$A15,Tabla1[Fecha],"&lt;="&amp;EOMONTH($A15,0),Tabla1[Codigo_actividad],AF$4)*AF$3</f>
        <v>0</v>
      </c>
      <c r="AG15" s="227">
        <f>+SUMIFS(Tabla1[Avance_Med],Tabla1[Fecha],"&gt;="&amp;$A15,Tabla1[Fecha],"&lt;="&amp;EOMONTH($A15,0),Tabla1[Codigo_actividad],AG$4)*AG$3</f>
        <v>0</v>
      </c>
      <c r="AH15" s="227">
        <f>+SUMIFS(Tabla1[Avance_Med],Tabla1[Fecha],"&gt;="&amp;$A15,Tabla1[Fecha],"&lt;="&amp;EOMONTH($A15,0),Tabla1[Codigo_actividad],AH$4)*AH$3</f>
        <v>0</v>
      </c>
      <c r="AI15" s="227">
        <f>+SUMIFS(Tabla1[Avance_Med],Tabla1[Fecha],"&gt;="&amp;$A15,Tabla1[Fecha],"&lt;="&amp;EOMONTH($A15,0),Tabla1[Codigo_actividad],AI$4)*AI$3</f>
        <v>0</v>
      </c>
      <c r="AJ15" s="227">
        <f>+SUMIFS(Tabla1[Avance_Med],Tabla1[Fecha],"&gt;="&amp;$A15,Tabla1[Fecha],"&lt;="&amp;EOMONTH($A15,0),Tabla1[Codigo_actividad],AJ$4)*AJ$3</f>
        <v>0</v>
      </c>
      <c r="AK15" s="227">
        <f>+SUMIFS(Tabla1[Avance_Med],Tabla1[Fecha],"&gt;="&amp;$A15,Tabla1[Fecha],"&lt;="&amp;EOMONTH($A15,0),Tabla1[Codigo_actividad],AK$4)*AK$3</f>
        <v>0</v>
      </c>
      <c r="AL15" s="227">
        <f>+SUMIFS(Tabla1[Avance_km],Tabla1[Fecha],"&gt;="&amp;$A15,Tabla1[Fecha],"&lt;="&amp;EOMONTH($A15,0),Tabla1[Codigo_actividad],AL$4)*AL$3</f>
        <v>0</v>
      </c>
      <c r="AM15" s="227">
        <f>+SUMIFS(Tabla1[Avance_Med],Tabla1[Fecha],"&gt;="&amp;$A15,Tabla1[Fecha],"&lt;="&amp;EOMONTH($A15,0),Tabla1[Codigo_actividad],AM$4)*AM$3</f>
        <v>0</v>
      </c>
    </row>
    <row r="16" spans="1:39" x14ac:dyDescent="0.25">
      <c r="A16" s="222">
        <v>46296</v>
      </c>
      <c r="B16" s="227">
        <v>0</v>
      </c>
      <c r="C16" s="227">
        <f>+SUMIFS(Tabla1[Avance_Med],Tabla1[Fecha],"&gt;="&amp;$A16,Tabla1[Fecha],"&lt;="&amp;EOMONTH($A16,0),Tabla1[Codigo_actividad],C$4)*C$3</f>
        <v>0</v>
      </c>
      <c r="D16" s="227">
        <f>+SUMIFS(Tabla1[Avance_Med],Tabla1[Fecha],"&gt;="&amp;$A16,Tabla1[Fecha],"&lt;="&amp;EOMONTH($A16,0),Tabla1[Codigo_actividad],D$4)*D$3</f>
        <v>0</v>
      </c>
      <c r="E16" s="227">
        <f>+SUMIFS(Tabla1[Avance_Med],Tabla1[Fecha],"&gt;="&amp;$A16,Tabla1[Fecha],"&lt;="&amp;EOMONTH($A16,0),Tabla1[Codigo_actividad],E$4)*E$3</f>
        <v>0</v>
      </c>
      <c r="F16" s="227">
        <f>+SUMIFS(Tabla1[Avance_Med],Tabla1[Fecha],"&gt;="&amp;$A16,Tabla1[Fecha],"&lt;="&amp;EOMONTH($A16,0),Tabla1[Codigo_actividad],F$4)*F$3</f>
        <v>0</v>
      </c>
      <c r="G16" s="227">
        <f>+SUMIFS(Tabla1[Avance_Med],Tabla1[Fecha],"&gt;="&amp;$A16,Tabla1[Fecha],"&lt;="&amp;EOMONTH($A16,0),Tabla1[Codigo_actividad],G$4)*G$3</f>
        <v>0</v>
      </c>
      <c r="H16" s="339">
        <f>+SUMIFS(Tabla1[Avance_km],Tabla1[Fecha],"&gt;="&amp;$A16,Tabla1[Fecha],"&lt;="&amp;EOMONTH($A16,0),Tabla1[Codigo_actividad],H$4)*H$3</f>
        <v>16.6295</v>
      </c>
      <c r="I16" s="227"/>
      <c r="J16" s="339">
        <f>+SUMIFS(Tabla1[Avance_km],Tabla1[Fecha],"&gt;="&amp;$A16,Tabla1[Fecha],"&lt;="&amp;EOMONTH($A16,0),Tabla1[Codigo_actividad],J$4, Tabla1[Avance_km],"&gt;0")*J$3</f>
        <v>1.6244999999999994</v>
      </c>
      <c r="K16" s="477">
        <f>ROUND(SUMIFS(Tabla1[Avance_km],Tabla1[Fecha],"&gt;="&amp;$A16,Tabla1[Fecha],"&lt;="&amp;EOMONTH($A16,0),Tabla1[Codigo_actividad],K$4,Tabla1[Avance_km],"&gt;0"),3)*K$3</f>
        <v>64.72</v>
      </c>
      <c r="L16" s="227">
        <f>+SUMIFS(Tabla1[Avance_Med],Tabla1[Fecha],"&gt;="&amp;$A16,Tabla1[Fecha],"&lt;="&amp;EOMONTH($A16,0),Tabla1[Codigo_actividad],L$4)*L$3</f>
        <v>0</v>
      </c>
      <c r="M16" s="339">
        <f>+SUMIFS(Tabla1[Avance_km],Tabla1[Fecha],"&gt;="&amp;$A16,Tabla1[Fecha],"&lt;="&amp;EOMONTH($A16,0),Tabla1[Codigo_actividad],M$4)*M$3</f>
        <v>6.4055</v>
      </c>
      <c r="N16" s="227">
        <f>+SUMIFS(Tabla1[Avance_Med],Tabla1[Fecha],"&gt;="&amp;$A16,Tabla1[Fecha],"&lt;="&amp;EOMONTH($A16,0),Tabla1[Codigo_actividad],N$4)*N$3</f>
        <v>4</v>
      </c>
      <c r="O16" s="227">
        <f>+SUMIFS(Tabla1[Avance_Med],Tabla1[Fecha],"&gt;="&amp;$A16,Tabla1[Fecha],"&lt;="&amp;EOMONTH($A16,0),Tabla1[Codigo_actividad],O$4)*O$3</f>
        <v>4</v>
      </c>
      <c r="P16" s="227">
        <f>+SUMIFS(Tabla1[Avance_Med],Tabla1[Fecha],"&gt;="&amp;$A16,Tabla1[Fecha],"&lt;="&amp;EOMONTH($A16,0),Tabla1[Codigo_actividad],P$4)*P$3</f>
        <v>4</v>
      </c>
      <c r="Q16" s="227">
        <f>+SUMIFS(Tabla1[Avance_Med],Tabla1[Fecha],"&gt;="&amp;$A16,Tabla1[Fecha],"&lt;="&amp;EOMONTH($A16,0),Tabla1[Codigo_actividad],Q$4)*Q$3</f>
        <v>5</v>
      </c>
      <c r="R16" s="227">
        <f>+SUMIFS(Tabla1[Avance_Med],Tabla1[Fecha],"&gt;="&amp;$A16,Tabla1[Fecha],"&lt;="&amp;EOMONTH($A16,0),Tabla1[Codigo_actividad],R$4)*R$3</f>
        <v>6</v>
      </c>
      <c r="S16" s="227">
        <f>+SUMIFS(Tabla1[Avance_Med],Tabla1[Fecha],"&gt;="&amp;$A16,Tabla1[Fecha],"&lt;="&amp;EOMONTH($A16,0),Tabla1[Codigo_actividad],S$4)*S$3</f>
        <v>6</v>
      </c>
      <c r="T16" s="227">
        <f>+SUMIFS(Tabla1[Avance_Med],Tabla1[Fecha],"&gt;="&amp;$A16,Tabla1[Fecha],"&lt;="&amp;EOMONTH($A16,0),Tabla1[Codigo_actividad],T$4)*T$3</f>
        <v>6</v>
      </c>
      <c r="U16" s="227">
        <f>+SUMIFS(Tabla1[Avance_Med],Tabla1[Fecha],"&gt;="&amp;$A16,Tabla1[Fecha],"&lt;="&amp;EOMONTH($A16,0),Tabla1[Codigo_actividad],U$4)*U$3</f>
        <v>0</v>
      </c>
      <c r="V16" s="227">
        <f>+SUMIFS(Tabla1[Avance_Med],Tabla1[Fecha],"&gt;="&amp;$A16,Tabla1[Fecha],"&lt;="&amp;EOMONTH($A16,0),Tabla1[Codigo_actividad],V$4)*V$3</f>
        <v>6</v>
      </c>
      <c r="W16" s="227">
        <f>+SUMIFS(Tabla1[Avance_Med],Tabla1[Fecha],"&gt;="&amp;$A16,Tabla1[Fecha],"&lt;="&amp;EOMONTH($A16,0),Tabla1[Codigo_actividad],W$4)*W$3</f>
        <v>1</v>
      </c>
      <c r="X16" s="227">
        <f>+SUMIFS(Tabla1[Avance_Med],Tabla1[Fecha],"&gt;="&amp;$A16,Tabla1[Fecha],"&lt;="&amp;EOMONTH($A16,0),Tabla1[Codigo_actividad],X$4)*X$3</f>
        <v>1</v>
      </c>
      <c r="Y16" s="227">
        <f>+SUMIFS(Tabla1[Avance_Med],Tabla1[Fecha],"&gt;="&amp;$A16,Tabla1[Fecha],"&lt;="&amp;EOMONTH($A16,0),Tabla1[Codigo_actividad],Y$4)*Y$3</f>
        <v>4</v>
      </c>
      <c r="Z16" s="227">
        <f>+SUMIFS(Tabla1[Avance_Med],Tabla1[Fecha],"&gt;="&amp;$A16,Tabla1[Fecha],"&lt;="&amp;EOMONTH($A16,0),Tabla1[Codigo_actividad],Z$4)*Z$3</f>
        <v>4</v>
      </c>
      <c r="AA16" s="227">
        <f>+SUMIFS(Tabla1[Avance_Med],Tabla1[Fecha],"&gt;="&amp;$A16,Tabla1[Fecha],"&lt;="&amp;EOMONTH($A16,0),Tabla1[Codigo_actividad],AA$4)*AA$3</f>
        <v>0</v>
      </c>
      <c r="AB16" s="227">
        <f>+SUMIFS(Tabla1[Avance_Med],Tabla1[Fecha],"&gt;="&amp;$A16,Tabla1[Fecha],"&lt;="&amp;EOMONTH($A16,0),Tabla1[Codigo_actividad],AB$4)*AB$3</f>
        <v>0</v>
      </c>
      <c r="AC16" s="227">
        <f>+SUMIFS(Tabla1[Avance_Med],Tabla1[Fecha],"&gt;="&amp;$A16,Tabla1[Fecha],"&lt;="&amp;EOMONTH($A16,0),Tabla1[Codigo_actividad],AC$4)*AC$3</f>
        <v>0</v>
      </c>
      <c r="AD16" s="227">
        <f>+SUMIFS(Tabla1[Avance_Med],Tabla1[Fecha],"&gt;="&amp;$A16,Tabla1[Fecha],"&lt;="&amp;EOMONTH($A16,0),Tabla1[Codigo_actividad],AD$4)*AD$3</f>
        <v>0</v>
      </c>
      <c r="AE16" s="227">
        <f>+SUMIFS(Tabla1[Avance_Med],Tabla1[Fecha],"&gt;="&amp;$A16,Tabla1[Fecha],"&lt;="&amp;EOMONTH($A16,0),Tabla1[Codigo_actividad],AE$4)*AE$3</f>
        <v>0</v>
      </c>
      <c r="AF16" s="227">
        <f>+SUMIFS(Tabla1[Avance_Med],Tabla1[Fecha],"&gt;="&amp;$A16,Tabla1[Fecha],"&lt;="&amp;EOMONTH($A16,0),Tabla1[Codigo_actividad],AF$4)*AF$3</f>
        <v>0</v>
      </c>
      <c r="AG16" s="227">
        <f>+SUMIFS(Tabla1[Avance_Med],Tabla1[Fecha],"&gt;="&amp;$A16,Tabla1[Fecha],"&lt;="&amp;EOMONTH($A16,0),Tabla1[Codigo_actividad],AG$4)*AG$3</f>
        <v>0</v>
      </c>
      <c r="AH16" s="227">
        <f>+SUMIFS(Tabla1[Avance_Med],Tabla1[Fecha],"&gt;="&amp;$A16,Tabla1[Fecha],"&lt;="&amp;EOMONTH($A16,0),Tabla1[Codigo_actividad],AH$4)*AH$3</f>
        <v>0</v>
      </c>
      <c r="AI16" s="227">
        <f>+SUMIFS(Tabla1[Avance_Med],Tabla1[Fecha],"&gt;="&amp;$A16,Tabla1[Fecha],"&lt;="&amp;EOMONTH($A16,0),Tabla1[Codigo_actividad],AI$4)*AI$3</f>
        <v>0</v>
      </c>
      <c r="AJ16" s="227">
        <f>+SUMIFS(Tabla1[Avance_Med],Tabla1[Fecha],"&gt;="&amp;$A16,Tabla1[Fecha],"&lt;="&amp;EOMONTH($A16,0),Tabla1[Codigo_actividad],AJ$4)*AJ$3</f>
        <v>0</v>
      </c>
      <c r="AK16" s="227">
        <f>+SUMIFS(Tabla1[Avance_Med],Tabla1[Fecha],"&gt;="&amp;$A16,Tabla1[Fecha],"&lt;="&amp;EOMONTH($A16,0),Tabla1[Codigo_actividad],AK$4)*AK$3</f>
        <v>0</v>
      </c>
      <c r="AL16" s="227">
        <f>+SUMIFS(Tabla1[Avance_km],Tabla1[Fecha],"&gt;="&amp;$A16,Tabla1[Fecha],"&lt;="&amp;EOMONTH($A16,0),Tabla1[Codigo_actividad],AL$4)*AL$3</f>
        <v>0</v>
      </c>
      <c r="AM16" s="227">
        <f>+SUMIFS(Tabla1[Avance_Med],Tabla1[Fecha],"&gt;="&amp;$A16,Tabla1[Fecha],"&lt;="&amp;EOMONTH($A16,0),Tabla1[Codigo_actividad],AM$4)*AM$3</f>
        <v>0</v>
      </c>
    </row>
    <row r="17" spans="1:49" x14ac:dyDescent="0.25">
      <c r="A17" s="222">
        <v>46327</v>
      </c>
      <c r="B17" s="227">
        <v>0</v>
      </c>
      <c r="C17" s="227">
        <f>+SUMIFS(Tabla1[Avance_Med],Tabla1[Fecha],"&gt;="&amp;$A17,Tabla1[Fecha],"&lt;="&amp;EOMONTH($A17,0),Tabla1[Codigo_actividad],C$4)*C$3</f>
        <v>0</v>
      </c>
      <c r="D17" s="227">
        <f>+SUMIFS(Tabla1[Avance_Med],Tabla1[Fecha],"&gt;="&amp;$A17,Tabla1[Fecha],"&lt;="&amp;EOMONTH($A17,0),Tabla1[Codigo_actividad],D$4)*D$3</f>
        <v>0</v>
      </c>
      <c r="E17" s="227">
        <f>+SUMIFS(Tabla1[Avance_Med],Tabla1[Fecha],"&gt;="&amp;$A17,Tabla1[Fecha],"&lt;="&amp;EOMONTH($A17,0),Tabla1[Codigo_actividad],E$4)*E$3</f>
        <v>0</v>
      </c>
      <c r="F17" s="227">
        <f>+SUMIFS(Tabla1[Avance_Med],Tabla1[Fecha],"&gt;="&amp;$A17,Tabla1[Fecha],"&lt;="&amp;EOMONTH($A17,0),Tabla1[Codigo_actividad],F$4)*F$3</f>
        <v>0</v>
      </c>
      <c r="G17" s="227">
        <f>+SUMIFS(Tabla1[Avance_Med],Tabla1[Fecha],"&gt;="&amp;$A17,Tabla1[Fecha],"&lt;="&amp;EOMONTH($A17,0),Tabla1[Codigo_actividad],G$4)*G$3</f>
        <v>0</v>
      </c>
      <c r="H17" s="339">
        <f>+SUMIFS(Tabla1[Avance_km],Tabla1[Fecha],"&gt;="&amp;$A17,Tabla1[Fecha],"&lt;="&amp;EOMONTH($A17,0),Tabla1[Codigo_actividad],H$4)*H$3</f>
        <v>0</v>
      </c>
      <c r="I17" s="227"/>
      <c r="J17" s="339">
        <f>+SUMIFS(Tabla1[Avance_km],Tabla1[Fecha],"&gt;="&amp;$A17,Tabla1[Fecha],"&lt;="&amp;EOMONTH($A17,0),Tabla1[Codigo_actividad],J$4, Tabla1[Avance_km],"&gt;0")*J$3</f>
        <v>0</v>
      </c>
      <c r="K17" s="477">
        <f>ROUND(SUMIFS(Tabla1[Avance_km],Tabla1[Fecha],"&gt;="&amp;$A17,Tabla1[Fecha],"&lt;="&amp;EOMONTH($A17,0),Tabla1[Codigo_actividad],K$4,Tabla1[Avance_km],"&gt;0"),3)*K$3</f>
        <v>0</v>
      </c>
      <c r="L17" s="227">
        <f>+SUMIFS(Tabla1[Avance_Med],Tabla1[Fecha],"&gt;="&amp;$A17,Tabla1[Fecha],"&lt;="&amp;EOMONTH($A17,0),Tabla1[Codigo_actividad],L$4)*L$3</f>
        <v>0</v>
      </c>
      <c r="M17" s="339">
        <f>+SUMIFS(Tabla1[Avance_km],Tabla1[Fecha],"&gt;="&amp;$A17,Tabla1[Fecha],"&lt;="&amp;EOMONTH($A17,0),Tabla1[Codigo_actividad],M$4)*M$3</f>
        <v>0</v>
      </c>
      <c r="N17" s="227">
        <f>+SUMIFS(Tabla1[Avance_Med],Tabla1[Fecha],"&gt;="&amp;$A17,Tabla1[Fecha],"&lt;="&amp;EOMONTH($A17,0),Tabla1[Codigo_actividad],N$4)*N$3</f>
        <v>0</v>
      </c>
      <c r="O17" s="227">
        <f>+SUMIFS(Tabla1[Avance_Med],Tabla1[Fecha],"&gt;="&amp;$A17,Tabla1[Fecha],"&lt;="&amp;EOMONTH($A17,0),Tabla1[Codigo_actividad],O$4)*O$3</f>
        <v>0</v>
      </c>
      <c r="P17" s="227">
        <f>+SUMIFS(Tabla1[Avance_Med],Tabla1[Fecha],"&gt;="&amp;$A17,Tabla1[Fecha],"&lt;="&amp;EOMONTH($A17,0),Tabla1[Codigo_actividad],P$4)*P$3</f>
        <v>0</v>
      </c>
      <c r="Q17" s="227">
        <f>+SUMIFS(Tabla1[Avance_Med],Tabla1[Fecha],"&gt;="&amp;$A17,Tabla1[Fecha],"&lt;="&amp;EOMONTH($A17,0),Tabla1[Codigo_actividad],Q$4)*Q$3</f>
        <v>0</v>
      </c>
      <c r="R17" s="227">
        <f>+SUMIFS(Tabla1[Avance_Med],Tabla1[Fecha],"&gt;="&amp;$A17,Tabla1[Fecha],"&lt;="&amp;EOMONTH($A17,0),Tabla1[Codigo_actividad],R$4)*R$3</f>
        <v>0</v>
      </c>
      <c r="S17" s="227">
        <f>+SUMIFS(Tabla1[Avance_Med],Tabla1[Fecha],"&gt;="&amp;$A17,Tabla1[Fecha],"&lt;="&amp;EOMONTH($A17,0),Tabla1[Codigo_actividad],S$4)*S$3</f>
        <v>0</v>
      </c>
      <c r="T17" s="227">
        <f>+SUMIFS(Tabla1[Avance_Med],Tabla1[Fecha],"&gt;="&amp;$A17,Tabla1[Fecha],"&lt;="&amp;EOMONTH($A17,0),Tabla1[Codigo_actividad],T$4)*T$3</f>
        <v>0</v>
      </c>
      <c r="U17" s="227">
        <f>+SUMIFS(Tabla1[Avance_Med],Tabla1[Fecha],"&gt;="&amp;$A17,Tabla1[Fecha],"&lt;="&amp;EOMONTH($A17,0),Tabla1[Codigo_actividad],U$4)*U$3</f>
        <v>0</v>
      </c>
      <c r="V17" s="227">
        <f>+SUMIFS(Tabla1[Avance_Med],Tabla1[Fecha],"&gt;="&amp;$A17,Tabla1[Fecha],"&lt;="&amp;EOMONTH($A17,0),Tabla1[Codigo_actividad],V$4)*V$3</f>
        <v>0</v>
      </c>
      <c r="W17" s="227">
        <f>+SUMIFS(Tabla1[Avance_Med],Tabla1[Fecha],"&gt;="&amp;$A17,Tabla1[Fecha],"&lt;="&amp;EOMONTH($A17,0),Tabla1[Codigo_actividad],W$4)*W$3</f>
        <v>0</v>
      </c>
      <c r="X17" s="227">
        <f>+SUMIFS(Tabla1[Avance_Med],Tabla1[Fecha],"&gt;="&amp;$A17,Tabla1[Fecha],"&lt;="&amp;EOMONTH($A17,0),Tabla1[Codigo_actividad],X$4)*X$3</f>
        <v>0</v>
      </c>
      <c r="Y17" s="227">
        <f>+SUMIFS(Tabla1[Avance_Med],Tabla1[Fecha],"&gt;="&amp;$A17,Tabla1[Fecha],"&lt;="&amp;EOMONTH($A17,0),Tabla1[Codigo_actividad],Y$4)*Y$3</f>
        <v>0</v>
      </c>
      <c r="Z17" s="227">
        <f>+SUMIFS(Tabla1[Avance_Med],Tabla1[Fecha],"&gt;="&amp;$A17,Tabla1[Fecha],"&lt;="&amp;EOMONTH($A17,0),Tabla1[Codigo_actividad],Z$4)*Z$3</f>
        <v>0</v>
      </c>
      <c r="AA17" s="227">
        <f>+SUMIFS(Tabla1[Avance_Med],Tabla1[Fecha],"&gt;="&amp;$A17,Tabla1[Fecha],"&lt;="&amp;EOMONTH($A17,0),Tabla1[Codigo_actividad],AA$4)*AA$3</f>
        <v>0</v>
      </c>
      <c r="AB17" s="227">
        <f>+SUMIFS(Tabla1[Avance_Med],Tabla1[Fecha],"&gt;="&amp;$A17,Tabla1[Fecha],"&lt;="&amp;EOMONTH($A17,0),Tabla1[Codigo_actividad],AB$4)*AB$3</f>
        <v>0</v>
      </c>
      <c r="AC17" s="227">
        <f>+SUMIFS(Tabla1[Avance_Med],Tabla1[Fecha],"&gt;="&amp;$A17,Tabla1[Fecha],"&lt;="&amp;EOMONTH($A17,0),Tabla1[Codigo_actividad],AC$4)*AC$3</f>
        <v>0</v>
      </c>
      <c r="AD17" s="227">
        <f>+SUMIFS(Tabla1[Avance_Med],Tabla1[Fecha],"&gt;="&amp;$A17,Tabla1[Fecha],"&lt;="&amp;EOMONTH($A17,0),Tabla1[Codigo_actividad],AD$4)*AD$3</f>
        <v>0</v>
      </c>
      <c r="AE17" s="227">
        <f>+SUMIFS(Tabla1[Avance_Med],Tabla1[Fecha],"&gt;="&amp;$A17,Tabla1[Fecha],"&lt;="&amp;EOMONTH($A17,0),Tabla1[Codigo_actividad],AE$4)*AE$3</f>
        <v>0</v>
      </c>
      <c r="AF17" s="227">
        <f>+SUMIFS(Tabla1[Avance_Med],Tabla1[Fecha],"&gt;="&amp;$A17,Tabla1[Fecha],"&lt;="&amp;EOMONTH($A17,0),Tabla1[Codigo_actividad],AF$4)*AF$3</f>
        <v>0</v>
      </c>
      <c r="AG17" s="227">
        <f>+SUMIFS(Tabla1[Avance_Med],Tabla1[Fecha],"&gt;="&amp;$A17,Tabla1[Fecha],"&lt;="&amp;EOMONTH($A17,0),Tabla1[Codigo_actividad],AG$4)*AG$3</f>
        <v>0</v>
      </c>
      <c r="AH17" s="227">
        <f>+SUMIFS(Tabla1[Avance_Med],Tabla1[Fecha],"&gt;="&amp;$A17,Tabla1[Fecha],"&lt;="&amp;EOMONTH($A17,0),Tabla1[Codigo_actividad],AH$4)*AH$3</f>
        <v>0</v>
      </c>
      <c r="AI17" s="227">
        <f>+SUMIFS(Tabla1[Avance_Med],Tabla1[Fecha],"&gt;="&amp;$A17,Tabla1[Fecha],"&lt;="&amp;EOMONTH($A17,0),Tabla1[Codigo_actividad],AI$4)*AI$3</f>
        <v>0</v>
      </c>
      <c r="AJ17" s="227">
        <f>+SUMIFS(Tabla1[Avance_Med],Tabla1[Fecha],"&gt;="&amp;$A17,Tabla1[Fecha],"&lt;="&amp;EOMONTH($A17,0),Tabla1[Codigo_actividad],AJ$4)*AJ$3</f>
        <v>0</v>
      </c>
      <c r="AK17" s="227">
        <f>+SUMIFS(Tabla1[Avance_Med],Tabla1[Fecha],"&gt;="&amp;$A17,Tabla1[Fecha],"&lt;="&amp;EOMONTH($A17,0),Tabla1[Codigo_actividad],AK$4)*AK$3</f>
        <v>0</v>
      </c>
      <c r="AL17" s="227">
        <f>+SUMIFS(Tabla1[Avance_km],Tabla1[Fecha],"&gt;="&amp;$A17,Tabla1[Fecha],"&lt;="&amp;EOMONTH($A17,0),Tabla1[Codigo_actividad],AL$4)*AL$3</f>
        <v>0</v>
      </c>
      <c r="AM17" s="227">
        <f>+SUMIFS(Tabla1[Avance_Med],Tabla1[Fecha],"&gt;="&amp;$A17,Tabla1[Fecha],"&lt;="&amp;EOMONTH($A17,0),Tabla1[Codigo_actividad],AM$4)*AM$3</f>
        <v>0</v>
      </c>
    </row>
    <row r="18" spans="1:49" x14ac:dyDescent="0.25">
      <c r="A18" s="222">
        <v>46357</v>
      </c>
      <c r="B18" s="227">
        <v>0</v>
      </c>
      <c r="C18" s="227">
        <f>+SUMIFS(Tabla1[Avance_Med],Tabla1[Fecha],"&gt;="&amp;$A18,Tabla1[Fecha],"&lt;="&amp;EOMONTH($A18,0),Tabla1[Codigo_actividad],C$4)*C$3</f>
        <v>0</v>
      </c>
      <c r="D18" s="227">
        <f>+SUMIFS(Tabla1[Avance_Med],Tabla1[Fecha],"&gt;="&amp;$A18,Tabla1[Fecha],"&lt;="&amp;EOMONTH($A18,0),Tabla1[Codigo_actividad],D$4)*D$3</f>
        <v>0</v>
      </c>
      <c r="E18" s="227">
        <f>+SUMIFS(Tabla1[Avance_Med],Tabla1[Fecha],"&gt;="&amp;$A18,Tabla1[Fecha],"&lt;="&amp;EOMONTH($A18,0),Tabla1[Codigo_actividad],E$4)*E$3</f>
        <v>0</v>
      </c>
      <c r="F18" s="227">
        <f>+SUMIFS(Tabla1[Avance_Med],Tabla1[Fecha],"&gt;="&amp;$A18,Tabla1[Fecha],"&lt;="&amp;EOMONTH($A18,0),Tabla1[Codigo_actividad],F$4)*F$3</f>
        <v>0</v>
      </c>
      <c r="G18" s="227">
        <f>+SUMIFS(Tabla1[Avance_Med],Tabla1[Fecha],"&gt;="&amp;$A18,Tabla1[Fecha],"&lt;="&amp;EOMONTH($A18,0),Tabla1[Codigo_actividad],G$4)*G$3</f>
        <v>0</v>
      </c>
      <c r="H18" s="339">
        <f>+SUMIFS(Tabla1[Avance_km],Tabla1[Fecha],"&gt;="&amp;$A18,Tabla1[Fecha],"&lt;="&amp;EOMONTH($A18,0),Tabla1[Codigo_actividad],H$4)*H$3</f>
        <v>0</v>
      </c>
      <c r="I18" s="227"/>
      <c r="J18" s="339">
        <f>+SUMIFS(Tabla1[Avance_km],Tabla1[Fecha],"&gt;="&amp;$A18,Tabla1[Fecha],"&lt;="&amp;EOMONTH($A18,0),Tabla1[Codigo_actividad],J$4, Tabla1[Avance_km],"&gt;0")*J$3</f>
        <v>0</v>
      </c>
      <c r="K18" s="477">
        <f>ROUND(SUMIFS(Tabla1[Avance_km],Tabla1[Fecha],"&gt;="&amp;$A18,Tabla1[Fecha],"&lt;="&amp;EOMONTH($A18,0),Tabla1[Codigo_actividad],K$4,Tabla1[Avance_km],"&gt;0"),3)*K$3</f>
        <v>0</v>
      </c>
      <c r="L18" s="227">
        <f>+SUMIFS(Tabla1[Avance_Med],Tabla1[Fecha],"&gt;="&amp;$A18,Tabla1[Fecha],"&lt;="&amp;EOMONTH($A18,0),Tabla1[Codigo_actividad],L$4)*L$3</f>
        <v>0</v>
      </c>
      <c r="M18" s="339">
        <f>+SUMIFS(Tabla1[Avance_km],Tabla1[Fecha],"&gt;="&amp;$A18,Tabla1[Fecha],"&lt;="&amp;EOMONTH($A18,0),Tabla1[Codigo_actividad],M$4)*M$3</f>
        <v>0</v>
      </c>
      <c r="N18" s="227">
        <f>+SUMIFS(Tabla1[Avance_Med],Tabla1[Fecha],"&gt;="&amp;$A18,Tabla1[Fecha],"&lt;="&amp;EOMONTH($A18,0),Tabla1[Codigo_actividad],N$4)*N$3</f>
        <v>0</v>
      </c>
      <c r="O18" s="227">
        <f>+SUMIFS(Tabla1[Avance_Med],Tabla1[Fecha],"&gt;="&amp;$A18,Tabla1[Fecha],"&lt;="&amp;EOMONTH($A18,0),Tabla1[Codigo_actividad],O$4)*O$3</f>
        <v>0</v>
      </c>
      <c r="P18" s="227">
        <f>+SUMIFS(Tabla1[Avance_Med],Tabla1[Fecha],"&gt;="&amp;$A18,Tabla1[Fecha],"&lt;="&amp;EOMONTH($A18,0),Tabla1[Codigo_actividad],P$4)*P$3</f>
        <v>0</v>
      </c>
      <c r="Q18" s="227">
        <f>+SUMIFS(Tabla1[Avance_Med],Tabla1[Fecha],"&gt;="&amp;$A18,Tabla1[Fecha],"&lt;="&amp;EOMONTH($A18,0),Tabla1[Codigo_actividad],Q$4)*Q$3</f>
        <v>0</v>
      </c>
      <c r="R18" s="227">
        <f>+SUMIFS(Tabla1[Avance_Med],Tabla1[Fecha],"&gt;="&amp;$A18,Tabla1[Fecha],"&lt;="&amp;EOMONTH($A18,0),Tabla1[Codigo_actividad],R$4)*R$3</f>
        <v>0</v>
      </c>
      <c r="S18" s="227">
        <f>+SUMIFS(Tabla1[Avance_Med],Tabla1[Fecha],"&gt;="&amp;$A18,Tabla1[Fecha],"&lt;="&amp;EOMONTH($A18,0),Tabla1[Codigo_actividad],S$4)*S$3</f>
        <v>0</v>
      </c>
      <c r="T18" s="227">
        <f>+SUMIFS(Tabla1[Avance_Med],Tabla1[Fecha],"&gt;="&amp;$A18,Tabla1[Fecha],"&lt;="&amp;EOMONTH($A18,0),Tabla1[Codigo_actividad],T$4)*T$3</f>
        <v>0</v>
      </c>
      <c r="U18" s="227">
        <f>+SUMIFS(Tabla1[Avance_Med],Tabla1[Fecha],"&gt;="&amp;$A18,Tabla1[Fecha],"&lt;="&amp;EOMONTH($A18,0),Tabla1[Codigo_actividad],U$4)*U$3</f>
        <v>0</v>
      </c>
      <c r="V18" s="227">
        <f>+SUMIFS(Tabla1[Avance_Med],Tabla1[Fecha],"&gt;="&amp;$A18,Tabla1[Fecha],"&lt;="&amp;EOMONTH($A18,0),Tabla1[Codigo_actividad],V$4)*V$3</f>
        <v>0</v>
      </c>
      <c r="W18" s="227">
        <f>+SUMIFS(Tabla1[Avance_Med],Tabla1[Fecha],"&gt;="&amp;$A18,Tabla1[Fecha],"&lt;="&amp;EOMONTH($A18,0),Tabla1[Codigo_actividad],W$4)*W$3</f>
        <v>0</v>
      </c>
      <c r="X18" s="227">
        <f>+SUMIFS(Tabla1[Avance_Med],Tabla1[Fecha],"&gt;="&amp;$A18,Tabla1[Fecha],"&lt;="&amp;EOMONTH($A18,0),Tabla1[Codigo_actividad],X$4)*X$3</f>
        <v>0</v>
      </c>
      <c r="Y18" s="227">
        <f>+SUMIFS(Tabla1[Avance_Med],Tabla1[Fecha],"&gt;="&amp;$A18,Tabla1[Fecha],"&lt;="&amp;EOMONTH($A18,0),Tabla1[Codigo_actividad],Y$4)*Y$3</f>
        <v>0</v>
      </c>
      <c r="Z18" s="227">
        <f>+SUMIFS(Tabla1[Avance_Med],Tabla1[Fecha],"&gt;="&amp;$A18,Tabla1[Fecha],"&lt;="&amp;EOMONTH($A18,0),Tabla1[Codigo_actividad],Z$4)*Z$3</f>
        <v>0</v>
      </c>
      <c r="AA18" s="227">
        <f>+SUMIFS(Tabla1[Avance_Med],Tabla1[Fecha],"&gt;="&amp;$A18,Tabla1[Fecha],"&lt;="&amp;EOMONTH($A18,0),Tabla1[Codigo_actividad],AA$4)*AA$3</f>
        <v>0</v>
      </c>
      <c r="AB18" s="227">
        <f>+SUMIFS(Tabla1[Avance_Med],Tabla1[Fecha],"&gt;="&amp;$A18,Tabla1[Fecha],"&lt;="&amp;EOMONTH($A18,0),Tabla1[Codigo_actividad],AB$4)*AB$3</f>
        <v>0</v>
      </c>
      <c r="AC18" s="227">
        <f>+SUMIFS(Tabla1[Avance_Med],Tabla1[Fecha],"&gt;="&amp;$A18,Tabla1[Fecha],"&lt;="&amp;EOMONTH($A18,0),Tabla1[Codigo_actividad],AC$4)*AC$3</f>
        <v>0</v>
      </c>
      <c r="AD18" s="227">
        <f>+SUMIFS(Tabla1[Avance_Med],Tabla1[Fecha],"&gt;="&amp;$A18,Tabla1[Fecha],"&lt;="&amp;EOMONTH($A18,0),Tabla1[Codigo_actividad],AD$4)*AD$3</f>
        <v>0</v>
      </c>
      <c r="AE18" s="227">
        <f>+SUMIFS(Tabla1[Avance_Med],Tabla1[Fecha],"&gt;="&amp;$A18,Tabla1[Fecha],"&lt;="&amp;EOMONTH($A18,0),Tabla1[Codigo_actividad],AE$4)*AE$3</f>
        <v>0</v>
      </c>
      <c r="AF18" s="227">
        <f>+SUMIFS(Tabla1[Avance_Med],Tabla1[Fecha],"&gt;="&amp;$A18,Tabla1[Fecha],"&lt;="&amp;EOMONTH($A18,0),Tabla1[Codigo_actividad],AF$4)*AF$3</f>
        <v>0</v>
      </c>
      <c r="AG18" s="227">
        <f>+SUMIFS(Tabla1[Avance_Med],Tabla1[Fecha],"&gt;="&amp;$A18,Tabla1[Fecha],"&lt;="&amp;EOMONTH($A18,0),Tabla1[Codigo_actividad],AG$4)*AG$3</f>
        <v>0</v>
      </c>
      <c r="AH18" s="227">
        <f>+SUMIFS(Tabla1[Avance_Med],Tabla1[Fecha],"&gt;="&amp;$A18,Tabla1[Fecha],"&lt;="&amp;EOMONTH($A18,0),Tabla1[Codigo_actividad],AH$4)*AH$3</f>
        <v>0</v>
      </c>
      <c r="AI18" s="227">
        <f>+SUMIFS(Tabla1[Avance_Med],Tabla1[Fecha],"&gt;="&amp;$A18,Tabla1[Fecha],"&lt;="&amp;EOMONTH($A18,0),Tabla1[Codigo_actividad],AI$4)*AI$3</f>
        <v>0</v>
      </c>
      <c r="AJ18" s="227">
        <f>+SUMIFS(Tabla1[Avance_Med],Tabla1[Fecha],"&gt;="&amp;$A18,Tabla1[Fecha],"&lt;="&amp;EOMONTH($A18,0),Tabla1[Codigo_actividad],AJ$4)*AJ$3</f>
        <v>0</v>
      </c>
      <c r="AK18" s="227">
        <f>+SUMIFS(Tabla1[Avance_Med],Tabla1[Fecha],"&gt;="&amp;$A18,Tabla1[Fecha],"&lt;="&amp;EOMONTH($A18,0),Tabla1[Codigo_actividad],AK$4)*AK$3</f>
        <v>0</v>
      </c>
      <c r="AL18" s="227">
        <f>+SUMIFS(Tabla1[Avance_km],Tabla1[Fecha],"&gt;="&amp;$A18,Tabla1[Fecha],"&lt;="&amp;EOMONTH($A18,0),Tabla1[Codigo_actividad],AL$4)*AL$3</f>
        <v>0</v>
      </c>
      <c r="AM18" s="227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0">
        <f>SUM(B5:B18)</f>
        <v>116</v>
      </c>
      <c r="C19" s="300">
        <f t="shared" ref="C19:AM19" si="0">SUM(C5:C18)</f>
        <v>116</v>
      </c>
      <c r="D19" s="300">
        <f t="shared" si="0"/>
        <v>116</v>
      </c>
      <c r="E19" s="300">
        <f t="shared" si="0"/>
        <v>116</v>
      </c>
      <c r="F19" s="300">
        <f t="shared" si="0"/>
        <v>116</v>
      </c>
      <c r="G19" s="300">
        <f t="shared" si="0"/>
        <v>116</v>
      </c>
      <c r="H19" s="300">
        <f t="shared" si="0"/>
        <v>182.43750000000003</v>
      </c>
      <c r="I19" s="300">
        <f t="shared" si="0"/>
        <v>0</v>
      </c>
      <c r="J19" s="471">
        <f t="shared" si="0"/>
        <v>150.32450000000003</v>
      </c>
      <c r="K19" s="478">
        <f t="shared" si="0"/>
        <v>118.792</v>
      </c>
      <c r="L19" s="300">
        <f t="shared" si="0"/>
        <v>396</v>
      </c>
      <c r="M19" s="300">
        <f t="shared" si="0"/>
        <v>186.66649999999998</v>
      </c>
      <c r="N19" s="300">
        <f t="shared" si="0"/>
        <v>92</v>
      </c>
      <c r="O19" s="300">
        <f t="shared" si="0"/>
        <v>92</v>
      </c>
      <c r="P19" s="300">
        <f t="shared" si="0"/>
        <v>92</v>
      </c>
      <c r="Q19" s="300">
        <f t="shared" si="0"/>
        <v>15</v>
      </c>
      <c r="R19" s="300">
        <f t="shared" si="0"/>
        <v>16</v>
      </c>
      <c r="S19" s="300">
        <f t="shared" si="0"/>
        <v>16</v>
      </c>
      <c r="T19" s="300">
        <f t="shared" si="0"/>
        <v>16</v>
      </c>
      <c r="U19" s="300">
        <f t="shared" si="0"/>
        <v>2</v>
      </c>
      <c r="V19" s="300">
        <f t="shared" si="0"/>
        <v>16</v>
      </c>
      <c r="W19" s="300">
        <f t="shared" si="0"/>
        <v>3</v>
      </c>
      <c r="X19" s="300">
        <f t="shared" si="0"/>
        <v>4</v>
      </c>
      <c r="Y19" s="300">
        <f t="shared" si="0"/>
        <v>14</v>
      </c>
      <c r="Z19" s="300">
        <f t="shared" si="0"/>
        <v>14</v>
      </c>
      <c r="AA19" s="300">
        <f t="shared" si="0"/>
        <v>0</v>
      </c>
      <c r="AB19" s="300">
        <f t="shared" si="0"/>
        <v>0</v>
      </c>
      <c r="AC19" s="300">
        <f t="shared" si="0"/>
        <v>0</v>
      </c>
      <c r="AD19" s="300">
        <f t="shared" si="0"/>
        <v>0</v>
      </c>
      <c r="AE19" s="300">
        <f t="shared" si="0"/>
        <v>0</v>
      </c>
      <c r="AF19" s="300">
        <f t="shared" si="0"/>
        <v>0</v>
      </c>
      <c r="AG19" s="300">
        <f t="shared" si="0"/>
        <v>0</v>
      </c>
      <c r="AH19" s="300">
        <f t="shared" si="0"/>
        <v>0</v>
      </c>
      <c r="AI19" s="300">
        <f t="shared" si="0"/>
        <v>0</v>
      </c>
      <c r="AJ19" s="300">
        <f t="shared" si="0"/>
        <v>24</v>
      </c>
      <c r="AK19" s="300">
        <f t="shared" si="0"/>
        <v>24</v>
      </c>
      <c r="AL19" s="300">
        <f t="shared" si="0"/>
        <v>0</v>
      </c>
      <c r="AM19" s="300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27" t="s">
        <v>450</v>
      </c>
      <c r="B21" s="300">
        <f>+_xlfn.XLOOKUP(B4,Catalogo!$B:$B,Catalogo!$D:$D)</f>
        <v>105</v>
      </c>
      <c r="C21" s="300">
        <f>+_xlfn.XLOOKUP(C4,Catalogo!$B:$B,Catalogo!$D:$D)</f>
        <v>105</v>
      </c>
      <c r="D21" s="300">
        <f>+_xlfn.XLOOKUP(D4,Catalogo!$B:$B,Catalogo!$D:$D)</f>
        <v>105</v>
      </c>
      <c r="E21" s="300">
        <f>+_xlfn.XLOOKUP(E4,Catalogo!$B:$B,Catalogo!$D:$D)</f>
        <v>105</v>
      </c>
      <c r="F21" s="300">
        <f>+_xlfn.XLOOKUP(F4,Catalogo!$B:$B,Catalogo!$D:$D)</f>
        <v>105</v>
      </c>
      <c r="G21" s="300">
        <f>+_xlfn.XLOOKUP(G4,Catalogo!$B:$B,Catalogo!$D:$D)</f>
        <v>105</v>
      </c>
      <c r="H21" s="300">
        <v>200</v>
      </c>
      <c r="I21" s="300">
        <f>+_xlfn.XLOOKUP(I4,Catalogo!$B:$B,Catalogo!$D:$D)</f>
        <v>200</v>
      </c>
      <c r="J21" s="300">
        <v>200</v>
      </c>
      <c r="K21" s="300">
        <f>+_xlfn.XLOOKUP(K4,Catalogo!$B:$B,Catalogo!$D:$D)</f>
        <v>200</v>
      </c>
      <c r="L21" s="300">
        <f>+_xlfn.XLOOKUP(L4,Catalogo!$B:$B,Catalogo!$D:$D)</f>
        <v>500</v>
      </c>
      <c r="M21" s="300">
        <v>200</v>
      </c>
      <c r="N21" s="300">
        <f>+_xlfn.XLOOKUP(N4,Catalogo!$B:$B,Catalogo!$D:$D)</f>
        <v>105</v>
      </c>
      <c r="O21" s="300">
        <f>+_xlfn.XLOOKUP(O4,Catalogo!$B:$B,Catalogo!$D:$D)</f>
        <v>105</v>
      </c>
      <c r="P21" s="300">
        <f>+_xlfn.XLOOKUP(P4,Catalogo!$B:$B,Catalogo!$D:$D)</f>
        <v>105</v>
      </c>
      <c r="Q21" s="300">
        <f>+_xlfn.XLOOKUP(Q4,Catalogo!$B:$B,Catalogo!$D:$D)</f>
        <v>55</v>
      </c>
      <c r="R21" s="300">
        <f>+_xlfn.XLOOKUP(R4,Catalogo!$B:$B,Catalogo!$D:$D)</f>
        <v>55</v>
      </c>
      <c r="S21" s="300">
        <f>+_xlfn.XLOOKUP(S4,Catalogo!$B:$B,Catalogo!$D:$D)</f>
        <v>100</v>
      </c>
      <c r="T21" s="300">
        <f>+_xlfn.XLOOKUP(T4,Catalogo!$B:$B,Catalogo!$D:$D)</f>
        <v>100</v>
      </c>
      <c r="U21" s="300">
        <f>+_xlfn.XLOOKUP(U4,Catalogo!$B:$B,Catalogo!$D:$D)</f>
        <v>170</v>
      </c>
      <c r="V21" s="300">
        <f>+_xlfn.XLOOKUP(V4,Catalogo!$B:$B,Catalogo!$D:$D)</f>
        <v>170</v>
      </c>
      <c r="W21" s="300">
        <f>+_xlfn.XLOOKUP(W4,Catalogo!$B:$B,Catalogo!$D:$D)</f>
        <v>100</v>
      </c>
      <c r="X21" s="300">
        <f>+_xlfn.XLOOKUP(X4,Catalogo!$B:$B,Catalogo!$D:$D)</f>
        <v>100</v>
      </c>
      <c r="Y21" s="300">
        <f>+_xlfn.XLOOKUP(Y4,Catalogo!$B:$B,Catalogo!$D:$D)</f>
        <v>55</v>
      </c>
      <c r="Z21" s="300">
        <f>+_xlfn.XLOOKUP(Z4,Catalogo!$B:$B,Catalogo!$D:$D)</f>
        <v>55</v>
      </c>
      <c r="AA21" s="300">
        <f>+_xlfn.XLOOKUP(AA4,Catalogo!$B:$B,Catalogo!$D:$D)</f>
        <v>105</v>
      </c>
      <c r="AB21" s="300">
        <f>+_xlfn.XLOOKUP(AB4,Catalogo!$B:$B,Catalogo!$D:$D)</f>
        <v>105</v>
      </c>
      <c r="AC21" s="300">
        <f>+_xlfn.XLOOKUP(AC4,Catalogo!$B:$B,Catalogo!$D:$D)</f>
        <v>105</v>
      </c>
      <c r="AD21" s="300">
        <f>+_xlfn.XLOOKUP(AD4,Catalogo!$B:$B,Catalogo!$D:$D)</f>
        <v>105</v>
      </c>
      <c r="AE21" s="300">
        <f>+_xlfn.XLOOKUP(AE4,Catalogo!$B:$B,Catalogo!$D:$D)</f>
        <v>105</v>
      </c>
      <c r="AF21" s="300">
        <f>+_xlfn.XLOOKUP(AF4,Catalogo!$B:$B,Catalogo!$D:$D)</f>
        <v>105</v>
      </c>
      <c r="AG21" s="300">
        <f>+_xlfn.XLOOKUP(AG4,Catalogo!$B:$B,Catalogo!$D:$D)</f>
        <v>105</v>
      </c>
      <c r="AH21" s="300">
        <f>+_xlfn.XLOOKUP(AH4,Catalogo!$B:$B,Catalogo!$D:$D)</f>
        <v>105</v>
      </c>
      <c r="AI21" s="300">
        <f>+_xlfn.XLOOKUP(AI4,Catalogo!$B:$B,Catalogo!$D:$D)</f>
        <v>105</v>
      </c>
      <c r="AJ21" s="300">
        <f>+_xlfn.XLOOKUP(AJ4,Catalogo!$B:$B,Catalogo!$D:$D)</f>
        <v>100</v>
      </c>
      <c r="AK21" s="300">
        <f>+_xlfn.XLOOKUP(AK4,Catalogo!$B:$B,Catalogo!$D:$D)</f>
        <v>500</v>
      </c>
      <c r="AL21" s="300">
        <f>+_xlfn.XLOOKUP(AL4,Catalogo!$B:$B,Catalogo!$D:$D)</f>
        <v>800</v>
      </c>
      <c r="AM21" s="300">
        <f>+_xlfn.XLOOKUP(AM4,Catalogo!$B:$B,Catalogo!$D:$D)</f>
        <v>105</v>
      </c>
    </row>
    <row r="22" spans="1:49" s="1" customFormat="1" x14ac:dyDescent="0.25">
      <c r="A22" s="327" t="s">
        <v>451</v>
      </c>
      <c r="B22" s="324">
        <f>+B19/B21</f>
        <v>1.1047619047619048</v>
      </c>
      <c r="C22" s="324">
        <f t="shared" ref="C22:P22" si="1">+C19/C21</f>
        <v>1.1047619047619048</v>
      </c>
      <c r="D22" s="324">
        <f t="shared" si="1"/>
        <v>1.1047619047619048</v>
      </c>
      <c r="E22" s="324">
        <f t="shared" si="1"/>
        <v>1.1047619047619048</v>
      </c>
      <c r="F22" s="324">
        <f t="shared" si="1"/>
        <v>1.1047619047619048</v>
      </c>
      <c r="G22" s="324">
        <f t="shared" si="1"/>
        <v>1.1047619047619048</v>
      </c>
      <c r="H22" s="334">
        <f t="shared" si="1"/>
        <v>0.91218750000000015</v>
      </c>
      <c r="I22" s="336"/>
      <c r="J22" s="334">
        <f t="shared" si="1"/>
        <v>0.75162250000000019</v>
      </c>
      <c r="K22" s="334">
        <f t="shared" si="1"/>
        <v>0.59396000000000004</v>
      </c>
      <c r="L22" s="334">
        <f t="shared" si="1"/>
        <v>0.79200000000000004</v>
      </c>
      <c r="M22" s="334">
        <f t="shared" si="1"/>
        <v>0.9333324999999999</v>
      </c>
      <c r="N22" s="334">
        <f t="shared" si="1"/>
        <v>0.87619047619047619</v>
      </c>
      <c r="O22" s="334">
        <f t="shared" si="1"/>
        <v>0.87619047619047619</v>
      </c>
      <c r="P22" s="335">
        <f t="shared" si="1"/>
        <v>0.87619047619047619</v>
      </c>
      <c r="Q22" s="325">
        <f t="shared" ref="Q22" si="2">+Q19/Q21</f>
        <v>0.27272727272727271</v>
      </c>
      <c r="R22" s="325">
        <f t="shared" ref="R22" si="3">+R19/R21</f>
        <v>0.29090909090909089</v>
      </c>
      <c r="S22" s="325">
        <f t="shared" ref="S22" si="4">+S19/S21</f>
        <v>0.16</v>
      </c>
      <c r="T22" s="325">
        <f t="shared" ref="T22" si="5">+T19/T21</f>
        <v>0.16</v>
      </c>
      <c r="U22" s="325">
        <f t="shared" ref="U22" si="6">+U19/U21</f>
        <v>1.1764705882352941E-2</v>
      </c>
      <c r="V22" s="325">
        <f t="shared" ref="V22" si="7">+V19/V21</f>
        <v>9.4117647058823528E-2</v>
      </c>
      <c r="W22" s="325">
        <f t="shared" ref="W22" si="8">+W19/W21</f>
        <v>0.03</v>
      </c>
      <c r="X22" s="325">
        <f t="shared" ref="X22" si="9">+X19/X21</f>
        <v>0.04</v>
      </c>
      <c r="Y22" s="325">
        <f t="shared" ref="Y22" si="10">+Y19/Y21</f>
        <v>0.25454545454545452</v>
      </c>
      <c r="Z22" s="325">
        <f t="shared" ref="Z22" si="11">+Z19/Z21</f>
        <v>0.25454545454545452</v>
      </c>
      <c r="AA22" s="325">
        <f t="shared" ref="AA22" si="12">+AA19/AA21</f>
        <v>0</v>
      </c>
      <c r="AB22" s="326">
        <f t="shared" ref="AB22" si="13">+AB19/AB21</f>
        <v>0</v>
      </c>
      <c r="AC22" s="326">
        <f t="shared" ref="AC22" si="14">+AC19/AC21</f>
        <v>0</v>
      </c>
      <c r="AD22" s="326">
        <f t="shared" ref="AD22" si="15">+AD19/AD21</f>
        <v>0</v>
      </c>
      <c r="AE22" s="326">
        <f t="shared" ref="AE22" si="16">+AE19/AE21</f>
        <v>0</v>
      </c>
      <c r="AF22" s="326">
        <f t="shared" ref="AF22" si="17">+AF19/AF21</f>
        <v>0</v>
      </c>
      <c r="AG22" s="326">
        <f t="shared" ref="AG22" si="18">+AG19/AG21</f>
        <v>0</v>
      </c>
      <c r="AH22" s="326">
        <f t="shared" ref="AH22" si="19">+AH19/AH21</f>
        <v>0</v>
      </c>
      <c r="AI22" s="326">
        <f t="shared" ref="AI22" si="20">+AI19/AI21</f>
        <v>0</v>
      </c>
      <c r="AJ22" s="326">
        <f t="shared" ref="AJ22" si="21">+AJ19/AJ21</f>
        <v>0.24</v>
      </c>
      <c r="AK22" s="326">
        <f t="shared" ref="AK22" si="22">+AK19/AK21</f>
        <v>4.8000000000000001E-2</v>
      </c>
      <c r="AL22" s="326">
        <f t="shared" ref="AL22" si="23">+AL19/AL21</f>
        <v>0</v>
      </c>
      <c r="AM22" s="326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0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615" t="s">
        <v>398</v>
      </c>
      <c r="C25" s="615"/>
      <c r="D25" s="345">
        <v>100</v>
      </c>
      <c r="E25" s="329" t="str">
        <f>REPT("█",ROUND(D25/5,0))&amp;REPT("░",20-ROUND(D25/5,0))&amp;" "&amp;ROUND(D25,0)&amp;"%"</f>
        <v>████████████████████ 100%</v>
      </c>
      <c r="M25" s="347">
        <v>11</v>
      </c>
      <c r="N25" s="1" t="s">
        <v>118</v>
      </c>
      <c r="P25" s="504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615" t="s">
        <v>447</v>
      </c>
      <c r="C26" s="615"/>
      <c r="D26" s="345">
        <f>+AVERAGE(H22:O22)*100</f>
        <v>81.935477891156467</v>
      </c>
      <c r="E26" s="330" t="str">
        <f>REPT("█",ROUND(D26/5,0))&amp;REPT("░",20-ROUND(D26/5,0))&amp;" "&amp;ROUND(D26,0)&amp;"%"</f>
        <v>████████████████░░░░ 82%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615" t="s">
        <v>448</v>
      </c>
      <c r="C27" s="615"/>
      <c r="D27" s="345">
        <f>+AVERAGE(P22:AA22)*100</f>
        <v>20.373334182157709</v>
      </c>
      <c r="E27" s="344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615" t="s">
        <v>449</v>
      </c>
      <c r="C28" s="615"/>
      <c r="D28" s="345">
        <f>+AVERAGE(AB22:AM22)*100</f>
        <v>2.4</v>
      </c>
      <c r="E28" s="343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0"/>
      <c r="E30" s="346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46" t="s">
        <v>612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36" priority="2" stopIfTrue="1">
      <formula>B5=0</formula>
    </cfRule>
    <cfRule type="expression" dxfId="35" priority="3">
      <formula>IF(MONTH($A5)=MONTH(TODAY()),"VERDADERO","FALSO")</formula>
    </cfRule>
    <cfRule type="expression" dxfId="3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28" t="s">
        <v>398</v>
      </c>
      <c r="C3" s="341">
        <v>100</v>
      </c>
      <c r="D3" s="329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28" t="s">
        <v>447</v>
      </c>
      <c r="C4" s="342">
        <f>+AVERAGE('EV (3)'!H22:O22)*100</f>
        <v>81.935477891156467</v>
      </c>
      <c r="D4" s="330" t="str">
        <f>REPT("█",ROUND(C4/5,0))&amp;REPT("░",20-ROUND(C4/5,0))&amp;" "&amp;ROUND(C4,0)&amp;"%"</f>
        <v>████████████████░░░░ 82%</v>
      </c>
    </row>
    <row r="5" spans="2:4" ht="26.25" x14ac:dyDescent="0.35">
      <c r="B5" s="328" t="s">
        <v>448</v>
      </c>
      <c r="C5" s="342">
        <f>+AVERAGE('EV (3)'!P22:AA22)*100</f>
        <v>20.373334182157709</v>
      </c>
      <c r="D5" s="331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28" t="s">
        <v>449</v>
      </c>
      <c r="C6" s="342">
        <f>IFERROR(AVERAGE('EV (3)'!AB22:AM22)*100,0)</f>
        <v>2.4</v>
      </c>
      <c r="D6" s="332" t="str">
        <f t="shared" si="0"/>
        <v>░░░░░░░░░░░░░░░░░░░░ 2%</v>
      </c>
    </row>
    <row r="7" spans="2:4" ht="16.5" x14ac:dyDescent="0.3">
      <c r="B7" s="102"/>
      <c r="C7" s="102"/>
      <c r="D7" s="102"/>
    </row>
    <row r="8" spans="2:4" ht="16.5" x14ac:dyDescent="0.3">
      <c r="B8" s="102"/>
      <c r="C8" s="102"/>
      <c r="D8" s="333" t="s">
        <v>454</v>
      </c>
    </row>
    <row r="9" spans="2:4" ht="16.5" x14ac:dyDescent="0.3">
      <c r="B9" s="102"/>
      <c r="C9" s="102"/>
      <c r="D9" s="333" t="s">
        <v>452</v>
      </c>
    </row>
  </sheetData>
  <phoneticPr fontId="25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topLeftCell="A4" zoomScaleNormal="100" workbookViewId="0">
      <selection activeCell="R14" sqref="R14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6" width="13.85546875" style="61" customWidth="1" outlineLevel="1"/>
    <col min="17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3" customFormat="1" ht="14.25" customHeight="1" x14ac:dyDescent="0.25">
      <c r="A1" s="522"/>
      <c r="B1" s="522"/>
      <c r="C1" s="522"/>
      <c r="D1" s="522"/>
      <c r="E1" s="522"/>
      <c r="F1" s="522" t="s">
        <v>13</v>
      </c>
      <c r="G1" s="522" t="s">
        <v>22</v>
      </c>
      <c r="H1" s="522" t="s">
        <v>329</v>
      </c>
      <c r="I1" s="522" t="s">
        <v>411</v>
      </c>
      <c r="J1" s="522" t="s">
        <v>536</v>
      </c>
      <c r="K1" s="522" t="s">
        <v>560</v>
      </c>
      <c r="L1" s="522" t="s">
        <v>265</v>
      </c>
      <c r="M1" s="523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644</v>
      </c>
      <c r="K2" s="1" t="s">
        <v>380</v>
      </c>
      <c r="L2" s="1" t="s">
        <v>272</v>
      </c>
      <c r="M2" s="1" t="s">
        <v>273</v>
      </c>
    </row>
    <row r="3" spans="1:18" x14ac:dyDescent="0.25">
      <c r="A3" s="540">
        <v>1.1000000000000001</v>
      </c>
      <c r="B3" s="528" t="s">
        <v>276</v>
      </c>
      <c r="C3" s="538">
        <f>+_xlfn.XLOOKUP(A3,Catalogo!$B:$B,Catalogo!D:D)</f>
        <v>105</v>
      </c>
      <c r="D3" s="556">
        <f>_xlfn.XLOOKUP(A3,Catalogo!B6:B69,Catalogo!F6:F69)</f>
        <v>2532.81</v>
      </c>
      <c r="E3" s="538" t="s">
        <v>97</v>
      </c>
      <c r="F3" s="116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34">
        <f>IF(SUM(F3:M3)=0,"",SUM(F3:M3))</f>
        <v>116</v>
      </c>
      <c r="O3" s="532">
        <f>IF(N3&lt;&gt;"",_xlfn.XLOOKUP(A3,Catalogo!B6:B69,Catalogo!F6:F69)*N3,"")</f>
        <v>293805.96000000002</v>
      </c>
      <c r="P3" s="549">
        <f>IFERROR($N3/$C3,"")</f>
        <v>1.1047619047619048</v>
      </c>
      <c r="Q3" s="550">
        <f>IFERROR(1-P3,"")</f>
        <v>-0.10476190476190483</v>
      </c>
      <c r="R3" s="551"/>
    </row>
    <row r="4" spans="1:18" x14ac:dyDescent="0.25">
      <c r="A4" s="540">
        <v>1.2</v>
      </c>
      <c r="B4" s="528" t="s">
        <v>278</v>
      </c>
      <c r="C4" s="538">
        <f>+_xlfn.XLOOKUP(A4,Catalogo!$B:$B,Catalogo!D:D)</f>
        <v>105</v>
      </c>
      <c r="D4" s="556">
        <f>_xlfn.XLOOKUP(A4,Catalogo!B7:B70,Catalogo!F7:F70)</f>
        <v>3250.01</v>
      </c>
      <c r="E4" s="538" t="s">
        <v>97</v>
      </c>
      <c r="F4" s="116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34">
        <f t="shared" ref="N4:N40" si="0">IF(SUM(F4:M4)=0,"",SUM(F4:M4))</f>
        <v>116</v>
      </c>
      <c r="O4" s="532">
        <f>IF(N4&lt;&gt;"",_xlfn.XLOOKUP(A4,Catalogo!B7:B70,Catalogo!F7:F70)*N4,"")</f>
        <v>377001.16000000003</v>
      </c>
      <c r="P4" s="549">
        <f t="shared" ref="P4:P40" si="1">IFERROR($N4/$C4,"")</f>
        <v>1.1047619047619048</v>
      </c>
      <c r="Q4" s="550">
        <f t="shared" ref="Q4:Q40" si="2">IFERROR(1-P4,"")</f>
        <v>-0.10476190476190483</v>
      </c>
      <c r="R4" s="551"/>
    </row>
    <row r="5" spans="1:18" x14ac:dyDescent="0.25">
      <c r="A5" s="540">
        <v>1.3</v>
      </c>
      <c r="B5" s="528" t="s">
        <v>280</v>
      </c>
      <c r="C5" s="538">
        <f>+_xlfn.XLOOKUP(A5,Catalogo!$B:$B,Catalogo!D:D)</f>
        <v>105</v>
      </c>
      <c r="D5" s="556">
        <f>_xlfn.XLOOKUP(A5,Catalogo!B8:B71,Catalogo!F8:F71)</f>
        <v>985.32</v>
      </c>
      <c r="E5" s="538" t="s">
        <v>97</v>
      </c>
      <c r="F5" s="116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34">
        <f t="shared" si="0"/>
        <v>116</v>
      </c>
      <c r="O5" s="532">
        <f>IF(N5&lt;&gt;"",_xlfn.XLOOKUP(A5,Catalogo!B8:B71,Catalogo!F8:F71)*N5,"")</f>
        <v>114297.12000000001</v>
      </c>
      <c r="P5" s="549">
        <f t="shared" si="1"/>
        <v>1.1047619047619048</v>
      </c>
      <c r="Q5" s="550">
        <f t="shared" si="2"/>
        <v>-0.10476190476190483</v>
      </c>
      <c r="R5" s="551"/>
    </row>
    <row r="6" spans="1:18" x14ac:dyDescent="0.25">
      <c r="A6" s="540">
        <v>1.4</v>
      </c>
      <c r="B6" s="528" t="s">
        <v>282</v>
      </c>
      <c r="C6" s="538">
        <f>+_xlfn.XLOOKUP(A6,Catalogo!$B:$B,Catalogo!D:D)</f>
        <v>105</v>
      </c>
      <c r="D6" s="556">
        <f>_xlfn.XLOOKUP(A6,Catalogo!B9:B72,Catalogo!F9:F72)</f>
        <v>1062.92</v>
      </c>
      <c r="E6" s="538" t="s">
        <v>97</v>
      </c>
      <c r="F6" s="116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34">
        <f t="shared" si="0"/>
        <v>116</v>
      </c>
      <c r="O6" s="532">
        <f>IF(N6&lt;&gt;"",_xlfn.XLOOKUP(A6,Catalogo!B9:B72,Catalogo!F9:F72)*N6,"")</f>
        <v>123298.72</v>
      </c>
      <c r="P6" s="549">
        <f t="shared" si="1"/>
        <v>1.1047619047619048</v>
      </c>
      <c r="Q6" s="550">
        <f t="shared" si="2"/>
        <v>-0.10476190476190483</v>
      </c>
      <c r="R6" s="551"/>
    </row>
    <row r="7" spans="1:18" x14ac:dyDescent="0.25">
      <c r="A7" s="540">
        <v>1.5</v>
      </c>
      <c r="B7" s="528" t="s">
        <v>284</v>
      </c>
      <c r="C7" s="538">
        <f>+_xlfn.XLOOKUP(A7,Catalogo!$B:$B,Catalogo!D:D)</f>
        <v>105</v>
      </c>
      <c r="D7" s="556">
        <f>_xlfn.XLOOKUP(A7,Catalogo!B10:B73,Catalogo!F10:F73)</f>
        <v>1337.25</v>
      </c>
      <c r="E7" s="538" t="s">
        <v>97</v>
      </c>
      <c r="F7" s="116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34">
        <f t="shared" si="0"/>
        <v>116</v>
      </c>
      <c r="O7" s="532">
        <f>IF(N7&lt;&gt;"",_xlfn.XLOOKUP(A7,Catalogo!B10:B73,Catalogo!F10:F73)*N7,"")</f>
        <v>155121</v>
      </c>
      <c r="P7" s="549">
        <f t="shared" si="1"/>
        <v>1.1047619047619048</v>
      </c>
      <c r="Q7" s="550">
        <f t="shared" si="2"/>
        <v>-0.10476190476190483</v>
      </c>
      <c r="R7" s="551"/>
    </row>
    <row r="8" spans="1:18" x14ac:dyDescent="0.25">
      <c r="A8" s="540">
        <v>1.6</v>
      </c>
      <c r="B8" s="528" t="s">
        <v>286</v>
      </c>
      <c r="C8" s="538">
        <f>+_xlfn.XLOOKUP(A8,Catalogo!$B:$B,Catalogo!D:D)</f>
        <v>105</v>
      </c>
      <c r="D8" s="556">
        <f>_xlfn.XLOOKUP(A8,Catalogo!B11:B74,Catalogo!F11:F74)</f>
        <v>1581.21</v>
      </c>
      <c r="E8" s="538" t="s">
        <v>97</v>
      </c>
      <c r="F8" s="116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34">
        <f t="shared" si="0"/>
        <v>116</v>
      </c>
      <c r="O8" s="532">
        <f>IF(N8&lt;&gt;"",_xlfn.XLOOKUP(A8,Catalogo!B11:B74,Catalogo!F11:F74)*N8,"")</f>
        <v>183420.36000000002</v>
      </c>
      <c r="P8" s="549">
        <f t="shared" si="1"/>
        <v>1.1047619047619048</v>
      </c>
      <c r="Q8" s="550">
        <f t="shared" si="2"/>
        <v>-0.10476190476190483</v>
      </c>
      <c r="R8" s="551"/>
    </row>
    <row r="9" spans="1:18" x14ac:dyDescent="0.25">
      <c r="A9" s="541">
        <v>2.1</v>
      </c>
      <c r="B9" s="529" t="s">
        <v>79</v>
      </c>
      <c r="C9" s="538">
        <f>+_xlfn.XLOOKUP(A9,Catalogo!$B:$B,Catalogo!D:D)</f>
        <v>200</v>
      </c>
      <c r="D9" s="556">
        <f>_xlfn.XLOOKUP(A9,Catalogo!B12:B75,Catalogo!F12:F75)</f>
        <v>14521.41</v>
      </c>
      <c r="E9" s="538" t="s">
        <v>108</v>
      </c>
      <c r="F9" s="116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0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36.387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5">
        <f t="shared" si="0"/>
        <v>182.43750000000003</v>
      </c>
      <c r="O9" s="532">
        <f>IF(N9&lt;&gt;"",_xlfn.XLOOKUP(A9,Catalogo!B12:B75,Catalogo!F12:F75)*N9,"")</f>
        <v>2649249.7368750004</v>
      </c>
      <c r="P9" s="549">
        <f t="shared" si="1"/>
        <v>0.91218750000000015</v>
      </c>
      <c r="Q9" s="550">
        <f t="shared" si="2"/>
        <v>8.7812499999999849E-2</v>
      </c>
      <c r="R9" s="559">
        <f>+Q9*C9</f>
        <v>17.562499999999972</v>
      </c>
    </row>
    <row r="10" spans="1:18" x14ac:dyDescent="0.25">
      <c r="A10" s="541">
        <v>2.2000000000000002</v>
      </c>
      <c r="B10" s="529" t="s">
        <v>82</v>
      </c>
      <c r="C10" s="538">
        <f>+_xlfn.XLOOKUP(A10,Catalogo!$B:$B,Catalogo!D:D)</f>
        <v>200</v>
      </c>
      <c r="D10" s="556">
        <f>_xlfn.XLOOKUP(A10,Catalogo!B13:B76,Catalogo!F13:F76)</f>
        <v>13555.63</v>
      </c>
      <c r="E10" s="538" t="s">
        <v>108</v>
      </c>
      <c r="F10" s="137">
        <f>+SUMIFS(Tabla1[Avance_km],Tabla1[nombre_actividad],'EV (4)'!$B10,Tabla1[Sistema],'EV (4)'!F$1)</f>
        <v>0</v>
      </c>
      <c r="G10" s="527">
        <f>+SUMIFS(Tabla1[Avance_km],Tabla1[nombre_actividad],'EV (4)'!$B10,Tabla1[Sistema],'EV (4)'!G$1)</f>
        <v>0</v>
      </c>
      <c r="H10" s="527">
        <f>+SUMIFS(Tabla1[Avance_km],Tabla1[nombre_actividad],'EV (4)'!$B10,Tabla1[Sistema],'EV (4)'!H$1)</f>
        <v>0</v>
      </c>
      <c r="I10" s="527">
        <f>+SUMIFS(Tabla1[Avance_km],Tabla1[nombre_actividad],'EV (4)'!$B10,Tabla1[Sistema],'EV (4)'!I$1)</f>
        <v>0</v>
      </c>
      <c r="J10" s="527">
        <f>+SUMIFS(Tabla1[Avance_km],Tabla1[nombre_actividad],'EV (4)'!$B10,Tabla1[Sistema],'EV (4)'!J$1)</f>
        <v>0</v>
      </c>
      <c r="K10" s="527">
        <f>+SUMIFS(Tabla1[Avance_km],Tabla1[nombre_actividad],'EV (4)'!$B10,Tabla1[Sistema],'EV (4)'!K$1)</f>
        <v>0</v>
      </c>
      <c r="L10" s="527">
        <f>+SUMIFS(Tabla1[Avance_km],Tabla1[nombre_actividad],'EV (4)'!$B10,Tabla1[Sistema],'EV (4)'!L$1)</f>
        <v>0</v>
      </c>
      <c r="M10" s="527">
        <f>+SUMIFS(Tabla1[Avance_km],Tabla1[nombre_actividad],'EV (4)'!$B10,Tabla1[Sistema],'EV (4)'!M$1)</f>
        <v>0</v>
      </c>
      <c r="N10" s="534" t="str">
        <f t="shared" si="0"/>
        <v/>
      </c>
      <c r="O10" s="532" t="str">
        <f>IF(N10&lt;&gt;"",_xlfn.XLOOKUP(A10,Catalogo!B13:B76,Catalogo!F13:F76)*N10,"")</f>
        <v/>
      </c>
      <c r="P10" s="549" t="str">
        <f t="shared" si="1"/>
        <v/>
      </c>
      <c r="Q10" s="550" t="str">
        <f t="shared" si="2"/>
        <v/>
      </c>
      <c r="R10" s="551"/>
    </row>
    <row r="11" spans="1:18" x14ac:dyDescent="0.25">
      <c r="A11" s="541">
        <v>2.2999999999999998</v>
      </c>
      <c r="B11" s="529" t="s">
        <v>80</v>
      </c>
      <c r="C11" s="538">
        <f>+_xlfn.XLOOKUP(A11,Catalogo!$B:$B,Catalogo!D:D)</f>
        <v>200</v>
      </c>
      <c r="D11" s="556">
        <f>_xlfn.XLOOKUP(A11,Catalogo!B14:B77,Catalogo!F14:F77)</f>
        <v>13555.63</v>
      </c>
      <c r="E11" s="538" t="s">
        <v>108</v>
      </c>
      <c r="F11" s="116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5">
        <f t="shared" si="0"/>
        <v>150.32450000000006</v>
      </c>
      <c r="O11" s="532">
        <f>IF(N11&lt;&gt;"",_xlfn.XLOOKUP(A11,Catalogo!B14:B77,Catalogo!F14:F77)*N11,"")</f>
        <v>2037743.3019350006</v>
      </c>
      <c r="P11" s="549">
        <f t="shared" si="1"/>
        <v>0.7516225000000003</v>
      </c>
      <c r="Q11" s="550">
        <f t="shared" si="2"/>
        <v>0.2483774999999997</v>
      </c>
      <c r="R11" s="559">
        <f>+Q11*C11</f>
        <v>49.675499999999943</v>
      </c>
    </row>
    <row r="12" spans="1:18" x14ac:dyDescent="0.25">
      <c r="A12" s="541">
        <v>2.4</v>
      </c>
      <c r="B12" s="529" t="s">
        <v>83</v>
      </c>
      <c r="C12" s="538">
        <f>+_xlfn.XLOOKUP(A12,Catalogo!$B:$B,Catalogo!D:D)</f>
        <v>200</v>
      </c>
      <c r="D12" s="556">
        <f>_xlfn.XLOOKUP(A12,Catalogo!B15:B78,Catalogo!F15:F78)</f>
        <v>13696.28</v>
      </c>
      <c r="E12" s="538" t="s">
        <v>108</v>
      </c>
      <c r="F12" s="525">
        <f>+SUMIFS(Tabla1[Avance_km],Tabla1[nombre_actividad],'EV (4)'!$B12,Tabla1[Sistema],'EV (4)'!F$1)</f>
        <v>29.102218996691072</v>
      </c>
      <c r="G12" s="526">
        <f>+SUMIFS(Tabla1[Avance_km],Tabla1[nombre_actividad],'EV (4)'!$B12,Tabla1[Sistema],'EV (4)'!G$1)</f>
        <v>37.310192256583534</v>
      </c>
      <c r="H12" s="526">
        <f>+SUMIFS(Tabla1[Avance_km],Tabla1[nombre_actividad],'EV (4)'!$B12,Tabla1[Sistema],'EV (4)'!H$1)</f>
        <v>14.957218310373324</v>
      </c>
      <c r="I12" s="526">
        <f>+SUMIFS(Tabla1[Avance_km],Tabla1[nombre_actividad],'EV (4)'!$B12,Tabla1[Sistema],'EV (4)'!I$1)</f>
        <v>9.5038776952573976</v>
      </c>
      <c r="J12" s="526">
        <f>+SUMIFS(Tabla1[Avance_km],Tabla1[nombre_actividad],'EV (4)'!$B12,Tabla1[Sistema],'EV (4)'!J$1)</f>
        <v>26.242087632554234</v>
      </c>
      <c r="K12" s="526">
        <f>+SUMIFS(Tabla1[Avance_km],Tabla1[nombre_actividad],'EV (4)'!$B12,Tabla1[Sistema],'EV (4)'!K$1)</f>
        <v>1.676084309024056</v>
      </c>
      <c r="L12" s="527">
        <f>+SUMIFS(Tabla1[Avance_km],Tabla1[nombre_actividad],'EV (4)'!$B12,Tabla1[Sistema],'EV (4)'!L$1)</f>
        <v>0</v>
      </c>
      <c r="M12" s="527">
        <f>+SUMIFS(Tabla1[Avance_km],Tabla1[nombre_actividad],'EV (4)'!$B12,Tabla1[Sistema],'EV (4)'!M$1)</f>
        <v>0</v>
      </c>
      <c r="N12" s="535">
        <f t="shared" si="0"/>
        <v>118.79167920048361</v>
      </c>
      <c r="O12" s="532">
        <f>IF(N12&lt;&gt;"",_xlfn.XLOOKUP(A12,Catalogo!B15:B78,Catalogo!F15:F78)*N12,"")</f>
        <v>1627004.0999999999</v>
      </c>
      <c r="P12" s="549">
        <f t="shared" si="1"/>
        <v>0.59395839600241807</v>
      </c>
      <c r="Q12" s="550">
        <f t="shared" si="2"/>
        <v>0.40604160399758193</v>
      </c>
      <c r="R12" s="559"/>
    </row>
    <row r="13" spans="1:18" x14ac:dyDescent="0.25">
      <c r="A13" s="542">
        <v>2.5</v>
      </c>
      <c r="B13" s="529" t="s">
        <v>81</v>
      </c>
      <c r="C13" s="538">
        <f>+_xlfn.XLOOKUP(A13,Catalogo!$B:$B,Catalogo!D:D)</f>
        <v>500</v>
      </c>
      <c r="D13" s="556">
        <f>_xlfn.XLOOKUP(A13,Catalogo!B16:B79,Catalogo!F16:F79)</f>
        <v>4658</v>
      </c>
      <c r="E13" s="538" t="s">
        <v>113</v>
      </c>
      <c r="F13" s="116">
        <f>+SUMIFS(Tabla1[Avance_Med],Tabla1[nombre_actividad],'EV (4)'!$B13,Tabla1[Sistema],'EV (4)'!F$1)</f>
        <v>156</v>
      </c>
      <c r="G13" s="116">
        <f>+SUMIFS(Tabla1[Avance_Med],Tabla1[nombre_actividad],'EV (4)'!$B13,Tabla1[Sistema],'EV (4)'!G$1)</f>
        <v>73</v>
      </c>
      <c r="H13" s="116">
        <f>+SUMIFS(Tabla1[Avance_Med],Tabla1[nombre_actividad],'EV (4)'!$B13,Tabla1[Sistema],'EV (4)'!H$1)</f>
        <v>129</v>
      </c>
      <c r="I13" s="116">
        <f>+SUMIFS(Tabla1[Avance_Med],Tabla1[nombre_actividad],'EV (4)'!$B13,Tabla1[Sistema],'EV (4)'!I$1)</f>
        <v>10</v>
      </c>
      <c r="J13" s="116">
        <f>+SUMIFS(Tabla1[Avance_Med],Tabla1[nombre_actividad],'EV (4)'!$B13,Tabla1[Sistema],'EV (4)'!J$1)</f>
        <v>0</v>
      </c>
      <c r="K13" s="116">
        <f>+SUMIFS(Tabla1[Avance_Med],Tabla1[nombre_actividad],'EV (4)'!$B13,Tabla1[Sistema],'EV (4)'!K$1)</f>
        <v>14</v>
      </c>
      <c r="L13" s="116">
        <f>+SUMIFS(Tabla1[Avance_Med],Tabla1[nombre_actividad],'EV (4)'!$B13,Tabla1[Sistema],'EV (4)'!L$1)</f>
        <v>5</v>
      </c>
      <c r="M13" s="116">
        <f>+SUMIFS(Tabla1[Avance_Med],Tabla1[nombre_actividad],'EV (4)'!$B13,Tabla1[Sistema],'EV (4)'!M$1)</f>
        <v>9</v>
      </c>
      <c r="N13" s="534">
        <f t="shared" si="0"/>
        <v>396</v>
      </c>
      <c r="O13" s="532">
        <f>IF(N13&lt;&gt;"",_xlfn.XLOOKUP(A13,Catalogo!B16:B79,Catalogo!F16:F79)*N13,"")</f>
        <v>1844568</v>
      </c>
      <c r="P13" s="549">
        <f t="shared" si="1"/>
        <v>0.79200000000000004</v>
      </c>
      <c r="Q13" s="550">
        <f t="shared" si="2"/>
        <v>0.20799999999999996</v>
      </c>
      <c r="R13" s="551"/>
    </row>
    <row r="14" spans="1:18" x14ac:dyDescent="0.25">
      <c r="A14" s="541">
        <v>2.6</v>
      </c>
      <c r="B14" s="529" t="s">
        <v>78</v>
      </c>
      <c r="C14" s="538">
        <f>+_xlfn.XLOOKUP(A14,Catalogo!$B:$B,Catalogo!D:D)</f>
        <v>200</v>
      </c>
      <c r="D14" s="556">
        <f>_xlfn.XLOOKUP(A14,Catalogo!B17:B80,Catalogo!F17:F80)</f>
        <v>2257.42</v>
      </c>
      <c r="E14" s="538" t="s">
        <v>108</v>
      </c>
      <c r="F14" s="116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40.122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5">
        <f t="shared" si="0"/>
        <v>186.66650000000004</v>
      </c>
      <c r="O14" s="532">
        <f>IF(N14&lt;&gt;"",_xlfn.XLOOKUP(A14,Catalogo!B17:B80,Catalogo!F17:F80)*N14,"")</f>
        <v>421384.69043000013</v>
      </c>
      <c r="P14" s="549">
        <f t="shared" si="1"/>
        <v>0.93333250000000023</v>
      </c>
      <c r="Q14" s="550">
        <f t="shared" si="2"/>
        <v>6.6667499999999769E-2</v>
      </c>
      <c r="R14" s="559">
        <f>+Q14*C14</f>
        <v>13.333499999999955</v>
      </c>
    </row>
    <row r="15" spans="1:18" x14ac:dyDescent="0.25">
      <c r="A15" s="541">
        <v>2.7</v>
      </c>
      <c r="B15" s="529" t="s">
        <v>294</v>
      </c>
      <c r="C15" s="538">
        <f>+_xlfn.XLOOKUP(A15,Catalogo!$B:$B,Catalogo!D:D)</f>
        <v>105</v>
      </c>
      <c r="D15" s="556">
        <f>_xlfn.XLOOKUP(A15,Catalogo!B18:B81,Catalogo!F18:F81)</f>
        <v>3540.12</v>
      </c>
      <c r="E15" s="538" t="s">
        <v>97</v>
      </c>
      <c r="F15" s="116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4">
        <f>+SUMIFS(Tabla1[Avance_Med],Tabla1[nombre_actividad],'EV (4)'!$B15,Tabla1[Sistema],'EV (4)'!L$1)</f>
        <v>0</v>
      </c>
      <c r="M15" s="524">
        <f>+SUMIFS(Tabla1[Avance_Med],Tabla1[nombre_actividad],'EV (4)'!$B15,Tabla1[Sistema],'EV (4)'!M$1)</f>
        <v>0</v>
      </c>
      <c r="N15" s="534">
        <f t="shared" si="0"/>
        <v>92</v>
      </c>
      <c r="O15" s="532">
        <f>IF(N15&lt;&gt;"",_xlfn.XLOOKUP(A15,Catalogo!B18:B81,Catalogo!F18:F81)*N15,"")</f>
        <v>325691.03999999998</v>
      </c>
      <c r="P15" s="549">
        <f t="shared" si="1"/>
        <v>0.87619047619047619</v>
      </c>
      <c r="Q15" s="550">
        <f t="shared" si="2"/>
        <v>0.12380952380952381</v>
      </c>
      <c r="R15" s="551"/>
    </row>
    <row r="16" spans="1:18" x14ac:dyDescent="0.25">
      <c r="A16" s="541">
        <v>2.8</v>
      </c>
      <c r="B16" s="529" t="s">
        <v>296</v>
      </c>
      <c r="C16" s="538">
        <f>+_xlfn.XLOOKUP(A16,Catalogo!$B:$B,Catalogo!D:D)</f>
        <v>105</v>
      </c>
      <c r="D16" s="556">
        <f>_xlfn.XLOOKUP(A16,Catalogo!B19:B82,Catalogo!F19:F82)</f>
        <v>2646.28</v>
      </c>
      <c r="E16" s="538" t="s">
        <v>97</v>
      </c>
      <c r="F16" s="116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4">
        <f>+SUMIFS(Tabla1[Avance_Med],Tabla1[nombre_actividad],'EV (4)'!$B16,Tabla1[Sistema],'EV (4)'!L$1)</f>
        <v>0</v>
      </c>
      <c r="M16" s="524">
        <f>+SUMIFS(Tabla1[Avance_Med],Tabla1[nombre_actividad],'EV (4)'!$B16,Tabla1[Sistema],'EV (4)'!M$1)</f>
        <v>0</v>
      </c>
      <c r="N16" s="534">
        <f t="shared" si="0"/>
        <v>92</v>
      </c>
      <c r="O16" s="532">
        <f>IF(N16&lt;&gt;"",_xlfn.XLOOKUP(A16,Catalogo!B19:B82,Catalogo!F19:F82)*N16,"")</f>
        <v>243457.76</v>
      </c>
      <c r="P16" s="549">
        <f t="shared" si="1"/>
        <v>0.87619047619047619</v>
      </c>
      <c r="Q16" s="550">
        <f t="shared" si="2"/>
        <v>0.12380952380952381</v>
      </c>
      <c r="R16" s="551"/>
    </row>
    <row r="17" spans="1:18" x14ac:dyDescent="0.25">
      <c r="A17" s="543">
        <v>3.1</v>
      </c>
      <c r="B17" s="530" t="s">
        <v>298</v>
      </c>
      <c r="C17" s="538">
        <f>+_xlfn.XLOOKUP(A17,Catalogo!$B:$B,Catalogo!D:D)</f>
        <v>105</v>
      </c>
      <c r="D17" s="556">
        <f>_xlfn.XLOOKUP(A17,Catalogo!B20:B83,Catalogo!F20:F83)</f>
        <v>1970.65</v>
      </c>
      <c r="E17" s="538" t="s">
        <v>118</v>
      </c>
      <c r="F17" s="116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4">
        <f>+SUMIFS(Tabla1[Avance_Med],Tabla1[nombre_actividad],'EV (4)'!$B17,Tabla1[Sistema],'EV (4)'!L$1)</f>
        <v>0</v>
      </c>
      <c r="M17" s="524">
        <f>+SUMIFS(Tabla1[Avance_Med],Tabla1[nombre_actividad],'EV (4)'!$B17,Tabla1[Sistema],'EV (4)'!M$1)</f>
        <v>0</v>
      </c>
      <c r="N17" s="534">
        <f t="shared" si="0"/>
        <v>92</v>
      </c>
      <c r="O17" s="532">
        <f>IF(N17&lt;&gt;"",_xlfn.XLOOKUP(A17,Catalogo!B20:B83,Catalogo!F20:F83)*N17,"")</f>
        <v>181299.80000000002</v>
      </c>
      <c r="P17" s="549">
        <f t="shared" si="1"/>
        <v>0.87619047619047619</v>
      </c>
      <c r="Q17" s="550">
        <f t="shared" si="2"/>
        <v>0.12380952380952381</v>
      </c>
      <c r="R17" s="551"/>
    </row>
    <row r="18" spans="1:18" x14ac:dyDescent="0.25">
      <c r="A18" s="543">
        <v>3.2</v>
      </c>
      <c r="B18" s="530" t="s">
        <v>415</v>
      </c>
      <c r="C18" s="538">
        <f>+_xlfn.XLOOKUP(A18,Catalogo!$B:$B,Catalogo!D:D)</f>
        <v>55</v>
      </c>
      <c r="D18" s="556">
        <f>_xlfn.XLOOKUP(A18,Catalogo!B21:B84,Catalogo!F21:F84)</f>
        <v>7585.99</v>
      </c>
      <c r="E18" s="538" t="s">
        <v>120</v>
      </c>
      <c r="F18" s="116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1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4">
        <f t="shared" si="0"/>
        <v>15</v>
      </c>
      <c r="O18" s="532">
        <f>IF(N18&lt;&gt;"",_xlfn.XLOOKUP(A18,Catalogo!B21:B84,Catalogo!F21:F84)*N18,"")</f>
        <v>113789.84999999999</v>
      </c>
      <c r="P18" s="549">
        <f t="shared" si="1"/>
        <v>0.27272727272727271</v>
      </c>
      <c r="Q18" s="550">
        <f t="shared" si="2"/>
        <v>0.72727272727272729</v>
      </c>
      <c r="R18" s="551"/>
    </row>
    <row r="19" spans="1:18" x14ac:dyDescent="0.25">
      <c r="A19" s="543" t="s">
        <v>122</v>
      </c>
      <c r="B19" s="530" t="s">
        <v>416</v>
      </c>
      <c r="C19" s="538">
        <f>+_xlfn.XLOOKUP(A19,Catalogo!$B:$B,Catalogo!D:D)</f>
        <v>55</v>
      </c>
      <c r="D19" s="556">
        <f>_xlfn.XLOOKUP(A19,Catalogo!B22:B85,Catalogo!F22:F85)</f>
        <v>1765.59</v>
      </c>
      <c r="E19" s="538" t="s">
        <v>120</v>
      </c>
      <c r="F19" s="116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1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4">
        <f t="shared" si="0"/>
        <v>16</v>
      </c>
      <c r="O19" s="532">
        <f>IF(N19&lt;&gt;"",_xlfn.XLOOKUP(A19,Catalogo!B22:B85,Catalogo!F22:F85)*N19,"")</f>
        <v>28249.439999999999</v>
      </c>
      <c r="P19" s="549">
        <f t="shared" si="1"/>
        <v>0.29090909090909089</v>
      </c>
      <c r="Q19" s="550">
        <f t="shared" si="2"/>
        <v>0.70909090909090911</v>
      </c>
      <c r="R19" s="551"/>
    </row>
    <row r="20" spans="1:18" x14ac:dyDescent="0.25">
      <c r="A20" s="543" t="s">
        <v>124</v>
      </c>
      <c r="B20" s="530" t="s">
        <v>423</v>
      </c>
      <c r="C20" s="539">
        <f>+_xlfn.XLOOKUP(A20,Catalogo!$B:$B,Catalogo!D:D)</f>
        <v>100</v>
      </c>
      <c r="D20" s="557">
        <f>_xlfn.XLOOKUP(A20,Catalogo!B23:B86,Catalogo!F23:F86)</f>
        <v>1934.59</v>
      </c>
      <c r="E20" s="539" t="s">
        <v>126</v>
      </c>
      <c r="F20" s="116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1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4">
        <f t="shared" si="0"/>
        <v>16</v>
      </c>
      <c r="O20" s="532">
        <f>IF(N20&lt;&gt;"",_xlfn.XLOOKUP(A20,Catalogo!B23:B86,Catalogo!F23:F86)*N20,"")</f>
        <v>30953.439999999999</v>
      </c>
      <c r="P20" s="549">
        <f t="shared" si="1"/>
        <v>0.16</v>
      </c>
      <c r="Q20" s="550">
        <f t="shared" si="2"/>
        <v>0.84</v>
      </c>
      <c r="R20" s="551"/>
    </row>
    <row r="21" spans="1:18" x14ac:dyDescent="0.25">
      <c r="A21" s="543" t="s">
        <v>127</v>
      </c>
      <c r="B21" s="530" t="s">
        <v>417</v>
      </c>
      <c r="C21" s="539">
        <f>+_xlfn.XLOOKUP(A21,Catalogo!$B:$B,Catalogo!D:D)</f>
        <v>100</v>
      </c>
      <c r="D21" s="557">
        <f>_xlfn.XLOOKUP(A21,Catalogo!B24:B87,Catalogo!F24:F87)</f>
        <v>1960.59</v>
      </c>
      <c r="E21" s="539" t="s">
        <v>126</v>
      </c>
      <c r="F21" s="116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1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4">
        <f t="shared" si="0"/>
        <v>16</v>
      </c>
      <c r="O21" s="532">
        <f>IF(N21&lt;&gt;"",_xlfn.XLOOKUP(A21,Catalogo!B24:B87,Catalogo!F24:F87)*N21,"")</f>
        <v>31369.439999999999</v>
      </c>
      <c r="P21" s="549">
        <f t="shared" si="1"/>
        <v>0.16</v>
      </c>
      <c r="Q21" s="550">
        <f t="shared" si="2"/>
        <v>0.84</v>
      </c>
      <c r="R21" s="551"/>
    </row>
    <row r="22" spans="1:18" x14ac:dyDescent="0.25">
      <c r="A22" s="543" t="s">
        <v>129</v>
      </c>
      <c r="B22" s="530" t="s">
        <v>424</v>
      </c>
      <c r="C22" s="539">
        <f>+_xlfn.XLOOKUP(A22,Catalogo!$B:$B,Catalogo!D:D)</f>
        <v>170</v>
      </c>
      <c r="D22" s="557">
        <f>_xlfn.XLOOKUP(A22,Catalogo!B25:B88,Catalogo!F25:F88)</f>
        <v>2220.59</v>
      </c>
      <c r="E22" s="539" t="s">
        <v>126</v>
      </c>
      <c r="F22" s="116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4">
        <f t="shared" si="0"/>
        <v>2</v>
      </c>
      <c r="O22" s="532">
        <f>IF(N22&lt;&gt;"",_xlfn.XLOOKUP(A22,Catalogo!B25:B88,Catalogo!F25:F88)*N22,"")</f>
        <v>4441.18</v>
      </c>
      <c r="P22" s="549">
        <f t="shared" si="1"/>
        <v>1.1764705882352941E-2</v>
      </c>
      <c r="Q22" s="550">
        <f t="shared" si="2"/>
        <v>0.9882352941176471</v>
      </c>
      <c r="R22" s="551"/>
    </row>
    <row r="23" spans="1:18" x14ac:dyDescent="0.25">
      <c r="A23" s="543" t="s">
        <v>131</v>
      </c>
      <c r="B23" s="530" t="s">
        <v>422</v>
      </c>
      <c r="C23" s="539">
        <f>+_xlfn.XLOOKUP(A23,Catalogo!$B:$B,Catalogo!D:D)</f>
        <v>170</v>
      </c>
      <c r="D23" s="557">
        <f>_xlfn.XLOOKUP(A23,Catalogo!B26:B89,Catalogo!F26:F89)</f>
        <v>2220.59</v>
      </c>
      <c r="E23" s="539" t="s">
        <v>126</v>
      </c>
      <c r="F23" s="116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1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4">
        <f t="shared" si="0"/>
        <v>16</v>
      </c>
      <c r="O23" s="532">
        <f>IF(N23&lt;&gt;"",_xlfn.XLOOKUP(A23,Catalogo!B26:B89,Catalogo!F26:F89)*N23,"")</f>
        <v>35529.440000000002</v>
      </c>
      <c r="P23" s="549">
        <f t="shared" si="1"/>
        <v>9.4117647058823528E-2</v>
      </c>
      <c r="Q23" s="550">
        <f t="shared" si="2"/>
        <v>0.90588235294117647</v>
      </c>
      <c r="R23" s="551"/>
    </row>
    <row r="24" spans="1:18" x14ac:dyDescent="0.25">
      <c r="A24" s="543" t="s">
        <v>133</v>
      </c>
      <c r="B24" s="530" t="s">
        <v>418</v>
      </c>
      <c r="C24" s="539">
        <f>+_xlfn.XLOOKUP(A24,Catalogo!$B:$B,Catalogo!D:D)</f>
        <v>100</v>
      </c>
      <c r="D24" s="557">
        <f>_xlfn.XLOOKUP(A24,Catalogo!B27:B90,Catalogo!F27:F90)</f>
        <v>2090.59</v>
      </c>
      <c r="E24" s="539" t="s">
        <v>126</v>
      </c>
      <c r="F24" s="116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1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4">
        <f t="shared" si="0"/>
        <v>3</v>
      </c>
      <c r="O24" s="532">
        <f>IF(N24&lt;&gt;"",_xlfn.XLOOKUP(A24,Catalogo!B27:B90,Catalogo!F27:F90)*N24,"")</f>
        <v>6271.77</v>
      </c>
      <c r="P24" s="549">
        <f t="shared" si="1"/>
        <v>0.03</v>
      </c>
      <c r="Q24" s="550">
        <f t="shared" si="2"/>
        <v>0.97</v>
      </c>
      <c r="R24" s="551"/>
    </row>
    <row r="25" spans="1:18" x14ac:dyDescent="0.25">
      <c r="A25" s="543" t="s">
        <v>135</v>
      </c>
      <c r="B25" s="530" t="s">
        <v>425</v>
      </c>
      <c r="C25" s="539">
        <f>+_xlfn.XLOOKUP(A25,Catalogo!$B:$B,Catalogo!D:D)</f>
        <v>100</v>
      </c>
      <c r="D25" s="557">
        <f>_xlfn.XLOOKUP(A25,Catalogo!B28:B91,Catalogo!F28:F91)</f>
        <v>2090.59</v>
      </c>
      <c r="E25" s="539" t="s">
        <v>126</v>
      </c>
      <c r="F25" s="116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1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4">
        <f t="shared" si="0"/>
        <v>4</v>
      </c>
      <c r="O25" s="532">
        <f>IF(N25&lt;&gt;"",_xlfn.XLOOKUP(A25,Catalogo!B28:B91,Catalogo!F28:F91)*N25,"")</f>
        <v>8362.36</v>
      </c>
      <c r="P25" s="549">
        <f t="shared" si="1"/>
        <v>0.04</v>
      </c>
      <c r="Q25" s="550">
        <f t="shared" si="2"/>
        <v>0.96</v>
      </c>
      <c r="R25" s="551"/>
    </row>
    <row r="26" spans="1:18" x14ac:dyDescent="0.25">
      <c r="A26" s="543" t="s">
        <v>137</v>
      </c>
      <c r="B26" s="530" t="s">
        <v>420</v>
      </c>
      <c r="C26" s="539">
        <f>+_xlfn.XLOOKUP(A26,Catalogo!$B:$B,Catalogo!D:D)</f>
        <v>55</v>
      </c>
      <c r="D26" s="557">
        <f>_xlfn.XLOOKUP(A26,Catalogo!B29:B92,Catalogo!F29:F92)</f>
        <v>656</v>
      </c>
      <c r="E26" s="539" t="s">
        <v>126</v>
      </c>
      <c r="F26" s="116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4">
        <f t="shared" si="0"/>
        <v>14</v>
      </c>
      <c r="O26" s="532">
        <f>IF(N26&lt;&gt;"",_xlfn.XLOOKUP(A26,Catalogo!B29:B92,Catalogo!F29:F92)*N26,"")</f>
        <v>9184</v>
      </c>
      <c r="P26" s="549">
        <f t="shared" si="1"/>
        <v>0.25454545454545452</v>
      </c>
      <c r="Q26" s="550">
        <f t="shared" si="2"/>
        <v>0.74545454545454548</v>
      </c>
      <c r="R26" s="551"/>
    </row>
    <row r="27" spans="1:18" x14ac:dyDescent="0.25">
      <c r="A27" s="543" t="s">
        <v>139</v>
      </c>
      <c r="B27" s="530" t="s">
        <v>419</v>
      </c>
      <c r="C27" s="539">
        <f>+_xlfn.XLOOKUP(A27,Catalogo!$B:$B,Catalogo!D:D)</f>
        <v>55</v>
      </c>
      <c r="D27" s="557">
        <f>_xlfn.XLOOKUP(A27,Catalogo!B30:B93,Catalogo!F30:F93)</f>
        <v>4676</v>
      </c>
      <c r="E27" s="539" t="s">
        <v>126</v>
      </c>
      <c r="F27" s="116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4">
        <f t="shared" si="0"/>
        <v>14</v>
      </c>
      <c r="O27" s="532">
        <f>IF(N27&lt;&gt;"",_xlfn.XLOOKUP(A27,Catalogo!B30:B93,Catalogo!F30:F93)*N27,"")</f>
        <v>65464</v>
      </c>
      <c r="P27" s="549">
        <f t="shared" si="1"/>
        <v>0.25454545454545452</v>
      </c>
      <c r="Q27" s="550">
        <f t="shared" si="2"/>
        <v>0.74545454545454548</v>
      </c>
      <c r="R27" s="551"/>
    </row>
    <row r="28" spans="1:18" x14ac:dyDescent="0.25">
      <c r="A28" s="543">
        <v>3.4</v>
      </c>
      <c r="B28" s="530" t="s">
        <v>421</v>
      </c>
      <c r="C28" s="539">
        <f>+_xlfn.XLOOKUP(A28,Catalogo!$B:$B,Catalogo!D:D)</f>
        <v>105</v>
      </c>
      <c r="D28" s="557">
        <f>_xlfn.XLOOKUP(A28,Catalogo!B31:B94,Catalogo!F31:F94)</f>
        <v>4124.2700000000004</v>
      </c>
      <c r="E28" s="539" t="s">
        <v>97</v>
      </c>
      <c r="F28" s="116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4" t="str">
        <f t="shared" si="0"/>
        <v/>
      </c>
      <c r="O28" s="532" t="str">
        <f>IF(N28&lt;&gt;"",_xlfn.XLOOKUP(A28,Catalogo!B31:B94,Catalogo!F31:F94)*N28,"")</f>
        <v/>
      </c>
      <c r="P28" s="549" t="str">
        <f t="shared" si="1"/>
        <v/>
      </c>
      <c r="Q28" s="550" t="str">
        <f t="shared" si="2"/>
        <v/>
      </c>
      <c r="R28" s="551"/>
    </row>
    <row r="29" spans="1:18" x14ac:dyDescent="0.25">
      <c r="A29" s="544">
        <v>4.0999999999999996</v>
      </c>
      <c r="B29" s="531" t="s">
        <v>426</v>
      </c>
      <c r="C29" s="539">
        <f>+_xlfn.XLOOKUP(A29,Catalogo!$B:$B,Catalogo!D:D)</f>
        <v>105</v>
      </c>
      <c r="D29" s="557">
        <f>_xlfn.XLOOKUP(A29,Catalogo!B32:B95,Catalogo!F32:F95)</f>
        <v>5020.99</v>
      </c>
      <c r="E29" s="539" t="s">
        <v>97</v>
      </c>
      <c r="F29" s="116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4" t="str">
        <f t="shared" si="0"/>
        <v/>
      </c>
      <c r="O29" s="532" t="str">
        <f>IF(N29&lt;&gt;"",_xlfn.XLOOKUP(A29,Catalogo!B32:B95,Catalogo!F32:F95)*N29,"")</f>
        <v/>
      </c>
      <c r="P29" s="549" t="str">
        <f t="shared" si="1"/>
        <v/>
      </c>
      <c r="Q29" s="550" t="str">
        <f t="shared" si="2"/>
        <v/>
      </c>
      <c r="R29" s="551"/>
    </row>
    <row r="30" spans="1:18" x14ac:dyDescent="0.25">
      <c r="A30" s="544">
        <v>4.2</v>
      </c>
      <c r="B30" s="531" t="s">
        <v>427</v>
      </c>
      <c r="C30" s="539">
        <f>+_xlfn.XLOOKUP(A30,Catalogo!$B:$B,Catalogo!D:D)</f>
        <v>105</v>
      </c>
      <c r="D30" s="557">
        <f>_xlfn.XLOOKUP(A30,Catalogo!B33:B96,Catalogo!F33:F96)</f>
        <v>3652.99</v>
      </c>
      <c r="E30" s="539" t="s">
        <v>97</v>
      </c>
      <c r="F30" s="116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4" t="str">
        <f t="shared" si="0"/>
        <v/>
      </c>
      <c r="O30" s="532" t="str">
        <f>IF(N30&lt;&gt;"",_xlfn.XLOOKUP(A30,Catalogo!B33:B96,Catalogo!F33:F96)*N30,"")</f>
        <v/>
      </c>
      <c r="P30" s="549" t="str">
        <f t="shared" si="1"/>
        <v/>
      </c>
      <c r="Q30" s="550" t="str">
        <f t="shared" si="2"/>
        <v/>
      </c>
      <c r="R30" s="551"/>
    </row>
    <row r="31" spans="1:18" x14ac:dyDescent="0.25">
      <c r="A31" s="544">
        <v>4.3</v>
      </c>
      <c r="B31" s="531" t="s">
        <v>428</v>
      </c>
      <c r="C31" s="539">
        <f>+_xlfn.XLOOKUP(A31,Catalogo!$B:$B,Catalogo!D:D)</f>
        <v>105</v>
      </c>
      <c r="D31" s="557">
        <f>_xlfn.XLOOKUP(A31,Catalogo!B34:B97,Catalogo!F34:F97)</f>
        <v>3201.98</v>
      </c>
      <c r="E31" s="539" t="s">
        <v>97</v>
      </c>
      <c r="F31" s="116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4" t="str">
        <f t="shared" si="0"/>
        <v/>
      </c>
      <c r="O31" s="532" t="str">
        <f>IF(N31&lt;&gt;"",_xlfn.XLOOKUP(A31,Catalogo!B34:B97,Catalogo!F34:F97)*N31,"")</f>
        <v/>
      </c>
      <c r="P31" s="549" t="str">
        <f t="shared" si="1"/>
        <v/>
      </c>
      <c r="Q31" s="550" t="str">
        <f t="shared" si="2"/>
        <v/>
      </c>
      <c r="R31" s="551"/>
    </row>
    <row r="32" spans="1:18" x14ac:dyDescent="0.25">
      <c r="A32" s="544">
        <v>4.4000000000000004</v>
      </c>
      <c r="B32" s="531" t="s">
        <v>429</v>
      </c>
      <c r="C32" s="539">
        <f>+_xlfn.XLOOKUP(A32,Catalogo!$B:$B,Catalogo!D:D)</f>
        <v>105</v>
      </c>
      <c r="D32" s="557">
        <f>_xlfn.XLOOKUP(A32,Catalogo!B35:B98,Catalogo!F35:F98)</f>
        <v>6840</v>
      </c>
      <c r="E32" s="539" t="s">
        <v>97</v>
      </c>
      <c r="F32" s="116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4" t="str">
        <f t="shared" si="0"/>
        <v/>
      </c>
      <c r="O32" s="532" t="str">
        <f>IF(N32&lt;&gt;"",_xlfn.XLOOKUP(A32,Catalogo!B35:B98,Catalogo!F35:F98)*N32,"")</f>
        <v/>
      </c>
      <c r="P32" s="549" t="str">
        <f t="shared" si="1"/>
        <v/>
      </c>
      <c r="Q32" s="550" t="str">
        <f t="shared" si="2"/>
        <v/>
      </c>
      <c r="R32" s="551"/>
    </row>
    <row r="33" spans="1:18" x14ac:dyDescent="0.25">
      <c r="A33" s="544">
        <v>4.5</v>
      </c>
      <c r="B33" s="531" t="s">
        <v>430</v>
      </c>
      <c r="C33" s="539">
        <f>+_xlfn.XLOOKUP(A33,Catalogo!$B:$B,Catalogo!D:D)</f>
        <v>105</v>
      </c>
      <c r="D33" s="557">
        <f>_xlfn.XLOOKUP(A33,Catalogo!B36:B99,Catalogo!F36:F99)</f>
        <v>2052</v>
      </c>
      <c r="E33" s="539" t="s">
        <v>97</v>
      </c>
      <c r="F33" s="116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4" t="str">
        <f t="shared" si="0"/>
        <v/>
      </c>
      <c r="O33" s="532" t="str">
        <f>IF(N33&lt;&gt;"",_xlfn.XLOOKUP(A33,Catalogo!B36:B99,Catalogo!F36:F99)*N33,"")</f>
        <v/>
      </c>
      <c r="P33" s="549" t="str">
        <f t="shared" si="1"/>
        <v/>
      </c>
      <c r="Q33" s="550" t="str">
        <f t="shared" si="2"/>
        <v/>
      </c>
      <c r="R33" s="551"/>
    </row>
    <row r="34" spans="1:18" x14ac:dyDescent="0.25">
      <c r="A34" s="544">
        <v>4.5999999999999996</v>
      </c>
      <c r="B34" s="531" t="s">
        <v>431</v>
      </c>
      <c r="C34" s="539">
        <f>+_xlfn.XLOOKUP(A34,Catalogo!$B:$B,Catalogo!D:D)</f>
        <v>105</v>
      </c>
      <c r="D34" s="557">
        <f>_xlfn.XLOOKUP(A34,Catalogo!B37:B100,Catalogo!F37:F100)</f>
        <v>3420</v>
      </c>
      <c r="E34" s="539" t="s">
        <v>97</v>
      </c>
      <c r="F34" s="116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4" t="str">
        <f t="shared" si="0"/>
        <v/>
      </c>
      <c r="O34" s="532" t="str">
        <f>IF(N34&lt;&gt;"",_xlfn.XLOOKUP(A34,Catalogo!B37:B100,Catalogo!F37:F100)*N34,"")</f>
        <v/>
      </c>
      <c r="P34" s="549" t="str">
        <f t="shared" si="1"/>
        <v/>
      </c>
      <c r="Q34" s="550" t="str">
        <f t="shared" si="2"/>
        <v/>
      </c>
      <c r="R34" s="551"/>
    </row>
    <row r="35" spans="1:18" x14ac:dyDescent="0.25">
      <c r="A35" s="544">
        <v>4.7</v>
      </c>
      <c r="B35" s="531" t="s">
        <v>432</v>
      </c>
      <c r="C35" s="539">
        <f>+_xlfn.XLOOKUP(A35,Catalogo!$B:$B,Catalogo!D:D)</f>
        <v>105</v>
      </c>
      <c r="D35" s="557">
        <f>_xlfn.XLOOKUP(A35,Catalogo!B38:B101,Catalogo!F38:F101)</f>
        <v>4212.3599999999997</v>
      </c>
      <c r="E35" s="539" t="s">
        <v>97</v>
      </c>
      <c r="F35" s="116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4" t="str">
        <f t="shared" si="0"/>
        <v/>
      </c>
      <c r="O35" s="532" t="str">
        <f>IF(N35&lt;&gt;"",_xlfn.XLOOKUP(A35,Catalogo!B38:B101,Catalogo!F38:F101)*N35,"")</f>
        <v/>
      </c>
      <c r="P35" s="549" t="str">
        <f t="shared" si="1"/>
        <v/>
      </c>
      <c r="Q35" s="550" t="str">
        <f t="shared" si="2"/>
        <v/>
      </c>
      <c r="R35" s="551"/>
    </row>
    <row r="36" spans="1:18" x14ac:dyDescent="0.25">
      <c r="A36" s="544">
        <v>4.8</v>
      </c>
      <c r="B36" s="531" t="s">
        <v>433</v>
      </c>
      <c r="C36" s="539">
        <f>+_xlfn.XLOOKUP(A36,Catalogo!$B:$B,Catalogo!D:D)</f>
        <v>105</v>
      </c>
      <c r="D36" s="557">
        <f>_xlfn.XLOOKUP(A36,Catalogo!B39:B102,Catalogo!F39:F102)</f>
        <v>1368</v>
      </c>
      <c r="E36" s="539" t="s">
        <v>97</v>
      </c>
      <c r="F36" s="116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4" t="str">
        <f t="shared" si="0"/>
        <v/>
      </c>
      <c r="O36" s="532" t="str">
        <f>IF(N36&lt;&gt;"",_xlfn.XLOOKUP(A36,Catalogo!B39:B102,Catalogo!F39:F102)*N36,"")</f>
        <v/>
      </c>
      <c r="P36" s="549" t="str">
        <f t="shared" si="1"/>
        <v/>
      </c>
      <c r="Q36" s="550" t="str">
        <f t="shared" si="2"/>
        <v/>
      </c>
      <c r="R36" s="551"/>
    </row>
    <row r="37" spans="1:18" x14ac:dyDescent="0.25">
      <c r="A37" s="544">
        <v>4.9000000000000004</v>
      </c>
      <c r="B37" s="531" t="s">
        <v>434</v>
      </c>
      <c r="C37" s="538">
        <f>+_xlfn.XLOOKUP(A37,Catalogo!$B:$B,Catalogo!D:D)</f>
        <v>100</v>
      </c>
      <c r="D37" s="556">
        <f>_xlfn.XLOOKUP(A37,Catalogo!B40:B103,Catalogo!F40:F103)</f>
        <v>7244.35</v>
      </c>
      <c r="E37" s="538" t="s">
        <v>645</v>
      </c>
      <c r="F37" s="116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4">
        <f t="shared" si="0"/>
        <v>24</v>
      </c>
      <c r="O37" s="532">
        <f>IF(N37&lt;&gt;"",_xlfn.XLOOKUP(A37,Catalogo!B40:B103,Catalogo!F40:F103)*N37,"")</f>
        <v>173864.40000000002</v>
      </c>
      <c r="P37" s="549">
        <f t="shared" si="1"/>
        <v>0.24</v>
      </c>
      <c r="Q37" s="550">
        <f t="shared" si="2"/>
        <v>0.76</v>
      </c>
      <c r="R37" s="551"/>
    </row>
    <row r="38" spans="1:18" x14ac:dyDescent="0.25">
      <c r="A38" s="545" t="s">
        <v>523</v>
      </c>
      <c r="B38" s="531" t="s">
        <v>435</v>
      </c>
      <c r="C38" s="538">
        <f>+_xlfn.XLOOKUP(A38,Catalogo!$B:$B,Catalogo!D:D)</f>
        <v>500</v>
      </c>
      <c r="D38" s="556">
        <f>_xlfn.XLOOKUP(A38,Catalogo!B41:B104,Catalogo!F41:F104)</f>
        <v>6977.93</v>
      </c>
      <c r="E38" s="538" t="s">
        <v>645</v>
      </c>
      <c r="F38" s="116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4">
        <f t="shared" si="0"/>
        <v>24</v>
      </c>
      <c r="O38" s="532">
        <f>IF(N38&lt;&gt;"",_xlfn.XLOOKUP(A38,Catalogo!B41:B104,Catalogo!F41:F104)*N38,"")</f>
        <v>167470.32</v>
      </c>
      <c r="P38" s="549">
        <f t="shared" si="1"/>
        <v>4.8000000000000001E-2</v>
      </c>
      <c r="Q38" s="550">
        <f t="shared" si="2"/>
        <v>0.95199999999999996</v>
      </c>
      <c r="R38" s="551"/>
    </row>
    <row r="39" spans="1:18" x14ac:dyDescent="0.25">
      <c r="A39" s="546">
        <v>4.1100000000000003</v>
      </c>
      <c r="B39" s="531" t="s">
        <v>436</v>
      </c>
      <c r="C39" s="538">
        <f>+_xlfn.XLOOKUP(A39,Catalogo!$B:$B,Catalogo!D:D)</f>
        <v>800</v>
      </c>
      <c r="D39" s="556">
        <f>_xlfn.XLOOKUP(A39,Catalogo!B42:B105,Catalogo!F42:F105)</f>
        <v>8275.99</v>
      </c>
      <c r="E39" s="538" t="s">
        <v>645</v>
      </c>
      <c r="F39" s="116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4" t="str">
        <f t="shared" si="0"/>
        <v/>
      </c>
      <c r="O39" s="532" t="str">
        <f>IF(N39&lt;&gt;"",_xlfn.XLOOKUP(A39,Catalogo!B42:B105,Catalogo!F42:F105)*N39,"")</f>
        <v/>
      </c>
      <c r="P39" s="549" t="str">
        <f t="shared" si="1"/>
        <v/>
      </c>
      <c r="Q39" s="550" t="str">
        <f t="shared" si="2"/>
        <v/>
      </c>
      <c r="R39" s="551"/>
    </row>
    <row r="40" spans="1:18" x14ac:dyDescent="0.25">
      <c r="A40" s="546">
        <v>4.12</v>
      </c>
      <c r="B40" s="531" t="s">
        <v>437</v>
      </c>
      <c r="C40" s="538">
        <f>+_xlfn.XLOOKUP(A40,Catalogo!$B:$B,Catalogo!D:D)</f>
        <v>105</v>
      </c>
      <c r="D40" s="556">
        <f>_xlfn.XLOOKUP(A40,Catalogo!B43:B106,Catalogo!F43:F106)</f>
        <v>4409.2299999999996</v>
      </c>
      <c r="E40" s="538" t="s">
        <v>97</v>
      </c>
      <c r="F40" s="116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4" t="str">
        <f t="shared" si="0"/>
        <v/>
      </c>
      <c r="O40" s="532" t="str">
        <f>IF(N40&lt;&gt;"",_xlfn.XLOOKUP(A40,Catalogo!B43:B106,Catalogo!F43:F106)*N40,"")</f>
        <v/>
      </c>
      <c r="P40" s="549" t="str">
        <f t="shared" si="1"/>
        <v/>
      </c>
      <c r="Q40" s="550" t="str">
        <f t="shared" si="2"/>
        <v/>
      </c>
    </row>
    <row r="41" spans="1:18" x14ac:dyDescent="0.25">
      <c r="C41"/>
      <c r="D41"/>
      <c r="E41"/>
      <c r="F41"/>
      <c r="O41" s="533"/>
    </row>
    <row r="42" spans="1:18" ht="18" x14ac:dyDescent="0.25">
      <c r="C42"/>
      <c r="D42"/>
      <c r="E42"/>
      <c r="F42"/>
      <c r="O42" s="536">
        <f>SUM(O3:O41)</f>
        <v>11252292.389239999</v>
      </c>
      <c r="P42" s="287">
        <f>+'EV (2)'!AN5+'EV (4)'!O42</f>
        <v>89370.549239998683</v>
      </c>
      <c r="Q42" s="537">
        <f>-O42/'EV (2)'!AO5</f>
        <v>1.0080060176467203</v>
      </c>
      <c r="R42" s="548">
        <f>1-Q42</f>
        <v>-8.0060176467202648E-3</v>
      </c>
    </row>
    <row r="43" spans="1:18" x14ac:dyDescent="0.25">
      <c r="C43"/>
      <c r="D43"/>
      <c r="E43"/>
      <c r="F43"/>
      <c r="O43" s="547" t="str">
        <f ca="1">+IF(O42=EV!AC35,"CHECKED","NO CUADRA")</f>
        <v>CHECKED</v>
      </c>
    </row>
    <row r="44" spans="1:18" x14ac:dyDescent="0.25">
      <c r="C44"/>
      <c r="D44"/>
      <c r="E44"/>
      <c r="F44"/>
      <c r="O44" s="225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33" priority="8" operator="equal">
      <formula>0</formula>
    </cfRule>
  </conditionalFormatting>
  <conditionalFormatting sqref="O43">
    <cfRule type="beginsWith" dxfId="3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BCB2-31EC-432A-B9C4-EFD1709CEB5D}">
  <dimension ref="A1:D15"/>
  <sheetViews>
    <sheetView showGridLines="0" zoomScale="160" zoomScaleNormal="160" workbookViewId="0">
      <selection activeCell="C15" sqref="C15"/>
    </sheetView>
  </sheetViews>
  <sheetFormatPr baseColWidth="10" defaultRowHeight="15" x14ac:dyDescent="0.25"/>
  <cols>
    <col min="1" max="1" width="10.7109375" bestFit="1" customWidth="1"/>
    <col min="2" max="2" width="12.42578125" bestFit="1" customWidth="1"/>
    <col min="3" max="3" width="14.140625" customWidth="1"/>
    <col min="4" max="4" width="8.7109375" style="582" bestFit="1" customWidth="1"/>
  </cols>
  <sheetData>
    <row r="1" spans="1:4" x14ac:dyDescent="0.25">
      <c r="A1" s="231" t="s">
        <v>174</v>
      </c>
      <c r="B1" s="231" t="s">
        <v>655</v>
      </c>
      <c r="C1" s="231" t="s">
        <v>343</v>
      </c>
      <c r="D1" s="581" t="s">
        <v>656</v>
      </c>
    </row>
    <row r="2" spans="1:4" x14ac:dyDescent="0.25">
      <c r="A2" s="577">
        <v>45962</v>
      </c>
      <c r="B2" s="578" t="s">
        <v>660</v>
      </c>
      <c r="C2" s="579">
        <f>+SUMIFS(Tabla1[EV],Tabla1[Fecha],"&gt;="&amp;$A2,Tabla1[Fecha],"&lt;="&amp;EOMONTH($A2,0),Tabla1[EV],"&gt;0")</f>
        <v>1796316.4831999999</v>
      </c>
      <c r="D2" s="581" t="s">
        <v>657</v>
      </c>
    </row>
    <row r="3" spans="1:4" x14ac:dyDescent="0.25">
      <c r="A3" s="577">
        <v>45992</v>
      </c>
      <c r="B3" s="578" t="s">
        <v>661</v>
      </c>
      <c r="C3" s="579">
        <f>+SUMIFS(Tabla1[EV],Tabla1[Fecha],"&gt;="&amp;$A3,Tabla1[Fecha],"&lt;="&amp;EOMONTH($A3,0),Tabla1[EV],"&gt;0")</f>
        <v>1538628.9995499998</v>
      </c>
      <c r="D3" s="581" t="s">
        <v>657</v>
      </c>
    </row>
    <row r="4" spans="1:4" x14ac:dyDescent="0.25">
      <c r="A4" s="577">
        <v>46023</v>
      </c>
      <c r="B4" s="578" t="s">
        <v>662</v>
      </c>
      <c r="C4" s="579">
        <f>+SUMIFS(Tabla1[EV],Tabla1[Fecha],"&gt;="&amp;$A4,Tabla1[Fecha],"&lt;="&amp;EOMONTH($A4,0),Tabla1[EV],"&gt;0")</f>
        <v>1363213.0780099996</v>
      </c>
      <c r="D4" s="581" t="s">
        <v>657</v>
      </c>
    </row>
    <row r="5" spans="1:4" x14ac:dyDescent="0.25">
      <c r="A5" s="577">
        <v>46054</v>
      </c>
      <c r="B5" s="578" t="s">
        <v>663</v>
      </c>
      <c r="C5" s="579">
        <f>+SUMIFS(Tabla1[EV],Tabla1[Fecha],"&gt;="&amp;$A5,Tabla1[Fecha],"&lt;="&amp;EOMONTH($A5,0),Tabla1[EV],"&gt;0")</f>
        <v>83844</v>
      </c>
      <c r="D5" s="581" t="s">
        <v>657</v>
      </c>
    </row>
    <row r="6" spans="1:4" x14ac:dyDescent="0.25">
      <c r="A6" s="577">
        <v>46082</v>
      </c>
      <c r="B6" s="578" t="s">
        <v>664</v>
      </c>
      <c r="C6" s="579">
        <f>+SUMIFS(Tabla1[EV],Tabla1[Fecha],"&gt;="&amp;$A6,Tabla1[Fecha],"&lt;="&amp;EOMONTH($A6,0),Tabla1[EV],"&gt;0")</f>
        <v>1512809.8920000005</v>
      </c>
      <c r="D6" s="581" t="s">
        <v>657</v>
      </c>
    </row>
    <row r="7" spans="1:4" x14ac:dyDescent="0.25">
      <c r="A7" s="577">
        <v>46113</v>
      </c>
      <c r="B7" s="578" t="s">
        <v>665</v>
      </c>
      <c r="C7" s="579">
        <f>+SUMIFS(Tabla1[EV],Tabla1[Fecha],"&gt;="&amp;$A7,Tabla1[Fecha],"&lt;="&amp;EOMONTH($A7,0),Tabla1[EV],"&gt;0")</f>
        <v>312307.15576999995</v>
      </c>
      <c r="D7" s="581" t="s">
        <v>657</v>
      </c>
    </row>
    <row r="8" spans="1:4" x14ac:dyDescent="0.25">
      <c r="A8" s="577">
        <v>46143</v>
      </c>
      <c r="B8" s="578" t="s">
        <v>666</v>
      </c>
      <c r="C8" s="579">
        <f>+SUMIFS(Tabla1[EV],Tabla1[Fecha],"&gt;="&amp;$A8,Tabla1[Fecha],"&lt;="&amp;EOMONTH($A8,0),Tabla1[EV],"&gt;0")</f>
        <v>441435.45984999998</v>
      </c>
      <c r="D8" s="581" t="s">
        <v>657</v>
      </c>
    </row>
    <row r="9" spans="1:4" x14ac:dyDescent="0.25">
      <c r="A9" s="577">
        <v>46174</v>
      </c>
      <c r="B9" s="578" t="s">
        <v>667</v>
      </c>
      <c r="C9" s="579">
        <f>+SUMIFS(Tabla1[EV],Tabla1[Fecha],"&gt;="&amp;$A9,Tabla1[Fecha],"&lt;="&amp;EOMONTH($A9,0),Tabla1[EV],"&gt;0")</f>
        <v>307419.66662000003</v>
      </c>
      <c r="D9" s="581" t="s">
        <v>657</v>
      </c>
    </row>
    <row r="10" spans="1:4" x14ac:dyDescent="0.25">
      <c r="A10" s="577">
        <v>46204</v>
      </c>
      <c r="B10" s="578" t="s">
        <v>668</v>
      </c>
      <c r="C10" s="579">
        <f>+SUMIFS(Tabla1[EV],Tabla1[Fecha],"&gt;="&amp;$A10,Tabla1[Fecha],"&lt;="&amp;EOMONTH($A10,0),Tabla1[EV],"&gt;0")</f>
        <v>371107.12551999994</v>
      </c>
      <c r="D10" s="581" t="s">
        <v>657</v>
      </c>
    </row>
    <row r="11" spans="1:4" x14ac:dyDescent="0.25">
      <c r="A11" s="577">
        <v>46235</v>
      </c>
      <c r="B11" s="578" t="s">
        <v>669</v>
      </c>
      <c r="C11" s="579">
        <f>+SUMIFS(Tabla1[EV],Tabla1[Fecha],"&gt;="&amp;$A11,Tabla1[Fecha],"&lt;="&amp;EOMONTH($A11,0),Tabla1[EV],"&gt;0")</f>
        <v>1024464.1317800004</v>
      </c>
      <c r="D11" s="581" t="s">
        <v>657</v>
      </c>
    </row>
    <row r="12" spans="1:4" x14ac:dyDescent="0.25">
      <c r="A12" s="577">
        <v>46266</v>
      </c>
      <c r="B12" s="578" t="s">
        <v>670</v>
      </c>
      <c r="C12" s="579">
        <f>+SUMIFS(Tabla1[EV],Tabla1[Fecha],"&gt;="&amp;$A12,Tabla1[Fecha],"&lt;="&amp;EOMONTH($A12,0),Tabla1[EV],"&gt;0")</f>
        <v>1193006.1346000009</v>
      </c>
      <c r="D12" s="581" t="s">
        <v>657</v>
      </c>
    </row>
    <row r="13" spans="1:4" x14ac:dyDescent="0.25">
      <c r="A13" s="577">
        <v>46296</v>
      </c>
      <c r="B13" s="578" t="s">
        <v>671</v>
      </c>
      <c r="C13" s="579">
        <f>+SUMIFS(Tabla1[EV],Tabla1[Fecha],"&gt;="&amp;$A13,Tabla1[Fecha],"&lt;="&amp;EOMONTH($A13,0),Tabla1[EV],"&gt;0")</f>
        <v>1307740.2623400004</v>
      </c>
      <c r="D13" s="581" t="s">
        <v>657</v>
      </c>
    </row>
    <row r="14" spans="1:4" x14ac:dyDescent="0.25">
      <c r="A14" s="577">
        <v>46327</v>
      </c>
      <c r="B14" s="578" t="s">
        <v>672</v>
      </c>
      <c r="C14" s="579">
        <f>+SUMIFS(Tabla1[EV],Tabla1[Fecha],"&gt;="&amp;$A14,Tabla1[Fecha],"&lt;="&amp;EOMONTH($A14,0),Tabla1[EV],"&gt;0")</f>
        <v>0</v>
      </c>
      <c r="D14" s="581" t="s">
        <v>657</v>
      </c>
    </row>
    <row r="15" spans="1:4" x14ac:dyDescent="0.25">
      <c r="A15" s="577">
        <v>46356</v>
      </c>
      <c r="B15" s="231" t="s">
        <v>508</v>
      </c>
      <c r="C15" s="580">
        <f>SUM(C2:C13)</f>
        <v>11252292.38924</v>
      </c>
      <c r="D15" s="581" t="s">
        <v>658</v>
      </c>
    </row>
  </sheetData>
  <phoneticPr fontId="25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zoomScale="90" zoomScaleNormal="90" workbookViewId="0">
      <selection activeCell="F17" sqref="F17:G17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0" customFormat="1" ht="81.75" customHeight="1" x14ac:dyDescent="0.25">
      <c r="B1" s="293" t="s">
        <v>79</v>
      </c>
      <c r="C1" s="293" t="s">
        <v>80</v>
      </c>
      <c r="D1" s="293" t="s">
        <v>78</v>
      </c>
      <c r="E1" s="457" t="s">
        <v>554</v>
      </c>
      <c r="F1" s="293" t="s">
        <v>555</v>
      </c>
      <c r="G1" s="293" t="s">
        <v>556</v>
      </c>
      <c r="H1" s="299" t="s">
        <v>440</v>
      </c>
      <c r="J1" s="407"/>
      <c r="L1" s="293" t="s">
        <v>79</v>
      </c>
      <c r="M1" s="293" t="s">
        <v>80</v>
      </c>
      <c r="N1" s="293" t="s">
        <v>78</v>
      </c>
      <c r="O1" s="457" t="s">
        <v>554</v>
      </c>
      <c r="P1" s="457" t="s">
        <v>555</v>
      </c>
      <c r="Q1" s="293" t="s">
        <v>556</v>
      </c>
      <c r="R1" s="299" t="s">
        <v>440</v>
      </c>
      <c r="U1" s="457" t="s">
        <v>554</v>
      </c>
      <c r="V1" s="457" t="s">
        <v>555</v>
      </c>
      <c r="W1" s="293" t="s">
        <v>556</v>
      </c>
    </row>
    <row r="2" spans="1:57" s="76" customFormat="1" x14ac:dyDescent="0.25">
      <c r="B2" s="294" t="s">
        <v>108</v>
      </c>
      <c r="C2" s="294" t="s">
        <v>108</v>
      </c>
      <c r="D2" s="294" t="s">
        <v>108</v>
      </c>
      <c r="E2" s="294" t="s">
        <v>557</v>
      </c>
      <c r="F2" s="294" t="s">
        <v>557</v>
      </c>
      <c r="G2" s="294" t="s">
        <v>557</v>
      </c>
      <c r="L2" s="294" t="s">
        <v>108</v>
      </c>
      <c r="M2" s="294" t="s">
        <v>108</v>
      </c>
      <c r="N2" s="294" t="s">
        <v>108</v>
      </c>
      <c r="O2" s="294" t="s">
        <v>557</v>
      </c>
      <c r="P2" s="294" t="s">
        <v>557</v>
      </c>
      <c r="Q2" s="294" t="s">
        <v>557</v>
      </c>
      <c r="U2" s="294" t="s">
        <v>557</v>
      </c>
      <c r="V2" s="294" t="s">
        <v>557</v>
      </c>
      <c r="W2" s="294" t="s">
        <v>557</v>
      </c>
    </row>
    <row r="3" spans="1:57" x14ac:dyDescent="0.25">
      <c r="A3"/>
      <c r="B3" s="288">
        <v>7800</v>
      </c>
      <c r="C3" s="257">
        <v>8200</v>
      </c>
      <c r="D3" s="257">
        <v>1600</v>
      </c>
      <c r="E3" s="257">
        <v>355</v>
      </c>
      <c r="F3" s="257">
        <v>1500</v>
      </c>
      <c r="G3" s="257">
        <v>295</v>
      </c>
      <c r="H3"/>
      <c r="K3"/>
      <c r="L3" s="288">
        <v>7800</v>
      </c>
      <c r="M3" s="257">
        <v>8200</v>
      </c>
      <c r="N3" s="257">
        <v>1600</v>
      </c>
      <c r="O3" s="257">
        <v>355</v>
      </c>
      <c r="P3" s="257">
        <v>1500</v>
      </c>
      <c r="Q3" s="257">
        <v>295</v>
      </c>
      <c r="R3"/>
      <c r="U3" s="257">
        <v>355</v>
      </c>
      <c r="V3" s="257">
        <v>1500</v>
      </c>
      <c r="W3" s="257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04">
        <v>-1500000</v>
      </c>
      <c r="I5" s="304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4"/>
      <c r="S5" s="304"/>
      <c r="U5" s="76"/>
      <c r="V5" s="76"/>
      <c r="W5" s="76"/>
    </row>
    <row r="6" spans="1:57" x14ac:dyDescent="0.25">
      <c r="A6" s="222">
        <v>45962</v>
      </c>
      <c r="B6" s="310">
        <f>+SUMIFS(Tabla1[Avance_km],Tabla1[Fecha],"&gt;="&amp;$A6,Tabla1[Fecha],"&lt;="&amp;EOMONTH($A6,0),Tabla1[Codigo_actividad],B$4)*B$3</f>
        <v>246082.19999999998</v>
      </c>
      <c r="C6" s="310">
        <f>+SUMIFS(Tabla1[Avance_km],Tabla1[Fecha],"&gt;="&amp;$A6,Tabla1[Fecha],"&lt;="&amp;EOMONTH($A6,0),Tabla1[Codigo_actividad],C$4)*C$3</f>
        <v>435001.8</v>
      </c>
      <c r="D6" s="310">
        <f>+SUMIFS(Tabla1[Avance_km],Tabla1[Fecha],"&gt;="&amp;$A6,Tabla1[Fecha],"&lt;="&amp;EOMONTH($A6,0),Tabla1[Codigo_actividad],D$4)*D$3</f>
        <v>115235.20000000003</v>
      </c>
      <c r="E6" s="310">
        <f>+O6*$E$3</f>
        <v>0</v>
      </c>
      <c r="F6" s="310">
        <f>+P6*$F$3</f>
        <v>0</v>
      </c>
      <c r="G6" s="310">
        <f>+Q6*$G$3</f>
        <v>0</v>
      </c>
      <c r="H6" s="309"/>
      <c r="I6" s="304">
        <f>SUM(B6:H6)</f>
        <v>796319.20000000007</v>
      </c>
      <c r="J6" s="225"/>
      <c r="K6" s="222">
        <v>45962</v>
      </c>
      <c r="L6" s="310">
        <f>+SUMIFS(Tabla1[Avance_km],Tabla1[Fecha],"&gt;="&amp;$A6,Tabla1[Fecha],"&lt;="&amp;EOMONTH($A6,0),Tabla1[Codigo_actividad],L$4)</f>
        <v>31.548999999999999</v>
      </c>
      <c r="M6" s="310">
        <f>+SUMIFS(Tabla1[Avance_km],Tabla1[Fecha],"&gt;="&amp;$A6,Tabla1[Fecha],"&lt;="&amp;EOMONTH($A6,0),Tabla1[Codigo_actividad],M$4)</f>
        <v>53.048999999999999</v>
      </c>
      <c r="N6" s="310">
        <f>+SUMIFS(Tabla1[Avance_km],Tabla1[Fecha],"&gt;="&amp;$A6,Tabla1[Fecha],"&lt;="&amp;EOMONTH($A6,0),Tabla1[Codigo_actividad],N$4)</f>
        <v>72.02200000000002</v>
      </c>
      <c r="O6" s="310">
        <f>+SUMIFS(Tabla1[Observaciones],Tabla1[Fecha],"&gt;="&amp;$A6,Tabla1[Fecha],"&lt;="&amp;EOMONTH($A6,0),Tabla1[Codigo_actividad],O$4,Tabla1[Actividades],"&lt;&gt;"&amp;"METALOGRAFIAS",Tabla1[Length],O$1)</f>
        <v>0</v>
      </c>
      <c r="P6" s="310">
        <f>+SUMIFS(Tabla1[Observaciones],Tabla1[Fecha],"&gt;="&amp;$A6,Tabla1[Fecha],"&lt;="&amp;EOMONTH($A6,0),Tabla1[Codigo_actividad],P$4,Tabla1[Actividades],"&lt;&gt;"&amp;"METALOGRAFIAS",Tabla1[Length],P$1)</f>
        <v>0</v>
      </c>
      <c r="Q6" s="310">
        <f>+SUMIFS(Tabla1[Observaciones],Tabla1[Fecha],"&gt;="&amp;$A6,Tabla1[Fecha],"&lt;="&amp;EOMONTH($A6,0),Tabla1[Codigo_actividad],Q$4,Tabla1[Actividades],"&lt;&gt;"&amp;"METALOGRAFIAS",Tabla1[Length],Q$1)</f>
        <v>0</v>
      </c>
      <c r="R6" s="309"/>
      <c r="S6" s="304">
        <f>SUM(L6:N6)</f>
        <v>156.62</v>
      </c>
      <c r="T6" s="459">
        <f>SUM(O6:Q6)</f>
        <v>0</v>
      </c>
      <c r="U6" s="310">
        <f>+SUMIFS(Tabla1[Observaciones],Tabla1[Fecha],"&gt;="&amp;$A6,Tabla1[Fecha],"&lt;="&amp;EOMONTH($A6,0),Tabla1[Codigo_actividad],U$4,Tabla1[Actividades],"&lt;&gt;"&amp;"METALOGRAFIAS",Tabla1[Length],U$1)</f>
        <v>0</v>
      </c>
      <c r="V6" s="310">
        <f>+SUMIFS(Tabla1[Observaciones],Tabla1[Fecha],"&gt;="&amp;$A6,Tabla1[Fecha],"&lt;="&amp;EOMONTH($A6,0),Tabla1[Codigo_actividad],V$4,Tabla1[Actividades],"&lt;&gt;"&amp;"METALOGRAFIAS",Tabla1[Length],V$1)</f>
        <v>0</v>
      </c>
      <c r="W6" s="310">
        <f>+SUMIFS(Tabla1[Observaciones],Tabla1[Fecha],"&gt;="&amp;$A6,Tabla1[Fecha],"&lt;="&amp;EOMONTH($A6,0),Tabla1[Codigo_actividad],W$4,Tabla1[Actividades],"&lt;&gt;"&amp;"METALOGRAFIAS",Tabla1[Length],W$1)</f>
        <v>0</v>
      </c>
      <c r="X6" s="459"/>
      <c r="Y6" s="459"/>
      <c r="Z6" s="459"/>
      <c r="AA6" s="459"/>
    </row>
    <row r="7" spans="1:57" x14ac:dyDescent="0.25">
      <c r="A7" s="222">
        <v>45992</v>
      </c>
      <c r="B7" s="310">
        <f>+SUMIFS(Tabla1[Avance_km],Tabla1[Fecha],"&gt;="&amp;$A7,Tabla1[Fecha],"&lt;="&amp;EOMONTH($A7,0),Tabla1[Codigo_actividad],B$4)*B$3</f>
        <v>245832.60000000003</v>
      </c>
      <c r="C7" s="310">
        <f>+SUMIFS(Tabla1[Avance_km],Tabla1[Fecha],"&gt;="&amp;$A7,Tabla1[Fecha],"&lt;="&amp;EOMONTH($A7,0),Tabla1[Codigo_actividad],C$4)*C$3</f>
        <v>258660.79999999996</v>
      </c>
      <c r="D7" s="310">
        <f>+SUMIFS(Tabla1[Avance_km],Tabla1[Fecha],"&gt;="&amp;$A7,Tabla1[Fecha],"&lt;="&amp;EOMONTH($A7,0),Tabla1[Codigo_actividad],D$4)*D$3</f>
        <v>33892.800000000003</v>
      </c>
      <c r="E7" s="310">
        <f t="shared" ref="E7:E19" si="1">+O7*$E$3</f>
        <v>0</v>
      </c>
      <c r="F7" s="310">
        <f t="shared" ref="F7:F19" si="2">+P7*$F$3</f>
        <v>0</v>
      </c>
      <c r="G7" s="310">
        <f t="shared" ref="G7:G19" si="3">+Q7*$G$3</f>
        <v>0</v>
      </c>
      <c r="H7" s="309"/>
      <c r="I7" s="304">
        <f t="shared" ref="I7:I19" si="4">SUM(B7:H7)</f>
        <v>538386.20000000007</v>
      </c>
      <c r="K7" s="222">
        <v>45992</v>
      </c>
      <c r="L7" s="310">
        <f>+SUMIFS(Tabla1[Avance_km],Tabla1[Fecha],"&gt;="&amp;$A7,Tabla1[Fecha],"&lt;="&amp;EOMONTH($A7,0),Tabla1[Codigo_actividad],L$4)</f>
        <v>31.517000000000003</v>
      </c>
      <c r="M7" s="310">
        <f>+SUMIFS(Tabla1[Avance_km],Tabla1[Fecha],"&gt;="&amp;$A7,Tabla1[Fecha],"&lt;="&amp;EOMONTH($A7,0),Tabla1[Codigo_actividad],M$4)</f>
        <v>31.543999999999993</v>
      </c>
      <c r="N7" s="310">
        <f>+SUMIFS(Tabla1[Avance_km],Tabla1[Fecha],"&gt;="&amp;$A7,Tabla1[Fecha],"&lt;="&amp;EOMONTH($A7,0),Tabla1[Codigo_actividad],N$4)</f>
        <v>21.183</v>
      </c>
      <c r="O7" s="310">
        <f>+SUMIFS(Tabla1[Observaciones],Tabla1[Fecha],"&gt;="&amp;$A7,Tabla1[Fecha],"&lt;="&amp;EOMONTH($A7,0),Tabla1[Codigo_actividad],O$4,Tabla1[Actividades],"&lt;&gt;"&amp;"METALOGRAFIAS",Tabla1[Length],O$1)</f>
        <v>0</v>
      </c>
      <c r="P7" s="310">
        <f>+SUMIFS(Tabla1[Observaciones],Tabla1[Fecha],"&gt;="&amp;$A7,Tabla1[Fecha],"&lt;="&amp;EOMONTH($A7,0),Tabla1[Codigo_actividad],P$4,Tabla1[Actividades],"&lt;&gt;"&amp;"METALOGRAFIAS",Tabla1[Length],P$1)</f>
        <v>0</v>
      </c>
      <c r="Q7" s="310">
        <f>+SUMIFS(Tabla1[Observaciones],Tabla1[Fecha],"&gt;="&amp;$A7,Tabla1[Fecha],"&lt;="&amp;EOMONTH($A7,0),Tabla1[Codigo_actividad],Q$4,Tabla1[Actividades],"&lt;&gt;"&amp;"METALOGRAFIAS",Tabla1[Length],Q$1)</f>
        <v>0</v>
      </c>
      <c r="R7" s="309"/>
      <c r="S7" s="304">
        <f t="shared" ref="S7:S19" si="5">SUM(L7:N7)</f>
        <v>84.244</v>
      </c>
      <c r="T7" s="459">
        <f t="shared" ref="T7:T19" si="6">SUM(O7:Q7)</f>
        <v>0</v>
      </c>
      <c r="U7" s="310">
        <f>+SUMIFS(Tabla1[Observaciones],Tabla1[Fecha],"&gt;="&amp;$A7,Tabla1[Fecha],"&lt;="&amp;EOMONTH($A7,0),Tabla1[Codigo_actividad],U$4,Tabla1[Actividades],"&lt;&gt;"&amp;"METALOGRAFIAS",Tabla1[Length],U$1)</f>
        <v>0</v>
      </c>
      <c r="V7" s="310">
        <f>+SUMIFS(Tabla1[Observaciones],Tabla1[Fecha],"&gt;="&amp;$A7,Tabla1[Fecha],"&lt;="&amp;EOMONTH($A7,0),Tabla1[Codigo_actividad],V$4,Tabla1[Actividades],"&lt;&gt;"&amp;"METALOGRAFIAS",Tabla1[Length],V$1)</f>
        <v>0</v>
      </c>
      <c r="W7" s="310">
        <f>+SUMIFS(Tabla1[Observaciones],Tabla1[Fecha],"&gt;="&amp;$A7,Tabla1[Fecha],"&lt;="&amp;EOMONTH($A7,0),Tabla1[Codigo_actividad],W$4,Tabla1[Actividades],"&lt;&gt;"&amp;"METALOGRAFIAS",Tabla1[Length],W$1)</f>
        <v>0</v>
      </c>
      <c r="X7" s="459"/>
      <c r="Y7" s="459"/>
      <c r="Z7" s="459"/>
      <c r="AA7" s="459"/>
    </row>
    <row r="8" spans="1:57" x14ac:dyDescent="0.25">
      <c r="A8" s="222">
        <v>46023</v>
      </c>
      <c r="B8" s="310">
        <f>+SUMIFS(Tabla1[Avance_km],Tabla1[Fecha],"&gt;="&amp;$A8,Tabla1[Fecha],"&lt;="&amp;EOMONTH($A8,0),Tabla1[Codigo_actividad],B$4)*B$3</f>
        <v>287352.00000000006</v>
      </c>
      <c r="C8" s="310">
        <f>+SUMIFS(Tabla1[Avance_km],Tabla1[Fecha],"&gt;="&amp;$A8,Tabla1[Fecha],"&lt;="&amp;EOMONTH($A8,0),Tabla1[Codigo_actividad],C$4)*C$3</f>
        <v>125566.60000000003</v>
      </c>
      <c r="D8" s="310">
        <f>+SUMIFS(Tabla1[Avance_km],Tabla1[Fecha],"&gt;="&amp;$A8,Tabla1[Fecha],"&lt;="&amp;EOMONTH($A8,0),Tabla1[Codigo_actividad],D$4)*D$3</f>
        <v>10721.599999999999</v>
      </c>
      <c r="E8" s="310">
        <f t="shared" si="1"/>
        <v>0</v>
      </c>
      <c r="F8" s="310">
        <f t="shared" si="2"/>
        <v>0</v>
      </c>
      <c r="G8" s="310">
        <f t="shared" si="3"/>
        <v>0</v>
      </c>
      <c r="H8" s="309"/>
      <c r="I8" s="304">
        <f t="shared" si="4"/>
        <v>423640.20000000007</v>
      </c>
      <c r="K8" s="222">
        <v>46023</v>
      </c>
      <c r="L8" s="310">
        <f>+SUMIFS(Tabla1[Avance_km],Tabla1[Fecha],"&gt;="&amp;$A8,Tabla1[Fecha],"&lt;="&amp;EOMONTH($A8,0),Tabla1[Codigo_actividad],L$4)</f>
        <v>36.840000000000011</v>
      </c>
      <c r="M8" s="310">
        <f>+SUMIFS(Tabla1[Avance_km],Tabla1[Fecha],"&gt;="&amp;$A8,Tabla1[Fecha],"&lt;="&amp;EOMONTH($A8,0),Tabla1[Codigo_actividad],M$4)</f>
        <v>15.313000000000004</v>
      </c>
      <c r="N8" s="310">
        <f>+SUMIFS(Tabla1[Avance_km],Tabla1[Fecha],"&gt;="&amp;$A8,Tabla1[Fecha],"&lt;="&amp;EOMONTH($A8,0),Tabla1[Codigo_actividad],N$4)</f>
        <v>6.7009999999999996</v>
      </c>
      <c r="O8" s="310">
        <f>+SUMIFS(Tabla1[Observaciones],Tabla1[Fecha],"&gt;="&amp;$A8,Tabla1[Fecha],"&lt;="&amp;EOMONTH($A8,0),Tabla1[Codigo_actividad],O$4,Tabla1[Actividades],"&lt;&gt;"&amp;"METALOGRAFIAS",Tabla1[Length],O$1)</f>
        <v>0</v>
      </c>
      <c r="P8" s="310">
        <f>+SUMIFS(Tabla1[Observaciones],Tabla1[Fecha],"&gt;="&amp;$A8,Tabla1[Fecha],"&lt;="&amp;EOMONTH($A8,0),Tabla1[Codigo_actividad],P$4,Tabla1[Actividades],"&lt;&gt;"&amp;"METALOGRAFIAS",Tabla1[Length],P$1)</f>
        <v>0</v>
      </c>
      <c r="Q8" s="310">
        <f>+SUMIFS(Tabla1[Observaciones],Tabla1[Fecha],"&gt;="&amp;$A8,Tabla1[Fecha],"&lt;="&amp;EOMONTH($A8,0),Tabla1[Codigo_actividad],Q$4,Tabla1[Actividades],"&lt;&gt;"&amp;"METALOGRAFIAS",Tabla1[Length],Q$1)</f>
        <v>0</v>
      </c>
      <c r="R8" s="309"/>
      <c r="S8" s="304">
        <f t="shared" si="5"/>
        <v>58.854000000000013</v>
      </c>
      <c r="T8" s="459">
        <f t="shared" si="6"/>
        <v>0</v>
      </c>
      <c r="U8" s="310">
        <f>+SUMIFS(Tabla1[Observaciones],Tabla1[Fecha],"&gt;="&amp;$A8,Tabla1[Fecha],"&lt;="&amp;EOMONTH($A8,0),Tabla1[Codigo_actividad],U$4,Tabla1[Actividades],"&lt;&gt;"&amp;"METALOGRAFIAS",Tabla1[Length],U$1)</f>
        <v>0</v>
      </c>
      <c r="V8" s="310">
        <f>+SUMIFS(Tabla1[Observaciones],Tabla1[Fecha],"&gt;="&amp;$A8,Tabla1[Fecha],"&lt;="&amp;EOMONTH($A8,0),Tabla1[Codigo_actividad],V$4,Tabla1[Actividades],"&lt;&gt;"&amp;"METALOGRAFIAS",Tabla1[Length],V$1)</f>
        <v>0</v>
      </c>
      <c r="W8" s="310">
        <f>+SUMIFS(Tabla1[Observaciones],Tabla1[Fecha],"&gt;="&amp;$A8,Tabla1[Fecha],"&lt;="&amp;EOMONTH($A8,0),Tabla1[Codigo_actividad],W$4,Tabla1[Actividades],"&lt;&gt;"&amp;"METALOGRAFIAS",Tabla1[Length],W$1)</f>
        <v>0</v>
      </c>
      <c r="X8" s="459"/>
      <c r="Y8" s="459"/>
      <c r="Z8" s="459"/>
      <c r="AA8" s="459"/>
    </row>
    <row r="9" spans="1:57" x14ac:dyDescent="0.25">
      <c r="A9" s="222">
        <v>46054</v>
      </c>
      <c r="B9" s="310">
        <f>+SUMIFS(Tabla1[Avance_km],Tabla1[Fecha],"&gt;="&amp;$A9,Tabla1[Fecha],"&lt;="&amp;EOMONTH($A9,0),Tabla1[Codigo_actividad],B$4)*B$3</f>
        <v>0</v>
      </c>
      <c r="C9" s="310">
        <f>+SUMIFS(Tabla1[Avance_km],Tabla1[Fecha],"&gt;="&amp;$A9,Tabla1[Fecha],"&lt;="&amp;EOMONTH($A9,0),Tabla1[Codigo_actividad],C$4)*C$3</f>
        <v>0</v>
      </c>
      <c r="D9" s="310">
        <f>+SUMIFS(Tabla1[Avance_km],Tabla1[Fecha],"&gt;="&amp;$A9,Tabla1[Fecha],"&lt;="&amp;EOMONTH($A9,0),Tabla1[Codigo_actividad],D$4)*D$3</f>
        <v>0</v>
      </c>
      <c r="E9" s="310">
        <f t="shared" si="1"/>
        <v>0</v>
      </c>
      <c r="F9" s="310">
        <f t="shared" si="2"/>
        <v>0</v>
      </c>
      <c r="G9" s="310">
        <f t="shared" si="3"/>
        <v>0</v>
      </c>
      <c r="H9" s="309"/>
      <c r="I9" s="304">
        <f t="shared" si="4"/>
        <v>0</v>
      </c>
      <c r="K9" s="222">
        <v>46054</v>
      </c>
      <c r="L9" s="310">
        <f>+SUMIFS(Tabla1[Avance_km],Tabla1[Fecha],"&gt;="&amp;$A9,Tabla1[Fecha],"&lt;="&amp;EOMONTH($A9,0),Tabla1[Codigo_actividad],L$4)</f>
        <v>0</v>
      </c>
      <c r="M9" s="310">
        <f>+SUMIFS(Tabla1[Avance_km],Tabla1[Fecha],"&gt;="&amp;$A9,Tabla1[Fecha],"&lt;="&amp;EOMONTH($A9,0),Tabla1[Codigo_actividad],M$4)</f>
        <v>0</v>
      </c>
      <c r="N9" s="310">
        <f>+SUMIFS(Tabla1[Avance_km],Tabla1[Fecha],"&gt;="&amp;$A9,Tabla1[Fecha],"&lt;="&amp;EOMONTH($A9,0),Tabla1[Codigo_actividad],N$4)</f>
        <v>0</v>
      </c>
      <c r="O9" s="310">
        <f>+SUMIFS(Tabla1[Observaciones],Tabla1[Fecha],"&gt;="&amp;$A9,Tabla1[Fecha],"&lt;="&amp;EOMONTH($A9,0),Tabla1[Codigo_actividad],O$4,Tabla1[Actividades],"&lt;&gt;"&amp;"METALOGRAFIAS",Tabla1[Length],O$1)</f>
        <v>0</v>
      </c>
      <c r="P9" s="310">
        <f>+SUMIFS(Tabla1[Observaciones],Tabla1[Fecha],"&gt;="&amp;$A9,Tabla1[Fecha],"&lt;="&amp;EOMONTH($A9,0),Tabla1[Codigo_actividad],P$4,Tabla1[Actividades],"&lt;&gt;"&amp;"METALOGRAFIAS",Tabla1[Length],P$1)</f>
        <v>0</v>
      </c>
      <c r="Q9" s="310">
        <f>+SUMIFS(Tabla1[Observaciones],Tabla1[Fecha],"&gt;="&amp;$A9,Tabla1[Fecha],"&lt;="&amp;EOMONTH($A9,0),Tabla1[Codigo_actividad],Q$4,Tabla1[Actividades],"&lt;&gt;"&amp;"METALOGRAFIAS",Tabla1[Length],Q$1)</f>
        <v>0</v>
      </c>
      <c r="R9" s="309"/>
      <c r="S9" s="304">
        <f t="shared" si="5"/>
        <v>0</v>
      </c>
      <c r="T9" s="459">
        <f t="shared" si="6"/>
        <v>0</v>
      </c>
      <c r="U9" s="310">
        <f>+SUMIFS(Tabla1[Observaciones],Tabla1[Fecha],"&gt;="&amp;$A9,Tabla1[Fecha],"&lt;="&amp;EOMONTH($A9,0),Tabla1[Codigo_actividad],U$4,Tabla1[Actividades],"&lt;&gt;"&amp;"METALOGRAFIAS",Tabla1[Length],U$1)</f>
        <v>0</v>
      </c>
      <c r="V9" s="310">
        <f>+SUMIFS(Tabla1[Observaciones],Tabla1[Fecha],"&gt;="&amp;$A9,Tabla1[Fecha],"&lt;="&amp;EOMONTH($A9,0),Tabla1[Codigo_actividad],V$4,Tabla1[Actividades],"&lt;&gt;"&amp;"METALOGRAFIAS",Tabla1[Length],V$1)</f>
        <v>0</v>
      </c>
      <c r="W9" s="310">
        <f>+SUMIFS(Tabla1[Observaciones],Tabla1[Fecha],"&gt;="&amp;$A9,Tabla1[Fecha],"&lt;="&amp;EOMONTH($A9,0),Tabla1[Codigo_actividad],W$4,Tabla1[Actividades],"&lt;&gt;"&amp;"METALOGRAFIAS",Tabla1[Length],W$1)</f>
        <v>0</v>
      </c>
      <c r="X9" s="459"/>
      <c r="Y9" s="459"/>
      <c r="Z9" s="459"/>
      <c r="AA9" s="459"/>
    </row>
    <row r="10" spans="1:57" x14ac:dyDescent="0.25">
      <c r="A10" s="222">
        <v>46082</v>
      </c>
      <c r="B10" s="310">
        <f>+SUMIFS(Tabla1[Avance_km],Tabla1[Fecha],"&gt;="&amp;$A10,Tabla1[Fecha],"&lt;="&amp;EOMONTH($A10,0),Tabla1[Codigo_actividad],B$4)*B$3</f>
        <v>0</v>
      </c>
      <c r="C10" s="310">
        <f>+SUMIFS(Tabla1[Avance_km],Tabla1[Fecha],"&gt;="&amp;$A10,Tabla1[Fecha],"&lt;="&amp;EOMONTH($A10,0),Tabla1[Codigo_actividad],C$4)*C$3</f>
        <v>0</v>
      </c>
      <c r="D10" s="310">
        <f>+SUMIFS(Tabla1[Avance_km],Tabla1[Fecha],"&gt;="&amp;$A10,Tabla1[Fecha],"&lt;="&amp;EOMONTH($A10,0),Tabla1[Codigo_actividad],D$4)*D$3</f>
        <v>5760</v>
      </c>
      <c r="E10" s="310">
        <f t="shared" si="1"/>
        <v>0</v>
      </c>
      <c r="F10" s="310">
        <f t="shared" si="2"/>
        <v>0</v>
      </c>
      <c r="G10" s="310">
        <f t="shared" si="3"/>
        <v>0</v>
      </c>
      <c r="H10" s="309"/>
      <c r="I10" s="304">
        <f t="shared" si="4"/>
        <v>5760</v>
      </c>
      <c r="K10" s="222">
        <v>46082</v>
      </c>
      <c r="L10" s="310">
        <f>+SUMIFS(Tabla1[Avance_km],Tabla1[Fecha],"&gt;="&amp;$A10,Tabla1[Fecha],"&lt;="&amp;EOMONTH($A10,0),Tabla1[Codigo_actividad],L$4)</f>
        <v>0</v>
      </c>
      <c r="M10" s="310">
        <f>+SUMIFS(Tabla1[Avance_km],Tabla1[Fecha],"&gt;="&amp;$A10,Tabla1[Fecha],"&lt;="&amp;EOMONTH($A10,0),Tabla1[Codigo_actividad],M$4)</f>
        <v>0</v>
      </c>
      <c r="N10" s="310">
        <f>+SUMIFS(Tabla1[Avance_km],Tabla1[Fecha],"&gt;="&amp;$A10,Tabla1[Fecha],"&lt;="&amp;EOMONTH($A10,0),Tabla1[Codigo_actividad],N$4)</f>
        <v>3.6</v>
      </c>
      <c r="O10" s="310">
        <f>+SUMIFS(Tabla1[Observaciones],Tabla1[Fecha],"&gt;="&amp;$A10,Tabla1[Fecha],"&lt;="&amp;EOMONTH($A10,0),Tabla1[Codigo_actividad],O$4,Tabla1[Actividades],"&lt;&gt;"&amp;"METALOGRAFIAS",Tabla1[Length],O$1)</f>
        <v>0</v>
      </c>
      <c r="P10" s="310">
        <f>+SUMIFS(Tabla1[Observaciones],Tabla1[Fecha],"&gt;="&amp;$A10,Tabla1[Fecha],"&lt;="&amp;EOMONTH($A10,0),Tabla1[Codigo_actividad],P$4,Tabla1[Actividades],"&lt;&gt;"&amp;"METALOGRAFIAS",Tabla1[Length],P$1)</f>
        <v>0</v>
      </c>
      <c r="Q10" s="310">
        <f>+SUMIFS(Tabla1[Observaciones],Tabla1[Fecha],"&gt;="&amp;$A10,Tabla1[Fecha],"&lt;="&amp;EOMONTH($A10,0),Tabla1[Codigo_actividad],Q$4,Tabla1[Actividades],"&lt;&gt;"&amp;"METALOGRAFIAS",Tabla1[Length],Q$1)</f>
        <v>0</v>
      </c>
      <c r="R10" s="309"/>
      <c r="S10" s="304">
        <f t="shared" si="5"/>
        <v>3.6</v>
      </c>
      <c r="T10" s="459">
        <f t="shared" si="6"/>
        <v>0</v>
      </c>
      <c r="U10" s="310">
        <f>+SUMIFS(Tabla1[Observaciones],Tabla1[Fecha],"&gt;="&amp;$A10,Tabla1[Fecha],"&lt;="&amp;EOMONTH($A10,0),Tabla1[Codigo_actividad],U$4,Tabla1[Actividades],"&lt;&gt;"&amp;"METALOGRAFIAS",Tabla1[Length],U$1)</f>
        <v>0</v>
      </c>
      <c r="V10" s="310">
        <f>+SUMIFS(Tabla1[Observaciones],Tabla1[Fecha],"&gt;="&amp;$A10,Tabla1[Fecha],"&lt;="&amp;EOMONTH($A10,0),Tabla1[Codigo_actividad],V$4,Tabla1[Actividades],"&lt;&gt;"&amp;"METALOGRAFIAS",Tabla1[Length],V$1)</f>
        <v>0</v>
      </c>
      <c r="W10" s="310">
        <f>+SUMIFS(Tabla1[Observaciones],Tabla1[Fecha],"&gt;="&amp;$A10,Tabla1[Fecha],"&lt;="&amp;EOMONTH($A10,0),Tabla1[Codigo_actividad],W$4,Tabla1[Actividades],"&lt;&gt;"&amp;"METALOGRAFIAS",Tabla1[Length],W$1)</f>
        <v>0</v>
      </c>
      <c r="X10" s="459"/>
      <c r="Y10" s="459"/>
      <c r="Z10" s="459"/>
      <c r="AA10" s="459"/>
    </row>
    <row r="11" spans="1:57" x14ac:dyDescent="0.25">
      <c r="A11" s="222">
        <v>46113</v>
      </c>
      <c r="B11" s="310">
        <f>+SUMIFS(Tabla1[Avance_km],Tabla1[Fecha],"&gt;="&amp;$A11,Tabla1[Fecha],"&lt;="&amp;EOMONTH($A11,0),Tabla1[Codigo_actividad],B$4)*B$3</f>
        <v>0</v>
      </c>
      <c r="C11" s="310">
        <f>+SUMIFS(Tabla1[Avance_km],Tabla1[Fecha],"&gt;="&amp;$A11,Tabla1[Fecha],"&lt;="&amp;EOMONTH($A11,0),Tabla1[Codigo_actividad],C$4)*C$3</f>
        <v>46174.200000000004</v>
      </c>
      <c r="D11" s="310">
        <f>+SUMIFS(Tabla1[Avance_km],Tabla1[Fecha],"&gt;="&amp;$A11,Tabla1[Fecha],"&lt;="&amp;EOMONTH($A11,0),Tabla1[Codigo_actividad],D$4)*D$3</f>
        <v>34617.599999999999</v>
      </c>
      <c r="E11" s="310">
        <f t="shared" si="1"/>
        <v>0</v>
      </c>
      <c r="F11" s="310">
        <f t="shared" si="2"/>
        <v>0</v>
      </c>
      <c r="G11" s="310">
        <f t="shared" si="3"/>
        <v>0</v>
      </c>
      <c r="H11" s="309"/>
      <c r="I11" s="304">
        <f t="shared" si="4"/>
        <v>80791.8</v>
      </c>
      <c r="K11" s="222">
        <v>46113</v>
      </c>
      <c r="L11" s="310">
        <f>+SUMIFS(Tabla1[Avance_km],Tabla1[Fecha],"&gt;="&amp;$A11,Tabla1[Fecha],"&lt;="&amp;EOMONTH($A11,0),Tabla1[Codigo_actividad],L$4)</f>
        <v>0</v>
      </c>
      <c r="M11" s="310">
        <f>+SUMIFS(Tabla1[Avance_km],Tabla1[Fecha],"&gt;="&amp;$A11,Tabla1[Fecha],"&lt;="&amp;EOMONTH($A11,0),Tabla1[Codigo_actividad],M$4)</f>
        <v>5.6310000000000002</v>
      </c>
      <c r="N11" s="310">
        <f>+SUMIFS(Tabla1[Avance_km],Tabla1[Fecha],"&gt;="&amp;$A11,Tabla1[Fecha],"&lt;="&amp;EOMONTH($A11,0),Tabla1[Codigo_actividad],N$4)</f>
        <v>21.635999999999999</v>
      </c>
      <c r="O11" s="310">
        <f>+SUMIFS(Tabla1[Observaciones],Tabla1[Fecha],"&gt;="&amp;$A11,Tabla1[Fecha],"&lt;="&amp;EOMONTH($A11,0),Tabla1[Codigo_actividad],O$4,Tabla1[Actividades],"&lt;&gt;"&amp;"METALOGRAFIAS",Tabla1[Length],O$1)</f>
        <v>0</v>
      </c>
      <c r="P11" s="310">
        <f>+SUMIFS(Tabla1[Observaciones],Tabla1[Fecha],"&gt;="&amp;$A11,Tabla1[Fecha],"&lt;="&amp;EOMONTH($A11,0),Tabla1[Codigo_actividad],P$4,Tabla1[Actividades],"&lt;&gt;"&amp;"METALOGRAFIAS",Tabla1[Length],P$1)</f>
        <v>0</v>
      </c>
      <c r="Q11" s="310">
        <f>+SUMIFS(Tabla1[Observaciones],Tabla1[Fecha],"&gt;="&amp;$A11,Tabla1[Fecha],"&lt;="&amp;EOMONTH($A11,0),Tabla1[Codigo_actividad],Q$4,Tabla1[Actividades],"&lt;&gt;"&amp;"METALOGRAFIAS",Tabla1[Length],Q$1)</f>
        <v>0</v>
      </c>
      <c r="R11" s="309"/>
      <c r="S11" s="304">
        <f t="shared" si="5"/>
        <v>27.266999999999999</v>
      </c>
      <c r="T11" s="459">
        <f t="shared" si="6"/>
        <v>0</v>
      </c>
      <c r="U11" s="310">
        <f>+SUMIFS(Tabla1[Observaciones],Tabla1[Fecha],"&gt;="&amp;$A11,Tabla1[Fecha],"&lt;="&amp;EOMONTH($A11,0),Tabla1[Codigo_actividad],U$4,Tabla1[Actividades],"&lt;&gt;"&amp;"METALOGRAFIAS",Tabla1[Length],U$1)</f>
        <v>0</v>
      </c>
      <c r="V11" s="310">
        <f>+SUMIFS(Tabla1[Observaciones],Tabla1[Fecha],"&gt;="&amp;$A11,Tabla1[Fecha],"&lt;="&amp;EOMONTH($A11,0),Tabla1[Codigo_actividad],V$4,Tabla1[Actividades],"&lt;&gt;"&amp;"METALOGRAFIAS",Tabla1[Length],V$1)</f>
        <v>0</v>
      </c>
      <c r="W11" s="310">
        <f>+SUMIFS(Tabla1[Observaciones],Tabla1[Fecha],"&gt;="&amp;$A11,Tabla1[Fecha],"&lt;="&amp;EOMONTH($A11,0),Tabla1[Codigo_actividad],W$4,Tabla1[Actividades],"&lt;&gt;"&amp;"METALOGRAFIAS",Tabla1[Length],W$1)</f>
        <v>0</v>
      </c>
      <c r="X11" s="459"/>
      <c r="Y11" s="459"/>
      <c r="Z11" s="459"/>
      <c r="AA11" s="459"/>
    </row>
    <row r="12" spans="1:57" x14ac:dyDescent="0.25">
      <c r="A12" s="222">
        <v>46143</v>
      </c>
      <c r="B12" s="310">
        <f>+SUMIFS(Tabla1[Avance_km],Tabla1[Fecha],"&gt;="&amp;$A12,Tabla1[Fecha],"&lt;="&amp;EOMONTH($A12,0),Tabla1[Codigo_actividad],B$4)*B$3</f>
        <v>87773.4</v>
      </c>
      <c r="C12" s="310">
        <f>+SUMIFS(Tabla1[Avance_km],Tabla1[Fecha],"&gt;="&amp;$A12,Tabla1[Fecha],"&lt;="&amp;EOMONTH($A12,0),Tabla1[Codigo_actividad],C$4)*C$3</f>
        <v>154406</v>
      </c>
      <c r="D12" s="310">
        <f>+SUMIFS(Tabla1[Avance_km],Tabla1[Fecha],"&gt;="&amp;$A12,Tabla1[Fecha],"&lt;="&amp;EOMONTH($A12,0),Tabla1[Codigo_actividad],D$4)*D$3</f>
        <v>5803.2</v>
      </c>
      <c r="E12" s="310">
        <f t="shared" si="1"/>
        <v>0</v>
      </c>
      <c r="F12" s="310">
        <f t="shared" si="2"/>
        <v>0</v>
      </c>
      <c r="G12" s="310">
        <f t="shared" si="3"/>
        <v>0</v>
      </c>
      <c r="H12" s="309"/>
      <c r="I12" s="304">
        <f t="shared" si="4"/>
        <v>247982.6</v>
      </c>
      <c r="K12" s="222">
        <v>46143</v>
      </c>
      <c r="L12" s="310">
        <f>+SUMIFS(Tabla1[Avance_km],Tabla1[Fecha],"&gt;="&amp;$A12,Tabla1[Fecha],"&lt;="&amp;EOMONTH($A12,0),Tabla1[Codigo_actividad],L$4)</f>
        <v>11.253</v>
      </c>
      <c r="M12" s="310">
        <f>+SUMIFS(Tabla1[Avance_km],Tabla1[Fecha],"&gt;="&amp;$A12,Tabla1[Fecha],"&lt;="&amp;EOMONTH($A12,0),Tabla1[Codigo_actividad],M$4)</f>
        <v>18.829999999999998</v>
      </c>
      <c r="N12" s="310">
        <f>+SUMIFS(Tabla1[Avance_km],Tabla1[Fecha],"&gt;="&amp;$A12,Tabla1[Fecha],"&lt;="&amp;EOMONTH($A12,0),Tabla1[Codigo_actividad],N$4)</f>
        <v>3.6269999999999998</v>
      </c>
      <c r="O12" s="310">
        <f>+SUMIFS(Tabla1[Observaciones],Tabla1[Fecha],"&gt;="&amp;$A12,Tabla1[Fecha],"&lt;="&amp;EOMONTH($A12,0),Tabla1[Codigo_actividad],O$4,Tabla1[Actividades],"&lt;&gt;"&amp;"METALOGRAFIAS",Tabla1[Length],O$1)</f>
        <v>0</v>
      </c>
      <c r="P12" s="310">
        <f>+SUMIFS(Tabla1[Observaciones],Tabla1[Fecha],"&gt;="&amp;$A12,Tabla1[Fecha],"&lt;="&amp;EOMONTH($A12,0),Tabla1[Codigo_actividad],P$4,Tabla1[Actividades],"&lt;&gt;"&amp;"METALOGRAFIAS",Tabla1[Length],P$1)</f>
        <v>0</v>
      </c>
      <c r="Q12" s="310">
        <f>+SUMIFS(Tabla1[Observaciones],Tabla1[Fecha],"&gt;="&amp;$A12,Tabla1[Fecha],"&lt;="&amp;EOMONTH($A12,0),Tabla1[Codigo_actividad],Q$4,Tabla1[Actividades],"&lt;&gt;"&amp;"METALOGRAFIAS",Tabla1[Length],Q$1)</f>
        <v>0</v>
      </c>
      <c r="R12" s="309"/>
      <c r="S12" s="304">
        <f t="shared" si="5"/>
        <v>33.71</v>
      </c>
      <c r="T12" s="459">
        <f t="shared" si="6"/>
        <v>0</v>
      </c>
      <c r="U12" s="310">
        <f>+SUMIFS(Tabla1[Observaciones],Tabla1[Fecha],"&gt;="&amp;$A12,Tabla1[Fecha],"&lt;="&amp;EOMONTH($A12,0),Tabla1[Codigo_actividad],U$4,Tabla1[Actividades],"&lt;&gt;"&amp;"METALOGRAFIAS",Tabla1[Length],U$1)</f>
        <v>0</v>
      </c>
      <c r="V12" s="310">
        <f>+SUMIFS(Tabla1[Observaciones],Tabla1[Fecha],"&gt;="&amp;$A12,Tabla1[Fecha],"&lt;="&amp;EOMONTH($A12,0),Tabla1[Codigo_actividad],V$4,Tabla1[Actividades],"&lt;&gt;"&amp;"METALOGRAFIAS",Tabla1[Length],V$1)</f>
        <v>0</v>
      </c>
      <c r="W12" s="310">
        <f>+SUMIFS(Tabla1[Observaciones],Tabla1[Fecha],"&gt;="&amp;$A12,Tabla1[Fecha],"&lt;="&amp;EOMONTH($A12,0),Tabla1[Codigo_actividad],W$4,Tabla1[Actividades],"&lt;&gt;"&amp;"METALOGRAFIAS",Tabla1[Length],W$1)</f>
        <v>0</v>
      </c>
      <c r="X12" s="459"/>
      <c r="Y12" s="459"/>
      <c r="Z12" s="459"/>
      <c r="AA12" s="459"/>
    </row>
    <row r="13" spans="1:57" x14ac:dyDescent="0.25">
      <c r="A13" s="222">
        <v>46174</v>
      </c>
      <c r="B13" s="310">
        <f>+SUMIFS(Tabla1[Avance_km],Tabla1[Fecha],"&gt;="&amp;$A13,Tabla1[Fecha],"&lt;="&amp;EOMONTH($A13,0),Tabla1[Codigo_actividad],B$4)*B$3</f>
        <v>158558.40000000002</v>
      </c>
      <c r="C13" s="310">
        <f>+SUMIFS(Tabla1[Avance_km],Tabla1[Fecha],"&gt;="&amp;$A13,Tabla1[Fecha],"&lt;="&amp;EOMONTH($A13,0),Tabla1[Codigo_actividad],C$4)*C$3</f>
        <v>0</v>
      </c>
      <c r="D13" s="310">
        <f>+SUMIFS(Tabla1[Avance_km],Tabla1[Fecha],"&gt;="&amp;$A13,Tabla1[Fecha],"&lt;="&amp;EOMONTH($A13,0),Tabla1[Codigo_actividad],D$4)*D$3</f>
        <v>8667.1999999999989</v>
      </c>
      <c r="E13" s="310">
        <f t="shared" si="1"/>
        <v>0</v>
      </c>
      <c r="F13" s="310">
        <f t="shared" si="2"/>
        <v>0</v>
      </c>
      <c r="G13" s="310">
        <f t="shared" si="3"/>
        <v>0</v>
      </c>
      <c r="H13" s="309"/>
      <c r="I13" s="304">
        <f t="shared" si="4"/>
        <v>167225.60000000003</v>
      </c>
      <c r="K13" s="222">
        <v>46174</v>
      </c>
      <c r="L13" s="310">
        <f>+SUMIFS(Tabla1[Avance_km],Tabla1[Fecha],"&gt;="&amp;$A13,Tabla1[Fecha],"&lt;="&amp;EOMONTH($A13,0),Tabla1[Codigo_actividad],L$4)</f>
        <v>20.328000000000003</v>
      </c>
      <c r="M13" s="310">
        <f>+SUMIFS(Tabla1[Avance_km],Tabla1[Fecha],"&gt;="&amp;$A13,Tabla1[Fecha],"&lt;="&amp;EOMONTH($A13,0),Tabla1[Codigo_actividad],M$4)</f>
        <v>0</v>
      </c>
      <c r="N13" s="310">
        <f>+SUMIFS(Tabla1[Avance_km],Tabla1[Fecha],"&gt;="&amp;$A13,Tabla1[Fecha],"&lt;="&amp;EOMONTH($A13,0),Tabla1[Codigo_actividad],N$4)</f>
        <v>5.4169999999999998</v>
      </c>
      <c r="O13" s="310">
        <f>+SUMIFS(Tabla1[Observaciones],Tabla1[Fecha],"&gt;="&amp;$A13,Tabla1[Fecha],"&lt;="&amp;EOMONTH($A13,0),Tabla1[Codigo_actividad],O$4,Tabla1[Actividades],"&lt;&gt;"&amp;"METALOGRAFIAS",Tabla1[Length],O$1)</f>
        <v>0</v>
      </c>
      <c r="P13" s="310">
        <f>+SUMIFS(Tabla1[Observaciones],Tabla1[Fecha],"&gt;="&amp;$A13,Tabla1[Fecha],"&lt;="&amp;EOMONTH($A13,0),Tabla1[Codigo_actividad],P$4,Tabla1[Actividades],"&lt;&gt;"&amp;"METALOGRAFIAS",Tabla1[Length],P$1)</f>
        <v>0</v>
      </c>
      <c r="Q13" s="310">
        <f>+SUMIFS(Tabla1[Observaciones],Tabla1[Fecha],"&gt;="&amp;$A13,Tabla1[Fecha],"&lt;="&amp;EOMONTH($A13,0),Tabla1[Codigo_actividad],Q$4,Tabla1[Actividades],"&lt;&gt;"&amp;"METALOGRAFIAS",Tabla1[Length],Q$1)</f>
        <v>0</v>
      </c>
      <c r="R13" s="309"/>
      <c r="S13" s="304">
        <f t="shared" si="5"/>
        <v>25.745000000000005</v>
      </c>
      <c r="T13" s="459">
        <f t="shared" si="6"/>
        <v>0</v>
      </c>
      <c r="U13" s="310">
        <f>+SUMIFS(Tabla1[Observaciones],Tabla1[Fecha],"&gt;="&amp;$A13,Tabla1[Fecha],"&lt;="&amp;EOMONTH($A13,0),Tabla1[Codigo_actividad],U$4,Tabla1[Actividades],"&lt;&gt;"&amp;"METALOGRAFIAS",Tabla1[Length],U$1)</f>
        <v>0</v>
      </c>
      <c r="V13" s="310">
        <f>+SUMIFS(Tabla1[Observaciones],Tabla1[Fecha],"&gt;="&amp;$A13,Tabla1[Fecha],"&lt;="&amp;EOMONTH($A13,0),Tabla1[Codigo_actividad],V$4,Tabla1[Actividades],"&lt;&gt;"&amp;"METALOGRAFIAS",Tabla1[Length],V$1)</f>
        <v>0</v>
      </c>
      <c r="W13" s="310">
        <f>+SUMIFS(Tabla1[Observaciones],Tabla1[Fecha],"&gt;="&amp;$A13,Tabla1[Fecha],"&lt;="&amp;EOMONTH($A13,0),Tabla1[Codigo_actividad],W$4,Tabla1[Actividades],"&lt;&gt;"&amp;"METALOGRAFIAS",Tabla1[Length],W$1)</f>
        <v>0</v>
      </c>
      <c r="X13" s="459"/>
      <c r="Y13" s="459"/>
      <c r="Z13" s="459"/>
      <c r="AA13" s="459"/>
    </row>
    <row r="14" spans="1:57" x14ac:dyDescent="0.25">
      <c r="A14" s="222">
        <v>46204</v>
      </c>
      <c r="B14" s="310">
        <f>+SUMIFS(Tabla1[Avance_km],Tabla1[Fecha],"&gt;="&amp;$A14,Tabla1[Fecha],"&lt;="&amp;EOMONTH($A14,0),Tabla1[Codigo_actividad],B$4)*B$3</f>
        <v>105830.39999999999</v>
      </c>
      <c r="C14" s="310">
        <f>+SUMIFS(Tabla1[Avance_km],Tabla1[Fecha],"&gt;="&amp;$A14,Tabla1[Fecha],"&lt;="&amp;EOMONTH($A14,0),Tabla1[Codigo_actividad],C$4)*C$3</f>
        <v>86411.6</v>
      </c>
      <c r="D14" s="310">
        <f>+SUMIFS(Tabla1[Avance_km],Tabla1[Fecha],"&gt;="&amp;$A14,Tabla1[Fecha],"&lt;="&amp;EOMONTH($A14,0),Tabla1[Codigo_actividad],D$4)*D$3</f>
        <v>22136</v>
      </c>
      <c r="E14" s="310">
        <f t="shared" si="1"/>
        <v>0</v>
      </c>
      <c r="F14" s="310">
        <f t="shared" si="2"/>
        <v>0</v>
      </c>
      <c r="G14" s="310">
        <f t="shared" si="3"/>
        <v>0</v>
      </c>
      <c r="H14" s="309"/>
      <c r="I14" s="304">
        <f t="shared" si="4"/>
        <v>214378</v>
      </c>
      <c r="K14" s="222">
        <v>46204</v>
      </c>
      <c r="L14" s="310">
        <f>+SUMIFS(Tabla1[Avance_km],Tabla1[Fecha],"&gt;="&amp;$A14,Tabla1[Fecha],"&lt;="&amp;EOMONTH($A14,0),Tabla1[Codigo_actividad],L$4)</f>
        <v>13.568</v>
      </c>
      <c r="M14" s="310">
        <f>+SUMIFS(Tabla1[Avance_km],Tabla1[Fecha],"&gt;="&amp;$A14,Tabla1[Fecha],"&lt;="&amp;EOMONTH($A14,0),Tabla1[Codigo_actividad],M$4)</f>
        <v>10.538</v>
      </c>
      <c r="N14" s="310">
        <f>+SUMIFS(Tabla1[Avance_km],Tabla1[Fecha],"&gt;="&amp;$A14,Tabla1[Fecha],"&lt;="&amp;EOMONTH($A14,0),Tabla1[Codigo_actividad],N$4)</f>
        <v>13.835000000000001</v>
      </c>
      <c r="O14" s="310">
        <f>+SUMIFS(Tabla1[Observaciones],Tabla1[Fecha],"&gt;="&amp;$A14,Tabla1[Fecha],"&lt;="&amp;EOMONTH($A14,0),Tabla1[Codigo_actividad],O$4,Tabla1[Actividades],"&lt;&gt;"&amp;"METALOGRAFIAS",Tabla1[Length],O$1)</f>
        <v>0</v>
      </c>
      <c r="P14" s="310">
        <f>+SUMIFS(Tabla1[Observaciones],Tabla1[Fecha],"&gt;="&amp;$A14,Tabla1[Fecha],"&lt;="&amp;EOMONTH($A14,0),Tabla1[Codigo_actividad],P$4,Tabla1[Actividades],"&lt;&gt;"&amp;"METALOGRAFIAS",Tabla1[Length],P$1)</f>
        <v>0</v>
      </c>
      <c r="Q14" s="310">
        <f>+SUMIFS(Tabla1[Observaciones],Tabla1[Fecha],"&gt;="&amp;$A14,Tabla1[Fecha],"&lt;="&amp;EOMONTH($A14,0),Tabla1[Codigo_actividad],Q$4,Tabla1[Actividades],"&lt;&gt;"&amp;"METALOGRAFIAS",Tabla1[Length],Q$1)</f>
        <v>0</v>
      </c>
      <c r="R14" s="309"/>
      <c r="S14" s="304">
        <f t="shared" si="5"/>
        <v>37.941000000000003</v>
      </c>
      <c r="T14" s="459">
        <f t="shared" si="6"/>
        <v>0</v>
      </c>
      <c r="U14" s="310">
        <f>+SUMIFS(Tabla1[Observaciones],Tabla1[Fecha],"&gt;="&amp;$A14,Tabla1[Fecha],"&lt;="&amp;EOMONTH($A14,0),Tabla1[Codigo_actividad],U$4,Tabla1[Actividades],"&lt;&gt;"&amp;"METALOGRAFIAS",Tabla1[Length],U$1)</f>
        <v>0</v>
      </c>
      <c r="V14" s="310">
        <f>+SUMIFS(Tabla1[Observaciones],Tabla1[Fecha],"&gt;="&amp;$A14,Tabla1[Fecha],"&lt;="&amp;EOMONTH($A14,0),Tabla1[Codigo_actividad],V$4,Tabla1[Actividades],"&lt;&gt;"&amp;"METALOGRAFIAS",Tabla1[Length],V$1)</f>
        <v>0</v>
      </c>
      <c r="W14" s="310">
        <f>+SUMIFS(Tabla1[Observaciones],Tabla1[Fecha],"&gt;="&amp;$A14,Tabla1[Fecha],"&lt;="&amp;EOMONTH($A14,0),Tabla1[Codigo_actividad],W$4,Tabla1[Actividades],"&lt;&gt;"&amp;"METALOGRAFIAS",Tabla1[Length],W$1)</f>
        <v>0</v>
      </c>
      <c r="X14" s="459"/>
      <c r="Y14" s="459"/>
      <c r="Z14" s="459"/>
      <c r="AA14" s="459"/>
    </row>
    <row r="15" spans="1:57" x14ac:dyDescent="0.25">
      <c r="A15" s="222">
        <v>46235</v>
      </c>
      <c r="B15" s="310">
        <f>+SUMIFS(Tabla1[Avance_km],Tabla1[Fecha],"&gt;="&amp;$A15,Tabla1[Fecha],"&lt;="&amp;EOMONTH($A15,0),Tabla1[Codigo_actividad],B$4)*B$3</f>
        <v>78257.400000000009</v>
      </c>
      <c r="C15" s="310">
        <f>+SUMIFS(Tabla1[Avance_km],Tabla1[Fecha],"&gt;="&amp;$A15,Tabla1[Fecha],"&lt;="&amp;EOMONTH($A15,0),Tabla1[Codigo_actividad],C$4)*C$3</f>
        <v>101639</v>
      </c>
      <c r="D15" s="310">
        <f>+SUMIFS(Tabla1[Avance_km],Tabla1[Fecha],"&gt;="&amp;$A15,Tabla1[Fecha],"&lt;="&amp;EOMONTH($A15,0),Tabla1[Codigo_actividad],D$4)*D$3</f>
        <v>19472</v>
      </c>
      <c r="E15" s="310">
        <f t="shared" si="1"/>
        <v>55735</v>
      </c>
      <c r="F15" s="310">
        <f t="shared" si="2"/>
        <v>0</v>
      </c>
      <c r="G15" s="310">
        <f t="shared" si="3"/>
        <v>0</v>
      </c>
      <c r="H15" s="309"/>
      <c r="I15" s="304">
        <f t="shared" si="4"/>
        <v>255103.40000000002</v>
      </c>
      <c r="K15" s="222">
        <v>46235</v>
      </c>
      <c r="L15" s="310">
        <f>+SUMIFS(Tabla1[Avance_km],Tabla1[Fecha],"&gt;="&amp;$A15,Tabla1[Fecha],"&lt;="&amp;EOMONTH($A15,0),Tabla1[Codigo_actividad],L$4)</f>
        <v>10.033000000000001</v>
      </c>
      <c r="M15" s="310">
        <f>+SUMIFS(Tabla1[Avance_km],Tabla1[Fecha],"&gt;="&amp;$A15,Tabla1[Fecha],"&lt;="&amp;EOMONTH($A15,0),Tabla1[Codigo_actividad],M$4)</f>
        <v>12.395</v>
      </c>
      <c r="N15" s="310">
        <f>+SUMIFS(Tabla1[Avance_km],Tabla1[Fecha],"&gt;="&amp;$A15,Tabla1[Fecha],"&lt;="&amp;EOMONTH($A15,0),Tabla1[Codigo_actividad],N$4)</f>
        <v>12.17</v>
      </c>
      <c r="O15" s="310">
        <f>+SUMIFS(Tabla1[Observaciones],Tabla1[Fecha],"&gt;="&amp;$A15,Tabla1[Fecha],"&lt;="&amp;EOMONTH($A15,0),Tabla1[Codigo_actividad],O$4,Tabla1[Actividades],"&lt;&gt;"&amp;"METALOGRAFIAS",Tabla1[Length],O$1)</f>
        <v>157</v>
      </c>
      <c r="P15" s="310">
        <f>+SUMIFS(Tabla1[Observaciones],Tabla1[Fecha],"&gt;="&amp;$A15,Tabla1[Fecha],"&lt;="&amp;EOMONTH($A15,0),Tabla1[Codigo_actividad],P$4,Tabla1[Actividades],"&lt;&gt;"&amp;"METALOGRAFIAS",Tabla1[Length],P$1)</f>
        <v>0</v>
      </c>
      <c r="Q15" s="310">
        <f>+SUMIFS(Tabla1[Observaciones],Tabla1[Fecha],"&gt;="&amp;$A15,Tabla1[Fecha],"&lt;="&amp;EOMONTH($A15,0),Tabla1[Codigo_actividad],Q$4,Tabla1[Actividades],"&lt;&gt;"&amp;"METALOGRAFIAS",Tabla1[Length],Q$1)</f>
        <v>0</v>
      </c>
      <c r="R15" s="387"/>
      <c r="S15" s="304">
        <f t="shared" si="5"/>
        <v>34.597999999999999</v>
      </c>
      <c r="T15" s="459">
        <f t="shared" si="6"/>
        <v>157</v>
      </c>
      <c r="U15" s="310">
        <f>+SUMIFS(Tabla1[Observaciones],Tabla1[Fecha],"&gt;="&amp;$A15,Tabla1[Fecha],"&lt;="&amp;EOMONTH($A15,0),Tabla1[Codigo_actividad],U$4,Tabla1[Actividades],"&lt;&gt;"&amp;"METALOGRAFIAS",Tabla1[Length],U$1)</f>
        <v>157</v>
      </c>
      <c r="V15" s="310">
        <f>+SUMIFS(Tabla1[Observaciones],Tabla1[Fecha],"&gt;="&amp;$A15,Tabla1[Fecha],"&lt;="&amp;EOMONTH($A15,0),Tabla1[Codigo_actividad],V$4,Tabla1[Actividades],"&lt;&gt;"&amp;"METALOGRAFIAS",Tabla1[Length],V$1)</f>
        <v>0</v>
      </c>
      <c r="W15" s="310">
        <f>+SUMIFS(Tabla1[Observaciones],Tabla1[Fecha],"&gt;="&amp;$A15,Tabla1[Fecha],"&lt;="&amp;EOMONTH($A15,0),Tabla1[Codigo_actividad],W$4,Tabla1[Actividades],"&lt;&gt;"&amp;"METALOGRAFIAS",Tabla1[Length],W$1)</f>
        <v>0</v>
      </c>
      <c r="X15" s="459"/>
      <c r="Y15" s="459"/>
      <c r="Z15" s="459"/>
      <c r="AA15" s="459"/>
    </row>
    <row r="16" spans="1:57" x14ac:dyDescent="0.25">
      <c r="A16" s="222">
        <v>46266</v>
      </c>
      <c r="B16" s="310">
        <f>+SUMIFS(Tabla1[Avance_km],Tabla1[Fecha],"&gt;="&amp;$A16,Tabla1[Fecha],"&lt;="&amp;EOMONTH($A16,0),Tabla1[Codigo_actividad],B$4)*B$3</f>
        <v>83615.999999999985</v>
      </c>
      <c r="C16" s="310">
        <f>+SUMIFS(Tabla1[Avance_km],Tabla1[Fecha],"&gt;="&amp;$A16,Tabla1[Fecha],"&lt;="&amp;EOMONTH($A16,0),Tabla1[Codigo_actividad],C$4)*C$3</f>
        <v>0</v>
      </c>
      <c r="D16" s="310">
        <f>+SUMIFS(Tabla1[Avance_km],Tabla1[Fecha],"&gt;="&amp;$A16,Tabla1[Fecha],"&lt;="&amp;EOMONTH($A16,0),Tabla1[Codigo_actividad],D$4)*D$3</f>
        <v>32112</v>
      </c>
      <c r="E16" s="310">
        <f t="shared" si="1"/>
        <v>71000</v>
      </c>
      <c r="F16" s="310">
        <f t="shared" si="2"/>
        <v>0</v>
      </c>
      <c r="G16" s="310">
        <f t="shared" si="3"/>
        <v>0</v>
      </c>
      <c r="H16" s="309"/>
      <c r="I16" s="304">
        <f t="shared" si="4"/>
        <v>186728</v>
      </c>
      <c r="K16" s="222">
        <v>46266</v>
      </c>
      <c r="L16" s="310">
        <f>+SUMIFS(Tabla1[Avance_km],Tabla1[Fecha],"&gt;="&amp;$A16,Tabla1[Fecha],"&lt;="&amp;EOMONTH($A16,0),Tabla1[Codigo_actividad],L$4)</f>
        <v>10.719999999999999</v>
      </c>
      <c r="M16" s="310">
        <f>+SUMIFS(Tabla1[Avance_km],Tabla1[Fecha],"&gt;="&amp;$A16,Tabla1[Fecha],"&lt;="&amp;EOMONTH($A16,0),Tabla1[Codigo_actividad],M$4)</f>
        <v>0</v>
      </c>
      <c r="N16" s="310">
        <f>+SUMIFS(Tabla1[Avance_km],Tabla1[Fecha],"&gt;="&amp;$A16,Tabla1[Fecha],"&lt;="&amp;EOMONTH($A16,0),Tabla1[Codigo_actividad],N$4)</f>
        <v>20.07</v>
      </c>
      <c r="O16" s="310">
        <f>+SUMIFS(Tabla1[Observaciones],Tabla1[Fecha],"&gt;="&amp;$A16,Tabla1[Fecha],"&lt;="&amp;EOMONTH($A16,0),Tabla1[Codigo_actividad],O$4,Tabla1[Actividades],"&lt;&gt;"&amp;"METALOGRAFIAS",Tabla1[Length],O$1)</f>
        <v>200</v>
      </c>
      <c r="P16" s="310">
        <f>+SUMIFS(Tabla1[Observaciones],Tabla1[Fecha],"&gt;="&amp;$A16,Tabla1[Fecha],"&lt;="&amp;EOMONTH($A16,0),Tabla1[Codigo_actividad],P$4,Tabla1[Actividades],"&lt;&gt;"&amp;"METALOGRAFIAS",Tabla1[Length],P$1)</f>
        <v>0</v>
      </c>
      <c r="Q16" s="310">
        <f>+SUMIFS(Tabla1[Observaciones],Tabla1[Fecha],"&gt;="&amp;$A16,Tabla1[Fecha],"&lt;="&amp;EOMONTH($A16,0),Tabla1[Codigo_actividad],Q$4,Tabla1[Actividades],"&lt;&gt;"&amp;"METALOGRAFIAS",Tabla1[Length],Q$1)</f>
        <v>0</v>
      </c>
      <c r="R16" s="387"/>
      <c r="S16" s="304">
        <f t="shared" si="5"/>
        <v>30.79</v>
      </c>
      <c r="T16" s="459">
        <f t="shared" si="6"/>
        <v>200</v>
      </c>
      <c r="U16" s="310">
        <f>+SUMIFS(Tabla1[Observaciones],Tabla1[Fecha],"&gt;="&amp;$A16,Tabla1[Fecha],"&lt;="&amp;EOMONTH($A16,0),Tabla1[Codigo_actividad],U$4,Tabla1[Actividades],"&lt;&gt;"&amp;"METALOGRAFIAS",Tabla1[Length],U$1)</f>
        <v>200</v>
      </c>
      <c r="V16" s="310">
        <f>+SUMIFS(Tabla1[Observaciones],Tabla1[Fecha],"&gt;="&amp;$A16,Tabla1[Fecha],"&lt;="&amp;EOMONTH($A16,0),Tabla1[Codigo_actividad],V$4,Tabla1[Actividades],"&lt;&gt;"&amp;"METALOGRAFIAS",Tabla1[Length],V$1)</f>
        <v>0</v>
      </c>
      <c r="W16" s="310">
        <f>+SUMIFS(Tabla1[Observaciones],Tabla1[Fecha],"&gt;="&amp;$A16,Tabla1[Fecha],"&lt;="&amp;EOMONTH($A16,0),Tabla1[Codigo_actividad],W$4,Tabla1[Actividades],"&lt;&gt;"&amp;"METALOGRAFIAS",Tabla1[Length],W$1)</f>
        <v>0</v>
      </c>
      <c r="X16" s="459"/>
      <c r="Y16" s="459"/>
      <c r="Z16" s="459"/>
      <c r="AA16" s="459"/>
      <c r="BE16"/>
    </row>
    <row r="17" spans="1:65" x14ac:dyDescent="0.25">
      <c r="A17" s="222">
        <v>46296</v>
      </c>
      <c r="B17" s="310">
        <f>+SUMIFS(Tabla1[Avance_km],Tabla1[Fecha],"&gt;="&amp;$A17,Tabla1[Fecha],"&lt;="&amp;EOMONTH($A17,0),Tabla1[Codigo_actividad],B$4)*B$3</f>
        <v>129710.1</v>
      </c>
      <c r="C17" s="310">
        <f>+SUMIFS(Tabla1[Avance_km],Tabla1[Fecha],"&gt;="&amp;$A17,Tabla1[Fecha],"&lt;="&amp;EOMONTH($A17,0),Tabla1[Codigo_actividad],C$4)*C$3</f>
        <v>13320.899999999994</v>
      </c>
      <c r="D17" s="310">
        <f>+SUMIFS(Tabla1[Avance_km],Tabla1[Fecha],"&gt;="&amp;$A17,Tabla1[Fecha],"&lt;="&amp;EOMONTH($A17,0),Tabla1[Codigo_actividad],D$4)*D$3</f>
        <v>10248.799999999999</v>
      </c>
      <c r="E17" s="310">
        <f>+O17*$E$3</f>
        <v>0</v>
      </c>
      <c r="F17" s="310">
        <f t="shared" si="2"/>
        <v>220500</v>
      </c>
      <c r="G17" s="310">
        <f t="shared" si="3"/>
        <v>59000</v>
      </c>
      <c r="H17" s="309"/>
      <c r="I17" s="304">
        <f t="shared" si="4"/>
        <v>432779.8</v>
      </c>
      <c r="K17" s="222">
        <v>46296</v>
      </c>
      <c r="L17" s="310">
        <f>+SUMIFS(Tabla1[Avance_km],Tabla1[Fecha],"&gt;="&amp;$A17,Tabla1[Fecha],"&lt;="&amp;EOMONTH($A17,0),Tabla1[Codigo_actividad],L$4)</f>
        <v>16.6295</v>
      </c>
      <c r="M17" s="310">
        <f>+SUMIFS(Tabla1[Avance_km],Tabla1[Fecha],"&gt;="&amp;$A17,Tabla1[Fecha],"&lt;="&amp;EOMONTH($A17,0),Tabla1[Codigo_actividad],M$4)</f>
        <v>1.6244999999999994</v>
      </c>
      <c r="N17" s="310">
        <f>+SUMIFS(Tabla1[Avance_km],Tabla1[Fecha],"&gt;="&amp;$A17,Tabla1[Fecha],"&lt;="&amp;EOMONTH($A17,0),Tabla1[Codigo_actividad],N$4)</f>
        <v>6.4055</v>
      </c>
      <c r="O17" s="310">
        <f>+SUMIFS(Tabla1[Observaciones],Tabla1[Fecha],"&gt;="&amp;$A17,Tabla1[Fecha],"&lt;="&amp;EOMONTH($A17,0),Tabla1[Codigo_actividad],O$4,Tabla1[Actividades],"&lt;&gt;"&amp;"METALOGRAFIAS",Tabla1[Length],O$1)</f>
        <v>0</v>
      </c>
      <c r="P17" s="310">
        <f>+SUMIFS(Tabla1[Observaciones],Tabla1[Fecha],"&gt;="&amp;$A17,Tabla1[Fecha],"&lt;="&amp;EOMONTH($A17,0),Tabla1[Codigo_actividad],P$4,Tabla1[Actividades],"&lt;&gt;"&amp;"METALOGRAFIAS",Tabla1[Length],P$1)</f>
        <v>147</v>
      </c>
      <c r="Q17" s="310">
        <f>+SUMIFS(Tabla1[Observaciones],Tabla1[Fecha],"&gt;="&amp;$A17,Tabla1[Fecha],"&lt;="&amp;EOMONTH($A17,0),Tabla1[Codigo_actividad],Q$4,Tabla1[Actividades],"&lt;&gt;"&amp;"METALOGRAFIAS",Tabla1[Length],Q$1)</f>
        <v>200</v>
      </c>
      <c r="R17" s="387"/>
      <c r="S17" s="304">
        <f>SUM(L17:N17)</f>
        <v>24.659499999999998</v>
      </c>
      <c r="T17" s="459">
        <f t="shared" si="6"/>
        <v>347</v>
      </c>
      <c r="U17" s="310">
        <f>+SUMIFS(Tabla1[Observaciones],Tabla1[Fecha],"&gt;="&amp;$A17,Tabla1[Fecha],"&lt;="&amp;EOMONTH($A17,0),Tabla1[Codigo_actividad],U$4,Tabla1[Actividades],"&lt;&gt;"&amp;"METALOGRAFIAS",Tabla1[Length],U$1)</f>
        <v>0</v>
      </c>
      <c r="V17" s="310">
        <f>+SUMIFS(Tabla1[Observaciones],Tabla1[Fecha],"&gt;="&amp;$A17,Tabla1[Fecha],"&lt;="&amp;EOMONTH($A17,0),Tabla1[Codigo_actividad],V$4,Tabla1[Actividades],"&lt;&gt;"&amp;"METALOGRAFIAS",Tabla1[Length],V$1)</f>
        <v>147</v>
      </c>
      <c r="W17" s="310">
        <f>+SUMIFS(Tabla1[Observaciones],Tabla1[Fecha],"&gt;="&amp;$A17,Tabla1[Fecha],"&lt;="&amp;EOMONTH($A17,0),Tabla1[Codigo_actividad],W$4,Tabla1[Actividades],"&lt;&gt;"&amp;"METALOGRAFIAS",Tabla1[Length],W$1)</f>
        <v>200</v>
      </c>
      <c r="X17" s="459"/>
      <c r="Y17" s="459"/>
      <c r="Z17" s="459"/>
      <c r="AA17" s="459"/>
      <c r="BE17"/>
    </row>
    <row r="18" spans="1:65" x14ac:dyDescent="0.25">
      <c r="A18" s="222">
        <v>46327</v>
      </c>
      <c r="B18" s="310">
        <f>+SUMIFS(Tabla1[Avance_km],Tabla1[Fecha],"&gt;="&amp;$A18,Tabla1[Fecha],"&lt;="&amp;EOMONTH($A18,0),Tabla1[Codigo_actividad],B$4)*B$3</f>
        <v>0</v>
      </c>
      <c r="C18" s="310">
        <f>+SUMIFS(Tabla1[Avance_km],Tabla1[Fecha],"&gt;="&amp;$A18,Tabla1[Fecha],"&lt;="&amp;EOMONTH($A18,0),Tabla1[Codigo_actividad],C$4)*C$3</f>
        <v>0</v>
      </c>
      <c r="D18" s="310">
        <f>+SUMIFS(Tabla1[Avance_km],Tabla1[Fecha],"&gt;="&amp;$A18,Tabla1[Fecha],"&lt;="&amp;EOMONTH($A18,0),Tabla1[Codigo_actividad],D$4)*D$3</f>
        <v>0</v>
      </c>
      <c r="E18" s="310">
        <f t="shared" si="1"/>
        <v>0</v>
      </c>
      <c r="F18" s="310">
        <f t="shared" si="2"/>
        <v>0</v>
      </c>
      <c r="G18" s="310">
        <f t="shared" si="3"/>
        <v>0</v>
      </c>
      <c r="H18" s="309"/>
      <c r="I18" s="304">
        <f t="shared" si="4"/>
        <v>0</v>
      </c>
      <c r="K18" s="222">
        <v>46327</v>
      </c>
      <c r="L18" s="310">
        <f>+SUMIFS(Tabla1[Avance_km],Tabla1[Fecha],"&gt;="&amp;$A18,Tabla1[Fecha],"&lt;="&amp;EOMONTH($A18,0),Tabla1[Codigo_actividad],L$4)</f>
        <v>0</v>
      </c>
      <c r="M18" s="310">
        <f>+SUMIFS(Tabla1[Avance_km],Tabla1[Fecha],"&gt;="&amp;$A18,Tabla1[Fecha],"&lt;="&amp;EOMONTH($A18,0),Tabla1[Codigo_actividad],M$4)</f>
        <v>0</v>
      </c>
      <c r="N18" s="310">
        <f>+SUMIFS(Tabla1[Avance_km],Tabla1[Fecha],"&gt;="&amp;$A18,Tabla1[Fecha],"&lt;="&amp;EOMONTH($A18,0),Tabla1[Codigo_actividad],N$4)</f>
        <v>0</v>
      </c>
      <c r="O18" s="310">
        <f>+SUMIFS(Tabla1[Observaciones],Tabla1[Fecha],"&gt;="&amp;$A18,Tabla1[Fecha],"&lt;="&amp;EOMONTH($A18,0),Tabla1[Codigo_actividad],O$4,Tabla1[Actividades],"&lt;&gt;"&amp;"METALOGRAFIAS",Tabla1[Length],O$1)</f>
        <v>0</v>
      </c>
      <c r="P18" s="310">
        <f>+SUMIFS(Tabla1[Observaciones],Tabla1[Fecha],"&gt;="&amp;$A18,Tabla1[Fecha],"&lt;="&amp;EOMONTH($A18,0),Tabla1[Codigo_actividad],P$4,Tabla1[Actividades],"&lt;&gt;"&amp;"METALOGRAFIAS",Tabla1[Length],P$1)</f>
        <v>0</v>
      </c>
      <c r="Q18" s="310">
        <f>+SUMIFS(Tabla1[Observaciones],Tabla1[Fecha],"&gt;="&amp;$A18,Tabla1[Fecha],"&lt;="&amp;EOMONTH($A18,0),Tabla1[Codigo_actividad],Q$4,Tabla1[Actividades],"&lt;&gt;"&amp;"METALOGRAFIAS",Tabla1[Length],Q$1)</f>
        <v>0</v>
      </c>
      <c r="R18" s="309"/>
      <c r="S18" s="304">
        <f t="shared" si="5"/>
        <v>0</v>
      </c>
      <c r="T18" s="459">
        <f t="shared" si="6"/>
        <v>0</v>
      </c>
      <c r="U18" s="310">
        <f>+SUMIFS(Tabla1[Observaciones],Tabla1[Fecha],"&gt;="&amp;$A18,Tabla1[Fecha],"&lt;="&amp;EOMONTH($A18,0),Tabla1[Codigo_actividad],U$4,Tabla1[Actividades],"&lt;&gt;"&amp;"METALOGRAFIAS",Tabla1[Length],U$1)</f>
        <v>0</v>
      </c>
      <c r="V18" s="310">
        <f>+SUMIFS(Tabla1[Observaciones],Tabla1[Fecha],"&gt;="&amp;$A18,Tabla1[Fecha],"&lt;="&amp;EOMONTH($A18,0),Tabla1[Codigo_actividad],V$4,Tabla1[Actividades],"&lt;&gt;"&amp;"METALOGRAFIAS",Tabla1[Length],V$1)</f>
        <v>0</v>
      </c>
      <c r="W18" s="310">
        <f>+SUMIFS(Tabla1[Observaciones],Tabla1[Fecha],"&gt;="&amp;$A18,Tabla1[Fecha],"&lt;="&amp;EOMONTH($A18,0),Tabla1[Codigo_actividad],W$4,Tabla1[Actividades],"&lt;&gt;"&amp;"METALOGRAFIAS",Tabla1[Length],W$1)</f>
        <v>0</v>
      </c>
      <c r="X18" s="459"/>
      <c r="Y18" s="459"/>
      <c r="Z18" s="459"/>
      <c r="AA18" s="459"/>
      <c r="BE18"/>
    </row>
    <row r="19" spans="1:65" x14ac:dyDescent="0.25">
      <c r="A19" s="222">
        <v>46357</v>
      </c>
      <c r="B19" s="310">
        <f>+SUMIFS(Tabla1[Avance_km],Tabla1[Fecha],"&gt;="&amp;$A19,Tabla1[Fecha],"&lt;="&amp;EOMONTH($A19,0),Tabla1[Codigo_actividad],B$4)*B$3</f>
        <v>0</v>
      </c>
      <c r="C19" s="310">
        <f>+SUMIFS(Tabla1[Avance_km],Tabla1[Fecha],"&gt;="&amp;$A19,Tabla1[Fecha],"&lt;="&amp;EOMONTH($A19,0),Tabla1[Codigo_actividad],C$4)*C$3</f>
        <v>0</v>
      </c>
      <c r="D19" s="310">
        <f>+SUMIFS(Tabla1[Avance_km],Tabla1[Fecha],"&gt;="&amp;$A19,Tabla1[Fecha],"&lt;="&amp;EOMONTH($A19,0),Tabla1[Codigo_actividad],D$4)*D$3</f>
        <v>0</v>
      </c>
      <c r="E19" s="310">
        <f t="shared" si="1"/>
        <v>0</v>
      </c>
      <c r="F19" s="310">
        <f t="shared" si="2"/>
        <v>0</v>
      </c>
      <c r="G19" s="310">
        <f t="shared" si="3"/>
        <v>0</v>
      </c>
      <c r="H19" s="309"/>
      <c r="I19" s="304">
        <f t="shared" si="4"/>
        <v>0</v>
      </c>
      <c r="K19" s="222">
        <v>46357</v>
      </c>
      <c r="L19" s="310">
        <f>+SUMIFS(Tabla1[Avance_km],Tabla1[Fecha],"&gt;="&amp;$A19,Tabla1[Fecha],"&lt;="&amp;EOMONTH($A19,0),Tabla1[Codigo_actividad],L$4)</f>
        <v>0</v>
      </c>
      <c r="M19" s="310">
        <f>+SUMIFS(Tabla1[Avance_km],Tabla1[Fecha],"&gt;="&amp;$A19,Tabla1[Fecha],"&lt;="&amp;EOMONTH($A19,0),Tabla1[Codigo_actividad],M$4)</f>
        <v>0</v>
      </c>
      <c r="N19" s="310">
        <f>+SUMIFS(Tabla1[Avance_km],Tabla1[Fecha],"&gt;="&amp;$A19,Tabla1[Fecha],"&lt;="&amp;EOMONTH($A19,0),Tabla1[Codigo_actividad],N$4)</f>
        <v>0</v>
      </c>
      <c r="O19" s="310">
        <f>+SUMIFS(Tabla1[Observaciones],Tabla1[Fecha],"&gt;="&amp;$A19,Tabla1[Fecha],"&lt;="&amp;EOMONTH($A19,0),Tabla1[Codigo_actividad],O$4,Tabla1[Actividades],"&lt;&gt;"&amp;"METALOGRAFIAS",Tabla1[Length],O$1)</f>
        <v>0</v>
      </c>
      <c r="P19" s="310">
        <f>+SUMIFS(Tabla1[Observaciones],Tabla1[Fecha],"&gt;="&amp;$A19,Tabla1[Fecha],"&lt;="&amp;EOMONTH($A19,0),Tabla1[Codigo_actividad],P$4,Tabla1[Actividades],"&lt;&gt;"&amp;"METALOGRAFIAS",Tabla1[Length],P$1)</f>
        <v>0</v>
      </c>
      <c r="Q19" s="310">
        <f>+SUMIFS(Tabla1[Observaciones],Tabla1[Fecha],"&gt;="&amp;$A19,Tabla1[Fecha],"&lt;="&amp;EOMONTH($A19,0),Tabla1[Codigo_actividad],Q$4,Tabla1[Actividades],"&lt;&gt;"&amp;"METALOGRAFIAS",Tabla1[Length],Q$1)</f>
        <v>0</v>
      </c>
      <c r="R19" s="309"/>
      <c r="S19" s="304">
        <f t="shared" si="5"/>
        <v>0</v>
      </c>
      <c r="T19" s="459">
        <f t="shared" si="6"/>
        <v>0</v>
      </c>
      <c r="U19" s="310">
        <f>+SUMIFS(Tabla1[Observaciones],Tabla1[Fecha],"&gt;="&amp;$A19,Tabla1[Fecha],"&lt;="&amp;EOMONTH($A19,0),Tabla1[Codigo_actividad],U$4,Tabla1[Actividades],"&lt;&gt;"&amp;"METALOGRAFIAS",Tabla1[Length],U$1)</f>
        <v>0</v>
      </c>
      <c r="V19" s="310">
        <f>+SUMIFS(Tabla1[Observaciones],Tabla1[Fecha],"&gt;="&amp;$A19,Tabla1[Fecha],"&lt;="&amp;EOMONTH($A19,0),Tabla1[Codigo_actividad],V$4,Tabla1[Actividades],"&lt;&gt;"&amp;"METALOGRAFIAS",Tabla1[Length],V$1)</f>
        <v>0</v>
      </c>
      <c r="W19" s="310">
        <f>+SUMIFS(Tabla1[Observaciones],Tabla1[Fecha],"&gt;="&amp;$A19,Tabla1[Fecha],"&lt;="&amp;EOMONTH($A19,0),Tabla1[Codigo_actividad],W$4,Tabla1[Actividades],"&lt;&gt;"&amp;"METALOGRAFIAS",Tabla1[Length],W$1)</f>
        <v>0</v>
      </c>
      <c r="X19" s="459"/>
      <c r="Y19" s="459"/>
      <c r="Z19" s="459"/>
      <c r="AA19" s="459"/>
    </row>
    <row r="20" spans="1:65" ht="30" x14ac:dyDescent="0.25">
      <c r="A20" s="398" t="s">
        <v>507</v>
      </c>
      <c r="I20" s="305">
        <f>SUM(I5:I19)</f>
        <v>1849094.8000000005</v>
      </c>
      <c r="K20" s="61" t="s">
        <v>453</v>
      </c>
      <c r="L20" s="399">
        <f>SUM(L6:L19)</f>
        <v>182.43750000000003</v>
      </c>
      <c r="M20" s="399">
        <f>SUM(M6:M19)</f>
        <v>148.92450000000002</v>
      </c>
      <c r="N20" s="399">
        <f>SUM(N6:N19)</f>
        <v>186.66649999999998</v>
      </c>
      <c r="O20" s="470">
        <f>SUM(O6:O19)</f>
        <v>357</v>
      </c>
      <c r="P20" s="458">
        <f t="shared" ref="P20:Q20" si="7">SUM(P6:P19)</f>
        <v>147</v>
      </c>
      <c r="Q20" s="458">
        <f t="shared" si="7"/>
        <v>200</v>
      </c>
      <c r="S20" s="305">
        <f>SUM(S6:S19)</f>
        <v>518.02850000000001</v>
      </c>
      <c r="T20" s="460">
        <f>SUM(T6:T19)</f>
        <v>704</v>
      </c>
      <c r="U20" s="470">
        <f>SUM(U6:U19)</f>
        <v>357</v>
      </c>
      <c r="V20" s="458">
        <f t="shared" ref="V20:W20" si="8">SUM(V6:V19)</f>
        <v>147</v>
      </c>
      <c r="W20" s="458">
        <f t="shared" si="8"/>
        <v>200</v>
      </c>
      <c r="X20" s="460"/>
      <c r="Y20" s="460"/>
      <c r="Z20" s="460"/>
      <c r="AA20" s="460"/>
    </row>
    <row r="21" spans="1:65" x14ac:dyDescent="0.25">
      <c r="A21"/>
      <c r="B21" s="306">
        <f t="shared" ref="B21:G21" si="9">SUM(B6:B19)</f>
        <v>1423012.5</v>
      </c>
      <c r="C21" s="306">
        <f t="shared" si="9"/>
        <v>1221180.8999999999</v>
      </c>
      <c r="D21" s="306">
        <f t="shared" si="9"/>
        <v>298666.40000000008</v>
      </c>
      <c r="E21" s="306">
        <f t="shared" si="9"/>
        <v>126735</v>
      </c>
      <c r="F21" s="306">
        <f t="shared" si="9"/>
        <v>220500</v>
      </c>
      <c r="G21" s="306">
        <f t="shared" si="9"/>
        <v>59000</v>
      </c>
      <c r="H21" s="223"/>
      <c r="I21" s="304">
        <f>+IF(SUM(I6:I19)=SUM(B21:G21),SUM(I6:I19),"Diferencia en los montos")</f>
        <v>3349094.8</v>
      </c>
      <c r="K21"/>
      <c r="R21" s="223"/>
      <c r="S21" s="304">
        <f>+IF(SUM(S6:S19)=SUM(L20:N20),SUM(S6:S19))</f>
        <v>518.02850000000001</v>
      </c>
    </row>
    <row r="22" spans="1:65" x14ac:dyDescent="0.25">
      <c r="A22"/>
      <c r="B22"/>
      <c r="C22"/>
      <c r="L22" s="395"/>
      <c r="M22" s="395"/>
      <c r="N22" s="395"/>
      <c r="O22" s="395"/>
      <c r="P22" s="395"/>
      <c r="Q22" s="395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3"/>
      <c r="D23"/>
      <c r="E23"/>
      <c r="F23"/>
      <c r="G23"/>
      <c r="H23"/>
      <c r="I23"/>
      <c r="J23"/>
      <c r="K23" s="323"/>
      <c r="L23" s="223"/>
      <c r="M23" s="223"/>
      <c r="N23" s="223"/>
      <c r="O23" s="223"/>
      <c r="P23" s="223"/>
      <c r="Q23" s="2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88"/>
      <c r="C24" s="288"/>
      <c r="D24" s="288"/>
      <c r="E24" s="288"/>
      <c r="F24" s="288"/>
      <c r="G24" s="288"/>
      <c r="H24" s="288"/>
      <c r="I24" s="288"/>
      <c r="J24" s="288"/>
      <c r="K24" s="288"/>
      <c r="L24" s="616"/>
      <c r="M24" s="616"/>
      <c r="N24" s="616"/>
      <c r="O24" s="257"/>
      <c r="P24" s="257"/>
      <c r="Q24" s="257"/>
      <c r="R24" s="257"/>
      <c r="S24" s="288"/>
      <c r="T24" s="257"/>
      <c r="U24" s="257"/>
      <c r="V24" s="257"/>
      <c r="W24" s="257"/>
      <c r="X24" s="257"/>
      <c r="Y24" s="257"/>
      <c r="Z24" s="257"/>
      <c r="AA24" s="257"/>
      <c r="AB24" s="257"/>
      <c r="AC24" s="257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3"/>
      <c r="M25" s="223"/>
      <c r="N25" s="223"/>
      <c r="O25" s="223"/>
      <c r="P25" s="223"/>
      <c r="Q25" s="223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2">
        <v>45962</v>
      </c>
      <c r="B26" s="303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2">
        <v>45992</v>
      </c>
      <c r="B27" s="303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2">
        <v>46023</v>
      </c>
      <c r="B28" s="303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17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2">
        <v>46054</v>
      </c>
      <c r="B29" s="303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2">
        <v>46082</v>
      </c>
      <c r="B30" s="303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2">
        <v>46113</v>
      </c>
      <c r="B31" s="303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2">
        <v>46143</v>
      </c>
      <c r="B32" s="303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2">
        <v>46174</v>
      </c>
      <c r="B33" s="303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2">
        <v>46204</v>
      </c>
      <c r="B34" s="303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2">
        <v>46235</v>
      </c>
      <c r="B35" s="303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2">
        <v>46266</v>
      </c>
      <c r="B36" s="303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2">
        <v>46296</v>
      </c>
      <c r="B37" s="303">
        <f t="shared" si="10"/>
        <v>432779.8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08">
        <f>SUM(B26:B37)</f>
        <v>3349094.8</v>
      </c>
      <c r="C38" s="289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17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06">
        <v>1500000</v>
      </c>
      <c r="E76" s="406"/>
      <c r="F76" s="406"/>
      <c r="G76" s="406"/>
      <c r="H76"/>
      <c r="I76"/>
      <c r="J76"/>
      <c r="K76"/>
      <c r="L76"/>
    </row>
    <row r="77" spans="1:12" x14ac:dyDescent="0.25">
      <c r="A77"/>
      <c r="B77"/>
      <c r="C77"/>
      <c r="D77" s="406">
        <f>+D76/1.16</f>
        <v>1293103.4482758623</v>
      </c>
      <c r="E77" s="406"/>
      <c r="F77" s="406"/>
      <c r="G77" s="406"/>
      <c r="H77" t="s">
        <v>515</v>
      </c>
      <c r="I77"/>
      <c r="J77"/>
      <c r="K77"/>
      <c r="L77"/>
    </row>
    <row r="78" spans="1:12" x14ac:dyDescent="0.25">
      <c r="A78"/>
      <c r="B78"/>
      <c r="C78"/>
      <c r="D78" s="406">
        <f>+D77*0.16</f>
        <v>206896.55172413797</v>
      </c>
      <c r="E78" s="406"/>
      <c r="F78" s="406"/>
      <c r="G78" s="406"/>
      <c r="H78" t="s">
        <v>514</v>
      </c>
      <c r="I78"/>
      <c r="J78"/>
      <c r="K78"/>
      <c r="L78"/>
    </row>
    <row r="79" spans="1:12" x14ac:dyDescent="0.25">
      <c r="A79"/>
      <c r="B79"/>
      <c r="C79"/>
      <c r="D79" s="406">
        <f>+D77+D78</f>
        <v>1500000.0000000002</v>
      </c>
      <c r="E79" s="406"/>
      <c r="F79" s="406"/>
      <c r="G79" s="406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31" priority="5" stopIfTrue="1">
      <formula>B6=0</formula>
    </cfRule>
    <cfRule type="expression" dxfId="30" priority="6">
      <formula>IF(MONTH($A6)=MONTH(TODAY()),"VERDADERO","FALSO")</formula>
    </cfRule>
  </conditionalFormatting>
  <conditionalFormatting sqref="L6:Q19">
    <cfRule type="expression" dxfId="29" priority="7" stopIfTrue="1">
      <formula>L6=0</formula>
    </cfRule>
    <cfRule type="expression" dxfId="28" priority="8">
      <formula>IF(MONTH($A6)=MONTH(TODAY()),"VERDADERO","FALSO")</formula>
    </cfRule>
  </conditionalFormatting>
  <conditionalFormatting sqref="U6:W19">
    <cfRule type="expression" dxfId="27" priority="1" stopIfTrue="1">
      <formula>U6=0</formula>
    </cfRule>
    <cfRule type="expression" dxfId="2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topLeftCell="A7" zoomScale="85" zoomScaleNormal="85" zoomScaleSheetLayoutView="85" workbookViewId="0">
      <selection activeCell="BF19" sqref="BF19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3"/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33"/>
      <c r="AS1" s="133"/>
      <c r="AT1" s="133"/>
      <c r="AU1" s="133"/>
      <c r="AV1" s="133"/>
      <c r="AW1" s="133"/>
      <c r="AX1" s="133"/>
      <c r="AY1" s="133"/>
      <c r="AZ1" s="133"/>
      <c r="BA1" s="133"/>
      <c r="BB1" s="133"/>
      <c r="BC1" s="133"/>
      <c r="BD1" s="133"/>
      <c r="BE1" s="133"/>
      <c r="BF1" s="133"/>
      <c r="BG1" s="133"/>
      <c r="BH1" s="133"/>
      <c r="BI1" s="133"/>
      <c r="BJ1" s="133"/>
      <c r="BK1" s="133"/>
      <c r="BL1" s="133"/>
      <c r="BM1" s="133"/>
      <c r="BN1" s="133"/>
      <c r="BO1" s="133"/>
      <c r="BP1" s="133"/>
      <c r="BQ1" s="133"/>
      <c r="BR1" s="133"/>
      <c r="BS1" s="133"/>
      <c r="BT1" s="133"/>
      <c r="BU1" s="133"/>
      <c r="BV1" s="133"/>
      <c r="BW1" s="133"/>
    </row>
    <row r="2" spans="1:75" x14ac:dyDescent="0.25">
      <c r="A2" s="133"/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</row>
    <row r="3" spans="1:75" x14ac:dyDescent="0.25">
      <c r="A3" s="133"/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3"/>
      <c r="AP3" s="133"/>
      <c r="AQ3" s="133"/>
      <c r="AR3" s="133"/>
      <c r="AS3" s="133"/>
      <c r="AT3" s="133"/>
      <c r="AU3" s="133"/>
      <c r="AV3" s="133"/>
      <c r="AW3" s="133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3"/>
      <c r="BR3" s="133"/>
      <c r="BS3" s="133"/>
      <c r="BT3" s="133"/>
      <c r="BU3" s="133"/>
      <c r="BV3" s="133"/>
      <c r="BW3" s="133"/>
    </row>
    <row r="4" spans="1:75" x14ac:dyDescent="0.25">
      <c r="A4" s="133"/>
      <c r="B4" s="133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3"/>
      <c r="BL4" s="133"/>
      <c r="BM4" s="133"/>
      <c r="BN4" s="133"/>
      <c r="BO4" s="133"/>
      <c r="BP4" s="133"/>
      <c r="BQ4" s="133"/>
      <c r="BR4" s="133"/>
      <c r="BS4" s="133"/>
      <c r="BT4" s="133"/>
      <c r="BU4" s="133"/>
      <c r="BV4" s="133"/>
      <c r="BW4" s="133"/>
    </row>
    <row r="5" spans="1:75" x14ac:dyDescent="0.25">
      <c r="A5" s="133"/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33"/>
      <c r="AP5" s="133"/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</row>
    <row r="6" spans="1:75" x14ac:dyDescent="0.25">
      <c r="A6" s="133"/>
      <c r="B6" s="133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  <c r="AJ6" s="133"/>
      <c r="AK6" s="133"/>
      <c r="AL6" s="133"/>
      <c r="AM6" s="133"/>
      <c r="AN6" s="133"/>
      <c r="AO6" s="133"/>
      <c r="AP6" s="133"/>
      <c r="AQ6" s="133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3"/>
      <c r="BD6" s="133"/>
      <c r="BE6" s="133"/>
      <c r="BF6" s="133"/>
      <c r="BG6" s="133"/>
      <c r="BH6" s="133"/>
      <c r="BI6" s="133"/>
      <c r="BJ6" s="133"/>
      <c r="BK6" s="133"/>
      <c r="BL6" s="133"/>
      <c r="BM6" s="133"/>
      <c r="BN6" s="133"/>
      <c r="BO6" s="133"/>
      <c r="BP6" s="133"/>
      <c r="BQ6" s="133"/>
      <c r="BR6" s="133"/>
      <c r="BS6" s="133"/>
      <c r="BT6" s="133"/>
      <c r="BU6" s="133"/>
      <c r="BV6" s="133"/>
      <c r="BW6" s="133"/>
    </row>
    <row r="7" spans="1:75" x14ac:dyDescent="0.25">
      <c r="A7" s="133"/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33"/>
      <c r="AM7" s="133"/>
      <c r="AN7" s="133"/>
      <c r="AO7" s="133"/>
      <c r="AP7" s="133"/>
      <c r="AQ7" s="133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</row>
    <row r="8" spans="1:75" x14ac:dyDescent="0.25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  <c r="AN8" s="133"/>
      <c r="AO8" s="133"/>
      <c r="AP8" s="133"/>
      <c r="AQ8" s="133"/>
      <c r="AR8" s="133"/>
      <c r="AS8" s="133"/>
      <c r="AT8" s="133"/>
      <c r="AU8" s="133"/>
      <c r="AV8" s="133"/>
      <c r="AW8" s="133"/>
      <c r="AX8" s="133"/>
      <c r="AY8" s="133"/>
      <c r="AZ8" s="133"/>
      <c r="BA8" s="133"/>
      <c r="BB8" s="133"/>
      <c r="BC8" s="133"/>
      <c r="BD8" s="133"/>
      <c r="BE8" s="133"/>
      <c r="BF8" s="133"/>
      <c r="BG8" s="133"/>
      <c r="BH8" s="133"/>
      <c r="BI8" s="133"/>
      <c r="BJ8" s="133"/>
      <c r="BK8" s="133"/>
      <c r="BL8" s="133"/>
      <c r="BM8" s="133"/>
      <c r="BN8" s="133"/>
      <c r="BO8" s="133"/>
      <c r="BP8" s="133"/>
      <c r="BQ8" s="133"/>
      <c r="BR8" s="133"/>
      <c r="BS8" s="133"/>
      <c r="BT8" s="133"/>
      <c r="BU8" s="133"/>
      <c r="BV8" s="133"/>
      <c r="BW8" s="133"/>
    </row>
    <row r="9" spans="1:75" x14ac:dyDescent="0.25">
      <c r="A9" s="133"/>
      <c r="B9" s="133"/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3"/>
      <c r="AN9" s="133"/>
      <c r="AO9" s="133"/>
      <c r="AP9" s="133"/>
      <c r="AQ9" s="133"/>
      <c r="AR9" s="133"/>
      <c r="AS9" s="133"/>
      <c r="AT9" s="133"/>
      <c r="AU9" s="133"/>
      <c r="AV9" s="133"/>
      <c r="AW9" s="133"/>
      <c r="AX9" s="133"/>
      <c r="AY9" s="133"/>
      <c r="AZ9" s="133"/>
      <c r="BA9" s="133"/>
      <c r="BB9" s="133"/>
      <c r="BC9" s="133"/>
      <c r="BD9" s="133"/>
      <c r="BE9" s="133"/>
      <c r="BF9" s="133"/>
      <c r="BG9" s="133"/>
      <c r="BH9" s="133"/>
      <c r="BI9" s="133"/>
      <c r="BJ9" s="133"/>
      <c r="BK9" s="133"/>
      <c r="BL9" s="133"/>
      <c r="BM9" s="133"/>
      <c r="BN9" s="133"/>
      <c r="BO9" s="133"/>
      <c r="BP9" s="133"/>
      <c r="BQ9" s="133"/>
      <c r="BR9" s="133"/>
      <c r="BS9" s="133"/>
      <c r="BT9" s="133"/>
      <c r="BU9" s="133"/>
      <c r="BV9" s="133"/>
      <c r="BW9" s="133"/>
    </row>
    <row r="10" spans="1:75" x14ac:dyDescent="0.25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  <c r="AN10" s="133"/>
      <c r="AO10" s="133"/>
      <c r="AP10" s="133"/>
      <c r="AQ10" s="133"/>
      <c r="AR10" s="133"/>
      <c r="AS10" s="133"/>
      <c r="AT10" s="133"/>
      <c r="AU10" s="133"/>
      <c r="AV10" s="133"/>
      <c r="AW10" s="133"/>
      <c r="AX10" s="133"/>
      <c r="AY10" s="133"/>
      <c r="AZ10" s="133"/>
      <c r="BA10" s="133"/>
      <c r="BB10" s="133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</row>
    <row r="11" spans="1:75" x14ac:dyDescent="0.25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  <c r="AN11" s="133"/>
      <c r="AO11" s="133"/>
      <c r="AP11" s="133"/>
      <c r="AQ11" s="133"/>
      <c r="AR11" s="133"/>
      <c r="AS11" s="133"/>
      <c r="AT11" s="133"/>
      <c r="AU11" s="133"/>
      <c r="AV11" s="133"/>
      <c r="AW11" s="133"/>
      <c r="AX11" s="133"/>
      <c r="AY11" s="133"/>
      <c r="AZ11" s="133"/>
      <c r="BA11" s="133"/>
      <c r="BB11" s="133"/>
      <c r="BC11" s="133"/>
      <c r="BD11" s="133"/>
      <c r="BE11" s="133"/>
      <c r="BF11" s="133"/>
      <c r="BG11" s="133"/>
      <c r="BH11" s="133"/>
      <c r="BI11" s="133"/>
      <c r="BJ11" s="133"/>
      <c r="BK11" s="133"/>
      <c r="BL11" s="133"/>
      <c r="BM11" s="133"/>
      <c r="BN11" s="133"/>
      <c r="BO11" s="133"/>
      <c r="BP11" s="133"/>
      <c r="BQ11" s="133"/>
      <c r="BR11" s="133"/>
      <c r="BS11" s="133"/>
      <c r="BT11" s="133"/>
      <c r="BU11" s="133"/>
      <c r="BV11" s="133"/>
      <c r="BW11" s="133"/>
    </row>
    <row r="12" spans="1:75" x14ac:dyDescent="0.25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  <c r="AO12" s="133"/>
      <c r="AP12" s="133"/>
      <c r="AQ12" s="133"/>
      <c r="AR12" s="133"/>
      <c r="AS12" s="133"/>
      <c r="AT12" s="133"/>
      <c r="AU12" s="133"/>
      <c r="AV12" s="133"/>
      <c r="AW12" s="133"/>
      <c r="AX12" s="133"/>
      <c r="AY12" s="133"/>
      <c r="AZ12" s="133"/>
      <c r="BA12" s="133"/>
      <c r="BB12" s="133"/>
      <c r="BC12" s="133"/>
      <c r="BD12" s="133"/>
      <c r="BE12" s="133"/>
      <c r="BF12" s="133"/>
      <c r="BG12" s="133"/>
      <c r="BH12" s="133"/>
      <c r="BI12" s="133"/>
      <c r="BJ12" s="133"/>
      <c r="BK12" s="133"/>
      <c r="BL12" s="133"/>
      <c r="BM12" s="133"/>
      <c r="BN12" s="133"/>
      <c r="BO12" s="133"/>
      <c r="BP12" s="133"/>
      <c r="BQ12" s="133"/>
      <c r="BR12" s="133"/>
      <c r="BS12" s="133"/>
      <c r="BT12" s="133"/>
      <c r="BU12" s="133"/>
      <c r="BV12" s="133"/>
      <c r="BW12" s="133"/>
    </row>
    <row r="13" spans="1:75" x14ac:dyDescent="0.25">
      <c r="A13" s="133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  <c r="AO13" s="133"/>
      <c r="AP13" s="133"/>
      <c r="AQ13" s="133"/>
      <c r="AR13" s="133"/>
      <c r="AS13" s="133"/>
      <c r="AT13" s="133"/>
      <c r="AU13" s="133"/>
      <c r="AV13" s="133"/>
      <c r="AW13" s="133"/>
      <c r="AX13" s="133"/>
      <c r="AY13" s="133"/>
      <c r="AZ13" s="133"/>
      <c r="BA13" s="133"/>
      <c r="BB13" s="13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</row>
    <row r="14" spans="1:75" x14ac:dyDescent="0.25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  <c r="AN14" s="133"/>
      <c r="AO14" s="133"/>
      <c r="AP14" s="133"/>
      <c r="AQ14" s="133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3"/>
      <c r="BQ14" s="133"/>
      <c r="BR14" s="133"/>
      <c r="BS14" s="133"/>
      <c r="BT14" s="133"/>
      <c r="BU14" s="133"/>
      <c r="BV14" s="133"/>
      <c r="BW14" s="133"/>
    </row>
    <row r="15" spans="1:75" x14ac:dyDescent="0.25">
      <c r="A15" s="133"/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  <c r="AO15" s="133"/>
      <c r="AP15" s="133"/>
      <c r="AQ15" s="133"/>
      <c r="AR15" s="133"/>
      <c r="AS15" s="133"/>
      <c r="AT15" s="133"/>
      <c r="AU15" s="133"/>
      <c r="AV15" s="133"/>
      <c r="AW15" s="133"/>
      <c r="AX15" s="133"/>
      <c r="AY15" s="133"/>
      <c r="AZ15" s="133"/>
      <c r="BA15" s="133"/>
      <c r="BB15" s="133"/>
      <c r="BC15" s="133"/>
      <c r="BD15" s="133"/>
      <c r="BE15" s="133"/>
      <c r="BF15" s="133"/>
      <c r="BG15" s="133"/>
      <c r="BH15" s="133"/>
      <c r="BI15" s="133"/>
      <c r="BJ15" s="133"/>
      <c r="BK15" s="133"/>
      <c r="BL15" s="133"/>
      <c r="BM15" s="133"/>
      <c r="BN15" s="133"/>
      <c r="BO15" s="133"/>
      <c r="BP15" s="133"/>
      <c r="BQ15" s="133"/>
      <c r="BR15" s="133"/>
      <c r="BS15" s="133"/>
      <c r="BT15" s="133"/>
      <c r="BU15" s="133"/>
      <c r="BV15" s="133"/>
      <c r="BW15" s="133"/>
    </row>
    <row r="16" spans="1:75" x14ac:dyDescent="0.25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  <c r="AO16" s="133"/>
      <c r="AP16" s="133"/>
      <c r="AQ16" s="133"/>
      <c r="AR16" s="133"/>
      <c r="AS16" s="133"/>
      <c r="AT16" s="133"/>
      <c r="AU16" s="133"/>
      <c r="AV16" s="133"/>
      <c r="AW16" s="133"/>
      <c r="AX16" s="133"/>
      <c r="AY16" s="133"/>
      <c r="AZ16" s="133"/>
      <c r="BA16" s="133"/>
      <c r="BB16" s="13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</row>
    <row r="17" spans="1:75" x14ac:dyDescent="0.25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  <c r="AO17" s="133"/>
      <c r="AP17" s="133"/>
      <c r="AQ17" s="133"/>
      <c r="AR17" s="133"/>
      <c r="AS17" s="133"/>
      <c r="AT17" s="133"/>
      <c r="AU17" s="133"/>
      <c r="AV17" s="133"/>
      <c r="AW17" s="133"/>
      <c r="AX17" s="133"/>
      <c r="AY17" s="133"/>
      <c r="AZ17" s="133"/>
      <c r="BA17" s="133"/>
      <c r="BB17" s="133"/>
      <c r="BC17" s="133"/>
      <c r="BD17" s="133"/>
      <c r="BE17" s="133"/>
      <c r="BF17" s="133"/>
      <c r="BG17" s="133"/>
      <c r="BH17" s="133"/>
      <c r="BI17" s="133"/>
      <c r="BJ17" s="133"/>
      <c r="BK17" s="133"/>
      <c r="BL17" s="133"/>
      <c r="BM17" s="133"/>
      <c r="BN17" s="133"/>
      <c r="BO17" s="133"/>
      <c r="BP17" s="133"/>
      <c r="BQ17" s="133"/>
      <c r="BR17" s="133"/>
      <c r="BS17" s="133"/>
      <c r="BT17" s="133"/>
      <c r="BU17" s="133"/>
      <c r="BV17" s="133"/>
      <c r="BW17" s="133"/>
    </row>
    <row r="18" spans="1:75" x14ac:dyDescent="0.25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  <c r="AN18" s="133"/>
      <c r="AO18" s="133"/>
      <c r="AP18" s="133"/>
      <c r="AQ18" s="133"/>
      <c r="AR18" s="133"/>
      <c r="AS18" s="133"/>
      <c r="AT18" s="133"/>
      <c r="AU18" s="133"/>
      <c r="AV18" s="133"/>
      <c r="AW18" s="133"/>
      <c r="AX18" s="133"/>
      <c r="AY18" s="133"/>
      <c r="AZ18" s="133"/>
      <c r="BA18" s="133"/>
      <c r="BB18" s="133"/>
      <c r="BC18" s="133"/>
      <c r="BD18" s="133"/>
      <c r="BE18" s="133"/>
      <c r="BF18" s="133"/>
      <c r="BG18" s="133"/>
      <c r="BH18" s="133"/>
      <c r="BI18" s="133"/>
      <c r="BJ18" s="133"/>
      <c r="BK18" s="133"/>
      <c r="BL18" s="133"/>
      <c r="BM18" s="133"/>
      <c r="BN18" s="133"/>
      <c r="BO18" s="133"/>
      <c r="BP18" s="133"/>
      <c r="BQ18" s="133"/>
      <c r="BR18" s="133"/>
      <c r="BS18" s="133"/>
      <c r="BT18" s="133"/>
      <c r="BU18" s="133"/>
      <c r="BV18" s="133"/>
      <c r="BW18" s="133"/>
    </row>
    <row r="19" spans="1:75" x14ac:dyDescent="0.25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3"/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3"/>
      <c r="BB19" s="133"/>
      <c r="BC19" s="133"/>
      <c r="BD19" s="133"/>
      <c r="BE19" s="133"/>
      <c r="BF19" s="133"/>
      <c r="BG19" s="133"/>
      <c r="BH19" s="133"/>
      <c r="BI19" s="133"/>
      <c r="BJ19" s="133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</row>
    <row r="20" spans="1:75" x14ac:dyDescent="0.25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3"/>
      <c r="AT20" s="133"/>
      <c r="AU20" s="133"/>
      <c r="AV20" s="133"/>
      <c r="AW20" s="133"/>
      <c r="AX20" s="133"/>
      <c r="AY20" s="133"/>
      <c r="AZ20" s="133"/>
      <c r="BA20" s="133"/>
      <c r="BB20" s="133"/>
      <c r="BC20" s="133"/>
      <c r="BD20" s="133"/>
      <c r="BE20" s="133"/>
      <c r="BF20" s="133"/>
      <c r="BG20" s="133"/>
      <c r="BH20" s="133"/>
      <c r="BI20" s="133"/>
      <c r="BJ20" s="133"/>
      <c r="BK20" s="133"/>
      <c r="BL20" s="133"/>
      <c r="BM20" s="133"/>
      <c r="BN20" s="133"/>
      <c r="BO20" s="133"/>
      <c r="BP20" s="133"/>
      <c r="BQ20" s="133"/>
      <c r="BR20" s="133"/>
      <c r="BS20" s="133"/>
      <c r="BT20" s="133"/>
      <c r="BU20" s="133"/>
      <c r="BV20" s="133"/>
      <c r="BW20" s="133"/>
    </row>
    <row r="21" spans="1:75" x14ac:dyDescent="0.25">
      <c r="A21" s="133"/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  <c r="AO21" s="133"/>
      <c r="AP21" s="133"/>
      <c r="AQ21" s="133"/>
      <c r="AR21" s="133"/>
      <c r="AS21" s="133"/>
      <c r="AT21" s="133"/>
      <c r="AU21" s="133"/>
      <c r="AV21" s="133"/>
      <c r="AW21" s="133"/>
      <c r="AX21" s="133"/>
      <c r="AY21" s="133"/>
      <c r="AZ21" s="133"/>
      <c r="BA21" s="133"/>
      <c r="BB21" s="133"/>
      <c r="BC21" s="133"/>
      <c r="BD21" s="133"/>
      <c r="BE21" s="133"/>
      <c r="BF21" s="133"/>
      <c r="BG21" s="133"/>
      <c r="BH21" s="133"/>
      <c r="BI21" s="133"/>
      <c r="BJ21" s="133"/>
      <c r="BK21" s="133"/>
      <c r="BL21" s="133"/>
      <c r="BM21" s="133"/>
      <c r="BN21" s="133"/>
      <c r="BO21" s="133"/>
      <c r="BP21" s="133"/>
      <c r="BQ21" s="133"/>
      <c r="BR21" s="133"/>
      <c r="BS21" s="133"/>
      <c r="BT21" s="133"/>
      <c r="BU21" s="133"/>
      <c r="BV21" s="133"/>
      <c r="BW21" s="133"/>
    </row>
    <row r="22" spans="1:75" x14ac:dyDescent="0.25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  <c r="AN22" s="133"/>
      <c r="AO22" s="133"/>
      <c r="AP22" s="133"/>
      <c r="AQ22" s="133"/>
      <c r="AR22" s="133"/>
      <c r="AS22" s="133"/>
      <c r="AT22" s="133"/>
      <c r="AU22" s="133"/>
      <c r="AV22" s="133"/>
      <c r="AW22" s="133"/>
      <c r="AX22" s="133"/>
      <c r="AY22" s="133"/>
      <c r="AZ22" s="133"/>
      <c r="BA22" s="133"/>
      <c r="BB22" s="13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133"/>
    </row>
    <row r="23" spans="1:75" x14ac:dyDescent="0.25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  <c r="AO23" s="133"/>
      <c r="AP23" s="133"/>
      <c r="AQ23" s="13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133"/>
      <c r="BE23" s="133"/>
      <c r="BF23" s="133"/>
      <c r="BG23" s="133"/>
      <c r="BH23" s="133"/>
      <c r="BI23" s="133"/>
      <c r="BJ23" s="133"/>
      <c r="BK23" s="133"/>
      <c r="BL23" s="133"/>
      <c r="BM23" s="133"/>
      <c r="BN23" s="133"/>
      <c r="BO23" s="133"/>
      <c r="BP23" s="133"/>
      <c r="BQ23" s="133"/>
      <c r="BR23" s="133"/>
      <c r="BS23" s="133"/>
      <c r="BT23" s="133"/>
      <c r="BU23" s="133"/>
      <c r="BV23" s="133"/>
      <c r="BW23" s="133"/>
    </row>
    <row r="24" spans="1:75" x14ac:dyDescent="0.25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  <c r="AO24" s="133"/>
      <c r="AP24" s="133"/>
      <c r="AQ24" s="133"/>
      <c r="AR24" s="133"/>
      <c r="AS24" s="133"/>
      <c r="AT24" s="133"/>
      <c r="AU24" s="133"/>
      <c r="AV24" s="133"/>
      <c r="AW24" s="133"/>
      <c r="AX24" s="133"/>
      <c r="AY24" s="133"/>
      <c r="AZ24" s="133"/>
      <c r="BA24" s="133"/>
      <c r="BB24" s="133"/>
      <c r="BC24" s="133"/>
      <c r="BD24" s="133"/>
      <c r="BE24" s="133"/>
      <c r="BF24" s="133"/>
      <c r="BG24" s="133"/>
      <c r="BH24" s="133"/>
      <c r="BI24" s="133"/>
      <c r="BJ24" s="133"/>
      <c r="BK24" s="133"/>
      <c r="BL24" s="133"/>
      <c r="BM24" s="133"/>
      <c r="BN24" s="133"/>
      <c r="BO24" s="133"/>
      <c r="BP24" s="133"/>
      <c r="BQ24" s="133"/>
      <c r="BR24" s="133"/>
      <c r="BS24" s="133"/>
      <c r="BT24" s="133"/>
      <c r="BU24" s="133"/>
      <c r="BV24" s="133"/>
      <c r="BW24" s="133"/>
    </row>
    <row r="25" spans="1:75" x14ac:dyDescent="0.25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  <c r="AO25" s="133"/>
      <c r="AP25" s="133"/>
      <c r="AQ25" s="133"/>
      <c r="AR25" s="133"/>
      <c r="AS25" s="133"/>
      <c r="AT25" s="133"/>
      <c r="AU25" s="133"/>
      <c r="AV25" s="133"/>
      <c r="AW25" s="133"/>
      <c r="AX25" s="133"/>
      <c r="AY25" s="133"/>
      <c r="AZ25" s="133"/>
      <c r="BA25" s="133"/>
      <c r="BB25" s="13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133"/>
      <c r="BV25" s="133"/>
      <c r="BW25" s="133"/>
    </row>
    <row r="26" spans="1:75" x14ac:dyDescent="0.25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133"/>
      <c r="BB26" s="133"/>
      <c r="BC26" s="133"/>
      <c r="BD26" s="133"/>
      <c r="BE26" s="133"/>
      <c r="BF26" s="133"/>
      <c r="BG26" s="133"/>
      <c r="BH26" s="133"/>
      <c r="BI26" s="133"/>
      <c r="BJ26" s="133"/>
      <c r="BK26" s="133"/>
      <c r="BL26" s="133"/>
      <c r="BM26" s="133"/>
      <c r="BN26" s="133"/>
      <c r="BO26" s="133"/>
      <c r="BP26" s="133"/>
      <c r="BQ26" s="133"/>
      <c r="BR26" s="133"/>
      <c r="BS26" s="133"/>
      <c r="BT26" s="133"/>
      <c r="BU26" s="133"/>
      <c r="BV26" s="133"/>
      <c r="BW26" s="133"/>
    </row>
    <row r="27" spans="1:75" x14ac:dyDescent="0.25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133"/>
      <c r="BE27" s="133"/>
      <c r="BF27" s="133"/>
      <c r="BG27" s="133"/>
      <c r="BH27" s="133"/>
      <c r="BI27" s="133"/>
      <c r="BJ27" s="133"/>
      <c r="BK27" s="133"/>
      <c r="BL27" s="133"/>
      <c r="BM27" s="133"/>
      <c r="BN27" s="133"/>
      <c r="BO27" s="133"/>
      <c r="BP27" s="133"/>
      <c r="BQ27" s="133"/>
      <c r="BR27" s="133"/>
      <c r="BS27" s="133"/>
      <c r="BT27" s="133"/>
      <c r="BU27" s="133"/>
      <c r="BV27" s="133"/>
      <c r="BW27" s="133"/>
    </row>
    <row r="28" spans="1:75" x14ac:dyDescent="0.25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3"/>
      <c r="BB28" s="133"/>
      <c r="BC28" s="133"/>
      <c r="BD28" s="133"/>
      <c r="BE28" s="133"/>
      <c r="BF28" s="133"/>
      <c r="BG28" s="133"/>
      <c r="BH28" s="133"/>
      <c r="BI28" s="133"/>
      <c r="BJ28" s="133"/>
      <c r="BK28" s="133"/>
      <c r="BL28" s="133"/>
      <c r="BM28" s="133"/>
      <c r="BN28" s="133"/>
      <c r="BO28" s="133"/>
      <c r="BP28" s="133"/>
      <c r="BQ28" s="133"/>
      <c r="BR28" s="133"/>
      <c r="BS28" s="133"/>
      <c r="BT28" s="133"/>
      <c r="BU28" s="133"/>
      <c r="BV28" s="133"/>
      <c r="BW28" s="133"/>
    </row>
    <row r="29" spans="1:75" x14ac:dyDescent="0.25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</row>
    <row r="30" spans="1:75" x14ac:dyDescent="0.25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133"/>
      <c r="BU30" s="133"/>
      <c r="BV30" s="133"/>
      <c r="BW30" s="133"/>
    </row>
    <row r="31" spans="1:75" x14ac:dyDescent="0.25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3"/>
      <c r="BQ31" s="133"/>
      <c r="BR31" s="133"/>
      <c r="BS31" s="133"/>
      <c r="BT31" s="133"/>
      <c r="BU31" s="133"/>
      <c r="BV31" s="133"/>
      <c r="BW31" s="133"/>
    </row>
    <row r="32" spans="1:75" x14ac:dyDescent="0.25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3"/>
      <c r="BQ32" s="133"/>
      <c r="BR32" s="133"/>
      <c r="BS32" s="133"/>
      <c r="BT32" s="133"/>
      <c r="BU32" s="133"/>
      <c r="BV32" s="133"/>
      <c r="BW32" s="133"/>
    </row>
    <row r="33" spans="1:75" x14ac:dyDescent="0.25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3"/>
      <c r="BQ33" s="133"/>
      <c r="BR33" s="133"/>
      <c r="BS33" s="133"/>
      <c r="BT33" s="133"/>
      <c r="BU33" s="133"/>
      <c r="BV33" s="133"/>
      <c r="BW33" s="133"/>
    </row>
    <row r="34" spans="1:75" x14ac:dyDescent="0.25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  <c r="AO34" s="133"/>
      <c r="AP34" s="133"/>
      <c r="AQ34" s="133"/>
      <c r="AR34" s="133"/>
      <c r="AS34" s="133"/>
      <c r="AT34" s="133"/>
      <c r="AU34" s="133"/>
      <c r="AV34" s="133"/>
      <c r="AW34" s="133"/>
      <c r="AX34" s="133"/>
      <c r="AY34" s="133"/>
      <c r="AZ34" s="133"/>
      <c r="BA34" s="133"/>
      <c r="BB34" s="133"/>
      <c r="BC34" s="133"/>
      <c r="BD34" s="133"/>
      <c r="BE34" s="133"/>
      <c r="BF34" s="133"/>
      <c r="BG34" s="133"/>
      <c r="BH34" s="133"/>
      <c r="BI34" s="133"/>
      <c r="BJ34" s="133"/>
      <c r="BK34" s="133"/>
      <c r="BL34" s="133"/>
      <c r="BM34" s="133"/>
      <c r="BN34" s="133"/>
      <c r="BO34" s="133"/>
      <c r="BP34" s="133"/>
      <c r="BQ34" s="133"/>
      <c r="BR34" s="133"/>
      <c r="BS34" s="133"/>
      <c r="BT34" s="133"/>
      <c r="BU34" s="133"/>
      <c r="BV34" s="133"/>
      <c r="BW34" s="133"/>
    </row>
    <row r="35" spans="1:75" x14ac:dyDescent="0.25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3"/>
      <c r="BI35" s="133"/>
      <c r="BJ35" s="133"/>
      <c r="BK35" s="133"/>
      <c r="BL35" s="133"/>
      <c r="BM35" s="133"/>
      <c r="BN35" s="133"/>
      <c r="BO35" s="133"/>
      <c r="BP35" s="133"/>
      <c r="BQ35" s="133"/>
      <c r="BR35" s="133"/>
      <c r="BS35" s="133"/>
      <c r="BT35" s="133"/>
      <c r="BU35" s="133"/>
      <c r="BV35" s="133"/>
      <c r="BW35" s="133"/>
    </row>
    <row r="36" spans="1:75" x14ac:dyDescent="0.25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3"/>
      <c r="AO36" s="133"/>
      <c r="AP36" s="133"/>
      <c r="AQ36" s="13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3"/>
      <c r="BB36" s="133"/>
      <c r="BC36" s="133"/>
      <c r="BD36" s="133"/>
      <c r="BE36" s="133"/>
      <c r="BF36" s="133"/>
      <c r="BG36" s="133"/>
      <c r="BH36" s="133"/>
      <c r="BI36" s="133"/>
      <c r="BJ36" s="133"/>
      <c r="BK36" s="133"/>
      <c r="BL36" s="133"/>
      <c r="BM36" s="133"/>
      <c r="BN36" s="133"/>
      <c r="BO36" s="133"/>
      <c r="BP36" s="133"/>
      <c r="BQ36" s="133"/>
      <c r="BR36" s="133"/>
      <c r="BS36" s="133"/>
      <c r="BT36" s="133"/>
      <c r="BU36" s="133"/>
      <c r="BV36" s="133"/>
      <c r="BW36" s="133"/>
    </row>
    <row r="37" spans="1:75" x14ac:dyDescent="0.25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  <c r="AO37" s="133"/>
      <c r="AP37" s="133"/>
      <c r="AQ37" s="133"/>
      <c r="AR37" s="133"/>
      <c r="AS37" s="133"/>
      <c r="AT37" s="133"/>
      <c r="AU37" s="133"/>
      <c r="AV37" s="133"/>
      <c r="AW37" s="133"/>
      <c r="AX37" s="133"/>
      <c r="AY37" s="133"/>
      <c r="AZ37" s="133"/>
      <c r="BA37" s="133"/>
      <c r="BB37" s="133"/>
      <c r="BC37" s="133"/>
      <c r="BD37" s="133"/>
      <c r="BE37" s="133"/>
      <c r="BF37" s="133"/>
      <c r="BG37" s="133"/>
      <c r="BH37" s="133"/>
      <c r="BI37" s="133"/>
      <c r="BJ37" s="133"/>
      <c r="BK37" s="133"/>
      <c r="BL37" s="133"/>
      <c r="BM37" s="133"/>
      <c r="BN37" s="133"/>
      <c r="BO37" s="133"/>
      <c r="BP37" s="133"/>
      <c r="BQ37" s="133"/>
      <c r="BR37" s="133"/>
      <c r="BS37" s="133"/>
      <c r="BT37" s="133"/>
      <c r="BU37" s="133"/>
      <c r="BV37" s="133"/>
      <c r="BW37" s="133"/>
    </row>
    <row r="38" spans="1:75" x14ac:dyDescent="0.2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  <c r="AO38" s="133"/>
      <c r="AP38" s="133"/>
      <c r="AQ38" s="13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3"/>
      <c r="BD38" s="133"/>
      <c r="BE38" s="133"/>
      <c r="BF38" s="133"/>
      <c r="BG38" s="133"/>
      <c r="BH38" s="133"/>
      <c r="BI38" s="133"/>
      <c r="BJ38" s="133"/>
      <c r="BK38" s="133"/>
      <c r="BL38" s="133"/>
      <c r="BM38" s="133"/>
      <c r="BN38" s="133"/>
      <c r="BO38" s="133"/>
      <c r="BP38" s="133"/>
      <c r="BQ38" s="133"/>
      <c r="BR38" s="133"/>
      <c r="BS38" s="133"/>
      <c r="BT38" s="133"/>
      <c r="BU38" s="133"/>
      <c r="BV38" s="133"/>
      <c r="BW38" s="133"/>
    </row>
    <row r="39" spans="1:75" x14ac:dyDescent="0.25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  <c r="AO39" s="133"/>
      <c r="AP39" s="133"/>
      <c r="AQ39" s="133"/>
      <c r="AR39" s="133"/>
      <c r="AS39" s="133"/>
      <c r="AT39" s="133"/>
      <c r="AU39" s="133"/>
      <c r="AV39" s="133"/>
      <c r="AW39" s="133"/>
      <c r="AX39" s="133"/>
      <c r="AY39" s="133"/>
      <c r="AZ39" s="133"/>
      <c r="BA39" s="133"/>
      <c r="BB39" s="133"/>
      <c r="BC39" s="133"/>
      <c r="BD39" s="133"/>
      <c r="BE39" s="133"/>
      <c r="BF39" s="133"/>
      <c r="BG39" s="133"/>
      <c r="BH39" s="133"/>
      <c r="BI39" s="133"/>
      <c r="BJ39" s="133"/>
      <c r="BK39" s="133"/>
      <c r="BL39" s="133"/>
      <c r="BM39" s="133"/>
      <c r="BN39" s="133"/>
      <c r="BO39" s="133"/>
      <c r="BP39" s="133"/>
      <c r="BQ39" s="133"/>
      <c r="BR39" s="133"/>
      <c r="BS39" s="133"/>
      <c r="BT39" s="133"/>
      <c r="BU39" s="133"/>
      <c r="BV39" s="133"/>
      <c r="BW39" s="133"/>
    </row>
    <row r="40" spans="1:75" x14ac:dyDescent="0.25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  <c r="AO40" s="133"/>
      <c r="AP40" s="133"/>
      <c r="AQ40" s="13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3"/>
      <c r="BD40" s="133"/>
      <c r="BE40" s="133"/>
      <c r="BF40" s="133"/>
      <c r="BG40" s="133"/>
      <c r="BH40" s="133"/>
      <c r="BI40" s="133"/>
      <c r="BJ40" s="133"/>
      <c r="BK40" s="133"/>
      <c r="BL40" s="133"/>
      <c r="BM40" s="133"/>
      <c r="BN40" s="133"/>
      <c r="BO40" s="133"/>
      <c r="BP40" s="133"/>
      <c r="BQ40" s="133"/>
      <c r="BR40" s="133"/>
      <c r="BS40" s="133"/>
      <c r="BT40" s="133"/>
      <c r="BU40" s="133"/>
      <c r="BV40" s="133"/>
      <c r="BW40" s="133"/>
    </row>
    <row r="41" spans="1:75" x14ac:dyDescent="0.25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  <c r="AO41" s="133"/>
      <c r="AP41" s="133"/>
      <c r="AQ41" s="133"/>
      <c r="AR41" s="133"/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133"/>
      <c r="BE41" s="133"/>
      <c r="BF41" s="133"/>
      <c r="BG41" s="133"/>
      <c r="BH41" s="133"/>
      <c r="BI41" s="133"/>
      <c r="BJ41" s="133"/>
      <c r="BK41" s="133"/>
      <c r="BL41" s="133"/>
      <c r="BM41" s="133"/>
      <c r="BN41" s="133"/>
      <c r="BO41" s="133"/>
      <c r="BP41" s="133"/>
      <c r="BQ41" s="133"/>
      <c r="BR41" s="133"/>
      <c r="BS41" s="133"/>
      <c r="BT41" s="133"/>
      <c r="BU41" s="133"/>
      <c r="BV41" s="133"/>
      <c r="BW41" s="133"/>
    </row>
    <row r="42" spans="1:75" x14ac:dyDescent="0.25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3"/>
      <c r="AO42" s="133"/>
      <c r="AP42" s="133"/>
      <c r="AQ42" s="133"/>
      <c r="AR42" s="133"/>
      <c r="AS42" s="133"/>
      <c r="AT42" s="133"/>
      <c r="AU42" s="133"/>
      <c r="AV42" s="133"/>
      <c r="AW42" s="133"/>
      <c r="AX42" s="133"/>
      <c r="AY42" s="133"/>
      <c r="AZ42" s="133"/>
      <c r="BA42" s="133"/>
      <c r="BB42" s="133"/>
      <c r="BC42" s="133"/>
      <c r="BD42" s="133"/>
      <c r="BE42" s="133"/>
      <c r="BF42" s="133"/>
      <c r="BG42" s="133"/>
      <c r="BH42" s="133"/>
      <c r="BI42" s="133"/>
      <c r="BJ42" s="133"/>
      <c r="BK42" s="133"/>
      <c r="BL42" s="133"/>
      <c r="BM42" s="133"/>
      <c r="BN42" s="133"/>
      <c r="BO42" s="133"/>
      <c r="BP42" s="133"/>
      <c r="BQ42" s="133"/>
      <c r="BR42" s="133"/>
      <c r="BS42" s="133"/>
      <c r="BT42" s="133"/>
      <c r="BU42" s="133"/>
      <c r="BV42" s="133"/>
      <c r="BW42" s="133"/>
    </row>
    <row r="43" spans="1:75" x14ac:dyDescent="0.25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3"/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3"/>
      <c r="BB43" s="133"/>
      <c r="BC43" s="133"/>
      <c r="BD43" s="133"/>
      <c r="BE43" s="133"/>
      <c r="BF43" s="133"/>
      <c r="BG43" s="133"/>
      <c r="BH43" s="133"/>
      <c r="BI43" s="133"/>
      <c r="BJ43" s="133"/>
      <c r="BK43" s="133"/>
      <c r="BL43" s="133"/>
      <c r="BM43" s="133"/>
      <c r="BN43" s="133"/>
      <c r="BO43" s="133"/>
      <c r="BP43" s="133"/>
      <c r="BQ43" s="133"/>
      <c r="BR43" s="133"/>
      <c r="BS43" s="133"/>
      <c r="BT43" s="133"/>
      <c r="BU43" s="133"/>
      <c r="BV43" s="133"/>
      <c r="BW43" s="133"/>
    </row>
    <row r="44" spans="1:75" x14ac:dyDescent="0.25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33"/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3"/>
      <c r="BB44" s="133"/>
      <c r="BC44" s="133"/>
      <c r="BD44" s="133"/>
      <c r="BE44" s="133"/>
      <c r="BF44" s="133"/>
      <c r="BG44" s="133"/>
      <c r="BH44" s="133"/>
      <c r="BI44" s="133"/>
      <c r="BJ44" s="133"/>
      <c r="BK44" s="133"/>
      <c r="BL44" s="133"/>
      <c r="BM44" s="133"/>
      <c r="BN44" s="133"/>
      <c r="BO44" s="133"/>
      <c r="BP44" s="133"/>
      <c r="BQ44" s="133"/>
      <c r="BR44" s="133"/>
      <c r="BS44" s="133"/>
      <c r="BT44" s="133"/>
      <c r="BU44" s="133"/>
      <c r="BV44" s="133"/>
      <c r="BW44" s="133"/>
    </row>
    <row r="45" spans="1:75" x14ac:dyDescent="0.25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3"/>
      <c r="BD45" s="133"/>
      <c r="BE45" s="133"/>
      <c r="BF45" s="133"/>
      <c r="BG45" s="133"/>
      <c r="BH45" s="133"/>
      <c r="BI45" s="133"/>
      <c r="BJ45" s="133"/>
      <c r="BK45" s="133"/>
      <c r="BL45" s="133"/>
      <c r="BM45" s="133"/>
      <c r="BN45" s="133"/>
      <c r="BO45" s="133"/>
      <c r="BP45" s="133"/>
      <c r="BQ45" s="133"/>
      <c r="BR45" s="133"/>
      <c r="BS45" s="133"/>
      <c r="BT45" s="133"/>
      <c r="BU45" s="133"/>
      <c r="BV45" s="133"/>
      <c r="BW45" s="133"/>
    </row>
    <row r="46" spans="1:75" x14ac:dyDescent="0.25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3"/>
      <c r="BB46" s="133"/>
      <c r="BC46" s="133"/>
      <c r="BD46" s="133"/>
      <c r="BE46" s="133"/>
      <c r="BF46" s="133"/>
      <c r="BG46" s="133"/>
      <c r="BH46" s="133"/>
      <c r="BI46" s="133"/>
      <c r="BJ46" s="133"/>
      <c r="BK46" s="133"/>
      <c r="BL46" s="133"/>
      <c r="BM46" s="133"/>
      <c r="BN46" s="133"/>
      <c r="BO46" s="133"/>
      <c r="BP46" s="133"/>
      <c r="BQ46" s="133"/>
      <c r="BR46" s="133"/>
      <c r="BS46" s="133"/>
      <c r="BT46" s="133"/>
      <c r="BU46" s="133"/>
      <c r="BV46" s="133"/>
      <c r="BW46" s="133"/>
    </row>
    <row r="47" spans="1:75" x14ac:dyDescent="0.25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3"/>
      <c r="BB47" s="133"/>
      <c r="BC47" s="133"/>
      <c r="BD47" s="133"/>
      <c r="BE47" s="133"/>
      <c r="BF47" s="133"/>
      <c r="BG47" s="133"/>
      <c r="BH47" s="133"/>
      <c r="BI47" s="133"/>
      <c r="BJ47" s="133"/>
      <c r="BK47" s="133"/>
      <c r="BL47" s="133"/>
      <c r="BM47" s="133"/>
      <c r="BN47" s="133"/>
      <c r="BO47" s="133"/>
      <c r="BP47" s="133"/>
      <c r="BQ47" s="133"/>
      <c r="BR47" s="133"/>
      <c r="BS47" s="133"/>
      <c r="BT47" s="133"/>
      <c r="BU47" s="133"/>
      <c r="BV47" s="133"/>
      <c r="BW47" s="133"/>
    </row>
    <row r="48" spans="1:75" x14ac:dyDescent="0.25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  <c r="AO48" s="133"/>
      <c r="AP48" s="133"/>
      <c r="AQ48" s="133"/>
      <c r="AR48" s="133"/>
      <c r="AS48" s="133"/>
      <c r="AT48" s="133"/>
      <c r="AU48" s="133"/>
      <c r="AV48" s="133"/>
      <c r="AW48" s="133"/>
      <c r="AX48" s="133"/>
      <c r="AY48" s="133"/>
      <c r="AZ48" s="133"/>
      <c r="BA48" s="133"/>
      <c r="BB48" s="133"/>
      <c r="BC48" s="133"/>
      <c r="BD48" s="133"/>
      <c r="BE48" s="133"/>
      <c r="BF48" s="133"/>
      <c r="BG48" s="133"/>
      <c r="BH48" s="133"/>
      <c r="BI48" s="133"/>
      <c r="BJ48" s="133"/>
      <c r="BK48" s="133"/>
      <c r="BL48" s="133"/>
      <c r="BM48" s="133"/>
      <c r="BN48" s="133"/>
      <c r="BO48" s="133"/>
      <c r="BP48" s="133"/>
      <c r="BQ48" s="133"/>
      <c r="BR48" s="133"/>
      <c r="BS48" s="133"/>
      <c r="BT48" s="133"/>
      <c r="BU48" s="133"/>
      <c r="BV48" s="133"/>
      <c r="BW48" s="133"/>
    </row>
    <row r="49" spans="1:75" x14ac:dyDescent="0.25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3"/>
      <c r="BB49" s="133"/>
      <c r="BC49" s="133"/>
      <c r="BD49" s="133"/>
      <c r="BE49" s="133"/>
      <c r="BF49" s="133"/>
      <c r="BG49" s="133"/>
      <c r="BH49" s="133"/>
      <c r="BI49" s="133"/>
      <c r="BJ49" s="133"/>
      <c r="BK49" s="133"/>
      <c r="BL49" s="133"/>
      <c r="BM49" s="133"/>
      <c r="BN49" s="133"/>
      <c r="BO49" s="133"/>
      <c r="BP49" s="133"/>
      <c r="BQ49" s="133"/>
      <c r="BR49" s="133"/>
      <c r="BS49" s="133"/>
      <c r="BT49" s="133"/>
      <c r="BU49" s="133"/>
      <c r="BV49" s="133"/>
      <c r="BW49" s="133"/>
    </row>
    <row r="50" spans="1:75" x14ac:dyDescent="0.25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33"/>
      <c r="AO50" s="133"/>
      <c r="AP50" s="133"/>
      <c r="AQ50" s="133"/>
      <c r="AR50" s="133"/>
      <c r="AS50" s="133"/>
      <c r="AT50" s="133"/>
      <c r="AU50" s="133"/>
      <c r="AV50" s="133"/>
      <c r="AW50" s="133"/>
      <c r="AX50" s="133"/>
      <c r="AY50" s="133"/>
      <c r="AZ50" s="133"/>
      <c r="BA50" s="133"/>
      <c r="BB50" s="133"/>
      <c r="BC50" s="133"/>
      <c r="BD50" s="133"/>
      <c r="BE50" s="133"/>
      <c r="BF50" s="133"/>
      <c r="BG50" s="133"/>
      <c r="BH50" s="133"/>
      <c r="BI50" s="133"/>
      <c r="BJ50" s="133"/>
      <c r="BK50" s="133"/>
      <c r="BL50" s="133"/>
      <c r="BM50" s="133"/>
      <c r="BN50" s="133"/>
      <c r="BO50" s="133"/>
      <c r="BP50" s="133"/>
      <c r="BQ50" s="133"/>
      <c r="BR50" s="133"/>
      <c r="BS50" s="133"/>
      <c r="BT50" s="133"/>
      <c r="BU50" s="133"/>
      <c r="BV50" s="133"/>
      <c r="BW50" s="133"/>
    </row>
    <row r="51" spans="1:75" x14ac:dyDescent="0.25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33"/>
      <c r="AO51" s="133"/>
      <c r="AP51" s="133"/>
      <c r="AQ51" s="133"/>
      <c r="AR51" s="133"/>
      <c r="AS51" s="133"/>
      <c r="AT51" s="133"/>
      <c r="AU51" s="133"/>
      <c r="AV51" s="133"/>
      <c r="AW51" s="133"/>
      <c r="AX51" s="133"/>
      <c r="AY51" s="133"/>
      <c r="AZ51" s="133"/>
      <c r="BA51" s="133"/>
      <c r="BB51" s="133"/>
      <c r="BC51" s="133"/>
      <c r="BD51" s="133"/>
      <c r="BE51" s="133"/>
      <c r="BF51" s="133"/>
      <c r="BG51" s="133"/>
      <c r="BH51" s="133"/>
      <c r="BI51" s="133"/>
      <c r="BJ51" s="133"/>
      <c r="BK51" s="133"/>
      <c r="BL51" s="133"/>
      <c r="BM51" s="133"/>
      <c r="BN51" s="133"/>
      <c r="BO51" s="133"/>
      <c r="BP51" s="133"/>
      <c r="BQ51" s="133"/>
      <c r="BR51" s="133"/>
      <c r="BS51" s="133"/>
      <c r="BT51" s="133"/>
      <c r="BU51" s="133"/>
      <c r="BV51" s="133"/>
      <c r="BW51" s="133"/>
    </row>
    <row r="52" spans="1:75" x14ac:dyDescent="0.25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  <c r="AN52" s="133"/>
      <c r="AO52" s="133"/>
      <c r="AP52" s="133"/>
      <c r="AQ52" s="133"/>
      <c r="AR52" s="133"/>
      <c r="AS52" s="133"/>
      <c r="AT52" s="133"/>
      <c r="AU52" s="133"/>
      <c r="AV52" s="133"/>
      <c r="AW52" s="133"/>
      <c r="AX52" s="133"/>
      <c r="AY52" s="133"/>
      <c r="AZ52" s="133"/>
      <c r="BA52" s="133"/>
      <c r="BB52" s="133"/>
      <c r="BC52" s="133"/>
      <c r="BD52" s="133"/>
      <c r="BE52" s="133"/>
      <c r="BF52" s="133"/>
      <c r="BG52" s="133"/>
      <c r="BH52" s="133"/>
      <c r="BI52" s="133"/>
      <c r="BJ52" s="133"/>
      <c r="BK52" s="133"/>
      <c r="BL52" s="133"/>
      <c r="BM52" s="133"/>
      <c r="BN52" s="133"/>
      <c r="BO52" s="133"/>
      <c r="BP52" s="133"/>
      <c r="BQ52" s="133"/>
      <c r="BR52" s="133"/>
      <c r="BS52" s="133"/>
      <c r="BT52" s="133"/>
      <c r="BU52" s="133"/>
      <c r="BV52" s="133"/>
      <c r="BW52" s="133"/>
    </row>
    <row r="53" spans="1:75" x14ac:dyDescent="0.25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  <c r="AN53" s="133"/>
      <c r="AO53" s="133"/>
      <c r="AP53" s="133"/>
      <c r="AQ53" s="133"/>
      <c r="AR53" s="133"/>
      <c r="AS53" s="133"/>
      <c r="AT53" s="133"/>
      <c r="AU53" s="133"/>
      <c r="AV53" s="133"/>
      <c r="AW53" s="133"/>
      <c r="AX53" s="133"/>
      <c r="AY53" s="133"/>
      <c r="AZ53" s="133"/>
      <c r="BA53" s="133"/>
      <c r="BB53" s="133"/>
      <c r="BC53" s="133"/>
      <c r="BD53" s="133"/>
      <c r="BE53" s="133"/>
      <c r="BF53" s="133"/>
      <c r="BG53" s="133"/>
      <c r="BH53" s="133"/>
      <c r="BI53" s="133"/>
      <c r="BJ53" s="133"/>
      <c r="BK53" s="133"/>
      <c r="BL53" s="133"/>
      <c r="BM53" s="133"/>
      <c r="BN53" s="133"/>
      <c r="BO53" s="133"/>
      <c r="BP53" s="133"/>
      <c r="BQ53" s="133"/>
      <c r="BR53" s="133"/>
      <c r="BS53" s="133"/>
      <c r="BT53" s="133"/>
      <c r="BU53" s="133"/>
      <c r="BV53" s="133"/>
      <c r="BW53" s="133"/>
    </row>
    <row r="54" spans="1:75" x14ac:dyDescent="0.25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  <c r="AN54" s="133"/>
      <c r="AO54" s="133"/>
      <c r="AP54" s="133"/>
      <c r="AQ54" s="133"/>
      <c r="AR54" s="133"/>
      <c r="AS54" s="133"/>
      <c r="AT54" s="133"/>
      <c r="AU54" s="133"/>
      <c r="AV54" s="133"/>
      <c r="AW54" s="133"/>
      <c r="AX54" s="133"/>
      <c r="AY54" s="133"/>
      <c r="AZ54" s="133"/>
      <c r="BA54" s="133"/>
      <c r="BB54" s="133"/>
      <c r="BC54" s="133"/>
      <c r="BD54" s="133"/>
      <c r="BE54" s="133"/>
      <c r="BF54" s="133"/>
      <c r="BG54" s="133"/>
      <c r="BH54" s="133"/>
      <c r="BI54" s="133"/>
      <c r="BJ54" s="133"/>
      <c r="BK54" s="133"/>
      <c r="BL54" s="133"/>
      <c r="BM54" s="133"/>
      <c r="BN54" s="133"/>
      <c r="BO54" s="133"/>
      <c r="BP54" s="133"/>
      <c r="BQ54" s="133"/>
      <c r="BR54" s="133"/>
      <c r="BS54" s="133"/>
      <c r="BT54" s="133"/>
      <c r="BU54" s="133"/>
      <c r="BV54" s="133"/>
      <c r="BW54" s="133"/>
    </row>
    <row r="55" spans="1:75" x14ac:dyDescent="0.25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33"/>
      <c r="AO55" s="133"/>
      <c r="AP55" s="133"/>
      <c r="AQ55" s="133"/>
      <c r="AR55" s="133"/>
      <c r="AS55" s="133"/>
      <c r="AT55" s="133"/>
      <c r="AU55" s="133"/>
      <c r="AV55" s="133"/>
      <c r="AW55" s="133"/>
      <c r="AX55" s="133"/>
      <c r="AY55" s="133"/>
      <c r="AZ55" s="133"/>
      <c r="BA55" s="133"/>
      <c r="BB55" s="133"/>
      <c r="BC55" s="133"/>
      <c r="BD55" s="133"/>
      <c r="BE55" s="133"/>
      <c r="BF55" s="133"/>
      <c r="BG55" s="133"/>
      <c r="BH55" s="133"/>
      <c r="BI55" s="133"/>
      <c r="BJ55" s="133"/>
      <c r="BK55" s="133"/>
      <c r="BL55" s="133"/>
      <c r="BM55" s="133"/>
      <c r="BN55" s="133"/>
      <c r="BO55" s="133"/>
      <c r="BP55" s="133"/>
      <c r="BQ55" s="133"/>
      <c r="BR55" s="133"/>
      <c r="BS55" s="133"/>
      <c r="BT55" s="133"/>
      <c r="BU55" s="133"/>
      <c r="BV55" s="133"/>
      <c r="BW55" s="133"/>
    </row>
    <row r="56" spans="1:75" x14ac:dyDescent="0.25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33"/>
      <c r="AO56" s="133"/>
      <c r="AP56" s="133"/>
      <c r="AQ56" s="133"/>
      <c r="AR56" s="133"/>
      <c r="AS56" s="133"/>
      <c r="AT56" s="133"/>
      <c r="AU56" s="133"/>
      <c r="AV56" s="133"/>
      <c r="AW56" s="133"/>
      <c r="AX56" s="133"/>
      <c r="AY56" s="133"/>
      <c r="AZ56" s="133"/>
      <c r="BA56" s="133"/>
      <c r="BB56" s="133"/>
      <c r="BC56" s="133"/>
      <c r="BD56" s="133"/>
      <c r="BE56" s="133"/>
      <c r="BF56" s="133"/>
      <c r="BG56" s="133"/>
      <c r="BH56" s="133"/>
      <c r="BI56" s="133"/>
      <c r="BJ56" s="133"/>
      <c r="BK56" s="133"/>
      <c r="BL56" s="133"/>
      <c r="BM56" s="133"/>
      <c r="BN56" s="133"/>
      <c r="BO56" s="133"/>
      <c r="BP56" s="133"/>
      <c r="BQ56" s="133"/>
      <c r="BR56" s="133"/>
      <c r="BS56" s="133"/>
      <c r="BT56" s="133"/>
      <c r="BU56" s="133"/>
      <c r="BV56" s="133"/>
      <c r="BW56" s="133"/>
    </row>
    <row r="57" spans="1:75" x14ac:dyDescent="0.25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33"/>
      <c r="AO57" s="133"/>
      <c r="AP57" s="133"/>
      <c r="AQ57" s="133"/>
      <c r="AR57" s="133"/>
      <c r="AS57" s="133"/>
      <c r="AT57" s="133"/>
      <c r="AU57" s="133"/>
      <c r="AV57" s="133"/>
      <c r="AW57" s="133"/>
      <c r="AX57" s="133"/>
      <c r="AY57" s="133"/>
      <c r="AZ57" s="133"/>
      <c r="BA57" s="133"/>
      <c r="BB57" s="133"/>
      <c r="BC57" s="133"/>
      <c r="BD57" s="133"/>
      <c r="BE57" s="133"/>
      <c r="BF57" s="133"/>
      <c r="BG57" s="133"/>
      <c r="BH57" s="133"/>
      <c r="BI57" s="133"/>
      <c r="BJ57" s="133"/>
      <c r="BK57" s="133"/>
      <c r="BL57" s="133"/>
      <c r="BM57" s="133"/>
      <c r="BN57" s="133"/>
      <c r="BO57" s="133"/>
      <c r="BP57" s="133"/>
      <c r="BQ57" s="133"/>
      <c r="BR57" s="133"/>
      <c r="BS57" s="133"/>
      <c r="BT57" s="133"/>
      <c r="BU57" s="133"/>
      <c r="BV57" s="133"/>
      <c r="BW57" s="133"/>
    </row>
    <row r="58" spans="1:75" x14ac:dyDescent="0.25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3"/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3"/>
      <c r="BB58" s="133"/>
      <c r="BC58" s="133"/>
      <c r="BD58" s="133"/>
      <c r="BE58" s="133"/>
      <c r="BF58" s="133"/>
      <c r="BG58" s="133"/>
      <c r="BH58" s="133"/>
      <c r="BI58" s="133"/>
      <c r="BJ58" s="133"/>
      <c r="BK58" s="133"/>
      <c r="BL58" s="133"/>
      <c r="BM58" s="133"/>
      <c r="BN58" s="133"/>
      <c r="BO58" s="133"/>
      <c r="BP58" s="133"/>
      <c r="BQ58" s="133"/>
      <c r="BR58" s="133"/>
      <c r="BS58" s="133"/>
      <c r="BT58" s="133"/>
      <c r="BU58" s="133"/>
      <c r="BV58" s="133"/>
      <c r="BW58" s="133"/>
    </row>
    <row r="59" spans="1:75" x14ac:dyDescent="0.25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  <c r="AP59" s="133"/>
      <c r="AQ59" s="133"/>
      <c r="AR59" s="133"/>
      <c r="AS59" s="133"/>
      <c r="AT59" s="133"/>
      <c r="AU59" s="133"/>
      <c r="AV59" s="133"/>
      <c r="AW59" s="133"/>
      <c r="AX59" s="133"/>
      <c r="AY59" s="133"/>
      <c r="AZ59" s="133"/>
      <c r="BA59" s="133"/>
      <c r="BB59" s="133"/>
      <c r="BC59" s="133"/>
      <c r="BD59" s="133"/>
      <c r="BE59" s="133"/>
      <c r="BF59" s="133"/>
      <c r="BG59" s="133"/>
      <c r="BH59" s="133"/>
      <c r="BI59" s="133"/>
      <c r="BJ59" s="133"/>
      <c r="BK59" s="133"/>
      <c r="BL59" s="133"/>
      <c r="BM59" s="133"/>
      <c r="BN59" s="133"/>
      <c r="BO59" s="133"/>
      <c r="BP59" s="133"/>
      <c r="BQ59" s="133"/>
      <c r="BR59" s="133"/>
      <c r="BS59" s="133"/>
      <c r="BT59" s="133"/>
      <c r="BU59" s="133"/>
      <c r="BV59" s="133"/>
      <c r="BW59" s="133"/>
    </row>
    <row r="60" spans="1:75" x14ac:dyDescent="0.25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3"/>
      <c r="AO60" s="133"/>
      <c r="AP60" s="133"/>
      <c r="AQ60" s="133"/>
      <c r="AR60" s="133"/>
      <c r="AS60" s="133"/>
      <c r="AT60" s="133"/>
      <c r="AU60" s="133"/>
      <c r="AV60" s="133"/>
      <c r="AW60" s="133"/>
      <c r="AX60" s="133"/>
      <c r="AY60" s="133"/>
      <c r="AZ60" s="133"/>
      <c r="BA60" s="133"/>
      <c r="BB60" s="133"/>
      <c r="BC60" s="133"/>
      <c r="BD60" s="133"/>
      <c r="BE60" s="133"/>
      <c r="BF60" s="133"/>
      <c r="BG60" s="133"/>
      <c r="BH60" s="133"/>
      <c r="BI60" s="133"/>
      <c r="BJ60" s="133"/>
      <c r="BK60" s="133"/>
      <c r="BL60" s="133"/>
      <c r="BM60" s="133"/>
      <c r="BN60" s="133"/>
      <c r="BO60" s="133"/>
      <c r="BP60" s="133"/>
      <c r="BQ60" s="133"/>
      <c r="BR60" s="133"/>
      <c r="BS60" s="133"/>
      <c r="BT60" s="133"/>
      <c r="BU60" s="133"/>
      <c r="BV60" s="133"/>
      <c r="BW60" s="133"/>
    </row>
    <row r="61" spans="1:75" x14ac:dyDescent="0.25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  <c r="AN61" s="133"/>
      <c r="AO61" s="133"/>
      <c r="AP61" s="133"/>
      <c r="AQ61" s="133"/>
      <c r="AR61" s="133"/>
      <c r="AS61" s="133"/>
      <c r="AT61" s="133"/>
      <c r="AU61" s="133"/>
      <c r="AV61" s="133"/>
      <c r="AW61" s="133"/>
      <c r="AX61" s="133"/>
      <c r="AY61" s="133"/>
      <c r="AZ61" s="133"/>
      <c r="BA61" s="133"/>
      <c r="BB61" s="133"/>
      <c r="BC61" s="133"/>
      <c r="BD61" s="133"/>
      <c r="BE61" s="133"/>
      <c r="BF61" s="133"/>
      <c r="BG61" s="133"/>
      <c r="BH61" s="133"/>
      <c r="BI61" s="133"/>
      <c r="BJ61" s="133"/>
      <c r="BK61" s="133"/>
      <c r="BL61" s="133"/>
      <c r="BM61" s="133"/>
      <c r="BN61" s="133"/>
      <c r="BO61" s="133"/>
      <c r="BP61" s="133"/>
      <c r="BQ61" s="133"/>
      <c r="BR61" s="133"/>
      <c r="BS61" s="133"/>
      <c r="BT61" s="133"/>
      <c r="BU61" s="133"/>
      <c r="BV61" s="133"/>
      <c r="BW61" s="133"/>
    </row>
    <row r="62" spans="1:75" x14ac:dyDescent="0.25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  <c r="AN62" s="133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3"/>
      <c r="BD62" s="133"/>
      <c r="BE62" s="133"/>
      <c r="BF62" s="133"/>
      <c r="BG62" s="133"/>
      <c r="BH62" s="133"/>
      <c r="BI62" s="133"/>
      <c r="BJ62" s="133"/>
      <c r="BK62" s="133"/>
      <c r="BL62" s="133"/>
      <c r="BM62" s="133"/>
      <c r="BN62" s="133"/>
      <c r="BO62" s="133"/>
      <c r="BP62" s="133"/>
      <c r="BQ62" s="133"/>
      <c r="BR62" s="133"/>
      <c r="BS62" s="133"/>
      <c r="BT62" s="133"/>
      <c r="BU62" s="133"/>
      <c r="BV62" s="133"/>
      <c r="BW62" s="133"/>
    </row>
    <row r="63" spans="1:75" x14ac:dyDescent="0.25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  <c r="AN63" s="133"/>
      <c r="AO63" s="133"/>
      <c r="AP63" s="133"/>
      <c r="AQ63" s="133"/>
      <c r="AR63" s="133"/>
      <c r="AS63" s="133"/>
      <c r="AT63" s="133"/>
      <c r="AU63" s="133"/>
      <c r="AV63" s="133"/>
      <c r="AW63" s="133"/>
      <c r="AX63" s="133"/>
      <c r="AY63" s="133"/>
      <c r="AZ63" s="133"/>
      <c r="BA63" s="133"/>
      <c r="BB63" s="133"/>
      <c r="BC63" s="133"/>
      <c r="BD63" s="133"/>
      <c r="BE63" s="133"/>
      <c r="BF63" s="133"/>
      <c r="BG63" s="133"/>
      <c r="BH63" s="133"/>
      <c r="BI63" s="133"/>
      <c r="BJ63" s="133"/>
      <c r="BK63" s="133"/>
      <c r="BL63" s="133"/>
      <c r="BM63" s="133"/>
      <c r="BN63" s="133"/>
      <c r="BO63" s="133"/>
      <c r="BP63" s="133"/>
      <c r="BQ63" s="133"/>
      <c r="BR63" s="133"/>
      <c r="BS63" s="133"/>
      <c r="BT63" s="133"/>
      <c r="BU63" s="133"/>
      <c r="BV63" s="133"/>
      <c r="BW63" s="133"/>
    </row>
    <row r="64" spans="1:75" x14ac:dyDescent="0.25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3"/>
      <c r="AO64" s="133"/>
      <c r="AP64" s="133"/>
      <c r="AQ64" s="133"/>
      <c r="AR64" s="133"/>
      <c r="AS64" s="133"/>
      <c r="AT64" s="133"/>
      <c r="AU64" s="133"/>
      <c r="AV64" s="133"/>
      <c r="AW64" s="133"/>
      <c r="AX64" s="133"/>
      <c r="AY64" s="133"/>
      <c r="AZ64" s="133"/>
      <c r="BA64" s="133"/>
      <c r="BB64" s="133"/>
      <c r="BC64" s="133"/>
      <c r="BD64" s="133"/>
      <c r="BE64" s="133"/>
      <c r="BF64" s="133"/>
      <c r="BG64" s="133"/>
      <c r="BH64" s="133"/>
      <c r="BI64" s="133"/>
      <c r="BJ64" s="133"/>
      <c r="BK64" s="133"/>
      <c r="BL64" s="133"/>
      <c r="BM64" s="133"/>
      <c r="BN64" s="133"/>
      <c r="BO64" s="133"/>
      <c r="BP64" s="133"/>
      <c r="BQ64" s="133"/>
      <c r="BR64" s="133"/>
      <c r="BS64" s="133"/>
      <c r="BT64" s="133"/>
      <c r="BU64" s="133"/>
      <c r="BV64" s="133"/>
      <c r="BW64" s="133"/>
    </row>
    <row r="65" spans="1:75" x14ac:dyDescent="0.25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33"/>
      <c r="AX65" s="133"/>
      <c r="AY65" s="133"/>
      <c r="AZ65" s="133"/>
      <c r="BA65" s="133"/>
      <c r="BB65" s="133"/>
      <c r="BC65" s="133"/>
      <c r="BD65" s="133"/>
      <c r="BE65" s="133"/>
      <c r="BF65" s="133"/>
      <c r="BG65" s="133"/>
      <c r="BH65" s="133"/>
      <c r="BI65" s="133"/>
      <c r="BJ65" s="133"/>
      <c r="BK65" s="133"/>
      <c r="BL65" s="133"/>
      <c r="BM65" s="133"/>
      <c r="BN65" s="133"/>
      <c r="BO65" s="133"/>
      <c r="BP65" s="133"/>
      <c r="BQ65" s="133"/>
      <c r="BR65" s="133"/>
      <c r="BS65" s="133"/>
      <c r="BT65" s="133"/>
      <c r="BU65" s="133"/>
      <c r="BV65" s="133"/>
      <c r="BW65" s="133"/>
    </row>
    <row r="66" spans="1:75" x14ac:dyDescent="0.25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  <c r="AH66" s="133"/>
      <c r="AI66" s="133"/>
      <c r="AJ66" s="133"/>
      <c r="AK66" s="133"/>
      <c r="AL66" s="133"/>
      <c r="AM66" s="133"/>
      <c r="AN66" s="133"/>
      <c r="AO66" s="133"/>
      <c r="AP66" s="133"/>
      <c r="AQ66" s="133"/>
      <c r="AR66" s="133"/>
      <c r="AS66" s="133"/>
      <c r="AT66" s="133"/>
      <c r="AU66" s="133"/>
      <c r="AV66" s="133"/>
      <c r="AW66" s="133"/>
      <c r="AX66" s="133"/>
      <c r="AY66" s="133"/>
      <c r="AZ66" s="133"/>
      <c r="BA66" s="133"/>
      <c r="BB66" s="133"/>
      <c r="BC66" s="133"/>
      <c r="BD66" s="133"/>
      <c r="BE66" s="133"/>
      <c r="BF66" s="133"/>
      <c r="BG66" s="133"/>
      <c r="BH66" s="133"/>
      <c r="BI66" s="133"/>
      <c r="BJ66" s="133"/>
      <c r="BK66" s="133"/>
      <c r="BL66" s="133"/>
      <c r="BM66" s="133"/>
      <c r="BN66" s="133"/>
      <c r="BO66" s="133"/>
      <c r="BP66" s="133"/>
      <c r="BQ66" s="133"/>
      <c r="BR66" s="133"/>
      <c r="BS66" s="133"/>
      <c r="BT66" s="133"/>
      <c r="BU66" s="133"/>
      <c r="BV66" s="133"/>
      <c r="BW66" s="133"/>
    </row>
    <row r="67" spans="1:75" x14ac:dyDescent="0.25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  <c r="AJ67" s="133"/>
      <c r="AK67" s="133"/>
      <c r="AL67" s="133"/>
      <c r="AM67" s="133"/>
      <c r="AN67" s="133"/>
      <c r="AO67" s="133"/>
      <c r="AP67" s="133"/>
      <c r="AQ67" s="133"/>
      <c r="AR67" s="133"/>
      <c r="AS67" s="133"/>
      <c r="AT67" s="133"/>
      <c r="AU67" s="133"/>
      <c r="AV67" s="133"/>
      <c r="AW67" s="133"/>
      <c r="AX67" s="133"/>
      <c r="AY67" s="133"/>
      <c r="AZ67" s="133"/>
      <c r="BA67" s="133"/>
      <c r="BB67" s="133"/>
      <c r="BC67" s="133"/>
      <c r="BD67" s="133"/>
      <c r="BE67" s="133"/>
      <c r="BF67" s="133"/>
      <c r="BG67" s="133"/>
      <c r="BH67" s="133"/>
      <c r="BI67" s="133"/>
      <c r="BJ67" s="133"/>
      <c r="BK67" s="133"/>
      <c r="BL67" s="133"/>
      <c r="BM67" s="133"/>
      <c r="BN67" s="133"/>
      <c r="BO67" s="133"/>
      <c r="BP67" s="133"/>
      <c r="BQ67" s="133"/>
      <c r="BR67" s="133"/>
      <c r="BS67" s="133"/>
      <c r="BT67" s="133"/>
      <c r="BU67" s="133"/>
      <c r="BV67" s="133"/>
      <c r="BW67" s="133"/>
    </row>
    <row r="68" spans="1:75" x14ac:dyDescent="0.25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33"/>
      <c r="AO68" s="133"/>
      <c r="AP68" s="133"/>
      <c r="AQ68" s="133"/>
      <c r="AR68" s="133"/>
      <c r="AS68" s="133"/>
      <c r="AT68" s="133"/>
      <c r="AU68" s="133"/>
      <c r="AV68" s="133"/>
      <c r="AW68" s="133"/>
      <c r="AX68" s="133"/>
      <c r="AY68" s="133"/>
      <c r="AZ68" s="133"/>
      <c r="BA68" s="133"/>
      <c r="BB68" s="133"/>
      <c r="BC68" s="133"/>
      <c r="BD68" s="133"/>
      <c r="BE68" s="133"/>
      <c r="BF68" s="133"/>
      <c r="BG68" s="133"/>
      <c r="BH68" s="133"/>
      <c r="BI68" s="133"/>
      <c r="BJ68" s="133"/>
      <c r="BK68" s="133"/>
      <c r="BL68" s="133"/>
      <c r="BM68" s="133"/>
      <c r="BN68" s="133"/>
      <c r="BO68" s="133"/>
      <c r="BP68" s="133"/>
      <c r="BQ68" s="133"/>
      <c r="BR68" s="133"/>
      <c r="BS68" s="133"/>
      <c r="BT68" s="133"/>
      <c r="BU68" s="133"/>
      <c r="BV68" s="133"/>
      <c r="BW68" s="133"/>
    </row>
    <row r="69" spans="1:75" x14ac:dyDescent="0.25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33"/>
      <c r="AO69" s="133"/>
      <c r="AP69" s="133"/>
      <c r="AQ69" s="133"/>
      <c r="AR69" s="133"/>
      <c r="AS69" s="133"/>
      <c r="AT69" s="133"/>
      <c r="AU69" s="133"/>
      <c r="AV69" s="133"/>
      <c r="AW69" s="133"/>
      <c r="AX69" s="133"/>
      <c r="AY69" s="133"/>
      <c r="AZ69" s="133"/>
      <c r="BA69" s="133"/>
      <c r="BB69" s="133"/>
      <c r="BC69" s="133"/>
      <c r="BD69" s="133"/>
      <c r="BE69" s="133"/>
      <c r="BF69" s="133"/>
      <c r="BG69" s="133"/>
      <c r="BH69" s="133"/>
      <c r="BI69" s="133"/>
      <c r="BJ69" s="133"/>
      <c r="BK69" s="133"/>
      <c r="BL69" s="133"/>
      <c r="BM69" s="133"/>
      <c r="BN69" s="133"/>
      <c r="BO69" s="133"/>
      <c r="BP69" s="133"/>
      <c r="BQ69" s="133"/>
      <c r="BR69" s="133"/>
      <c r="BS69" s="133"/>
      <c r="BT69" s="133"/>
      <c r="BU69" s="133"/>
      <c r="BV69" s="133"/>
      <c r="BW69" s="133"/>
    </row>
    <row r="70" spans="1:75" x14ac:dyDescent="0.25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33"/>
      <c r="AO70" s="133"/>
      <c r="AP70" s="133"/>
      <c r="AQ70" s="133"/>
      <c r="AR70" s="133"/>
      <c r="AS70" s="133"/>
      <c r="AT70" s="133"/>
      <c r="AU70" s="133"/>
      <c r="AV70" s="133"/>
      <c r="AW70" s="133"/>
      <c r="AX70" s="133"/>
      <c r="AY70" s="133"/>
      <c r="AZ70" s="133"/>
      <c r="BA70" s="133"/>
      <c r="BB70" s="133"/>
      <c r="BC70" s="133"/>
      <c r="BD70" s="133"/>
      <c r="BE70" s="133"/>
      <c r="BF70" s="133"/>
      <c r="BG70" s="133"/>
      <c r="BH70" s="133"/>
      <c r="BI70" s="133"/>
      <c r="BJ70" s="133"/>
      <c r="BK70" s="133"/>
      <c r="BL70" s="133"/>
      <c r="BM70" s="133"/>
      <c r="BN70" s="133"/>
      <c r="BO70" s="133"/>
      <c r="BP70" s="133"/>
      <c r="BQ70" s="133"/>
      <c r="BR70" s="133"/>
      <c r="BS70" s="133"/>
      <c r="BT70" s="133"/>
      <c r="BU70" s="133"/>
      <c r="BV70" s="133"/>
      <c r="BW70" s="133"/>
    </row>
    <row r="71" spans="1:75" x14ac:dyDescent="0.25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33"/>
      <c r="AO71" s="133"/>
      <c r="AP71" s="133"/>
      <c r="AQ71" s="133"/>
      <c r="AR71" s="133"/>
      <c r="AS71" s="133"/>
      <c r="AT71" s="133"/>
      <c r="AU71" s="133"/>
      <c r="AV71" s="133"/>
      <c r="AW71" s="133"/>
      <c r="AX71" s="133"/>
      <c r="AY71" s="133"/>
      <c r="AZ71" s="133"/>
      <c r="BA71" s="133"/>
      <c r="BB71" s="133"/>
      <c r="BC71" s="133"/>
      <c r="BD71" s="133"/>
      <c r="BE71" s="133"/>
      <c r="BF71" s="133"/>
      <c r="BG71" s="133"/>
      <c r="BH71" s="133"/>
      <c r="BI71" s="133"/>
      <c r="BJ71" s="133"/>
      <c r="BK71" s="133"/>
      <c r="BL71" s="133"/>
      <c r="BM71" s="133"/>
      <c r="BN71" s="133"/>
      <c r="BO71" s="133"/>
      <c r="BP71" s="133"/>
      <c r="BQ71" s="133"/>
      <c r="BR71" s="133"/>
      <c r="BS71" s="133"/>
      <c r="BT71" s="133"/>
      <c r="BU71" s="133"/>
      <c r="BV71" s="133"/>
      <c r="BW71" s="133"/>
    </row>
    <row r="72" spans="1:75" x14ac:dyDescent="0.25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33"/>
      <c r="AO72" s="133"/>
      <c r="AP72" s="133"/>
      <c r="AQ72" s="133"/>
      <c r="AR72" s="133"/>
      <c r="AS72" s="133"/>
      <c r="AT72" s="133"/>
      <c r="AU72" s="133"/>
      <c r="AV72" s="133"/>
      <c r="AW72" s="133"/>
      <c r="AX72" s="133"/>
      <c r="AY72" s="133"/>
      <c r="AZ72" s="133"/>
      <c r="BA72" s="133"/>
      <c r="BB72" s="133"/>
      <c r="BC72" s="133"/>
      <c r="BD72" s="133"/>
      <c r="BE72" s="133"/>
      <c r="BF72" s="133"/>
      <c r="BG72" s="133"/>
      <c r="BH72" s="133"/>
      <c r="BI72" s="133"/>
      <c r="BJ72" s="133"/>
      <c r="BK72" s="133"/>
      <c r="BL72" s="133"/>
      <c r="BM72" s="133"/>
      <c r="BN72" s="133"/>
      <c r="BO72" s="133"/>
      <c r="BP72" s="133"/>
      <c r="BQ72" s="133"/>
      <c r="BR72" s="133"/>
      <c r="BS72" s="133"/>
      <c r="BT72" s="133"/>
      <c r="BU72" s="133"/>
      <c r="BV72" s="133"/>
      <c r="BW72" s="133"/>
    </row>
    <row r="73" spans="1:75" x14ac:dyDescent="0.25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33"/>
      <c r="AO73" s="133"/>
      <c r="AP73" s="133"/>
      <c r="AQ73" s="133"/>
      <c r="AR73" s="133"/>
      <c r="AS73" s="133"/>
      <c r="AT73" s="133"/>
      <c r="AU73" s="133"/>
      <c r="AV73" s="133"/>
      <c r="AW73" s="133"/>
      <c r="AX73" s="133"/>
      <c r="AY73" s="133"/>
      <c r="AZ73" s="133"/>
      <c r="BA73" s="133"/>
      <c r="BB73" s="133"/>
      <c r="BC73" s="133"/>
      <c r="BD73" s="133"/>
      <c r="BE73" s="133"/>
      <c r="BF73" s="133"/>
      <c r="BG73" s="133"/>
      <c r="BH73" s="133"/>
      <c r="BI73" s="133"/>
      <c r="BJ73" s="133"/>
      <c r="BK73" s="133"/>
      <c r="BL73" s="133"/>
      <c r="BM73" s="133"/>
      <c r="BN73" s="133"/>
      <c r="BO73" s="133"/>
      <c r="BP73" s="133"/>
      <c r="BQ73" s="133"/>
      <c r="BR73" s="133"/>
      <c r="BS73" s="133"/>
      <c r="BT73" s="133"/>
      <c r="BU73" s="133"/>
      <c r="BV73" s="133"/>
      <c r="BW73" s="133"/>
    </row>
    <row r="74" spans="1:75" x14ac:dyDescent="0.25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33"/>
      <c r="AO74" s="133"/>
      <c r="AP74" s="133"/>
      <c r="AQ74" s="133"/>
      <c r="AR74" s="133"/>
      <c r="AS74" s="133"/>
      <c r="AT74" s="133"/>
      <c r="AU74" s="133"/>
      <c r="AV74" s="133"/>
      <c r="AW74" s="133"/>
      <c r="AX74" s="133"/>
      <c r="AY74" s="133"/>
      <c r="AZ74" s="133"/>
      <c r="BA74" s="133"/>
      <c r="BB74" s="133"/>
      <c r="BC74" s="133"/>
      <c r="BD74" s="133"/>
      <c r="BE74" s="133"/>
      <c r="BF74" s="133"/>
      <c r="BG74" s="133"/>
      <c r="BH74" s="133"/>
      <c r="BI74" s="133"/>
      <c r="BJ74" s="133"/>
      <c r="BK74" s="133"/>
      <c r="BL74" s="133"/>
      <c r="BM74" s="133"/>
      <c r="BN74" s="133"/>
      <c r="BO74" s="133"/>
      <c r="BP74" s="133"/>
      <c r="BQ74" s="133"/>
      <c r="BR74" s="133"/>
      <c r="BS74" s="133"/>
      <c r="BT74" s="133"/>
      <c r="BU74" s="133"/>
      <c r="BV74" s="133"/>
      <c r="BW74" s="133"/>
    </row>
    <row r="75" spans="1:75" x14ac:dyDescent="0.25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33"/>
      <c r="AO75" s="133"/>
      <c r="AP75" s="133"/>
      <c r="AQ75" s="133"/>
      <c r="AR75" s="133"/>
      <c r="AS75" s="133"/>
      <c r="AT75" s="133"/>
      <c r="AU75" s="133"/>
      <c r="AV75" s="133"/>
      <c r="AW75" s="133"/>
      <c r="AX75" s="133"/>
      <c r="AY75" s="133"/>
      <c r="AZ75" s="133"/>
      <c r="BA75" s="133"/>
      <c r="BB75" s="133"/>
      <c r="BC75" s="133"/>
      <c r="BD75" s="133"/>
      <c r="BE75" s="133"/>
      <c r="BF75" s="133"/>
      <c r="BG75" s="133"/>
      <c r="BH75" s="133"/>
      <c r="BI75" s="133"/>
      <c r="BJ75" s="133"/>
      <c r="BK75" s="133"/>
      <c r="BL75" s="133"/>
      <c r="BM75" s="133"/>
      <c r="BN75" s="133"/>
      <c r="BO75" s="133"/>
      <c r="BP75" s="133"/>
      <c r="BQ75" s="133"/>
      <c r="BR75" s="133"/>
      <c r="BS75" s="133"/>
      <c r="BT75" s="133"/>
      <c r="BU75" s="133"/>
      <c r="BV75" s="133"/>
      <c r="BW75" s="133"/>
    </row>
    <row r="76" spans="1:75" x14ac:dyDescent="0.25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33"/>
      <c r="AO76" s="133"/>
      <c r="AP76" s="133"/>
      <c r="AQ76" s="133"/>
      <c r="AR76" s="133"/>
      <c r="AS76" s="133"/>
      <c r="AT76" s="133"/>
      <c r="AU76" s="133"/>
      <c r="AV76" s="133"/>
      <c r="AW76" s="133"/>
      <c r="AX76" s="133"/>
      <c r="AY76" s="133"/>
      <c r="AZ76" s="133"/>
      <c r="BA76" s="133"/>
      <c r="BB76" s="133"/>
      <c r="BC76" s="133"/>
      <c r="BD76" s="133"/>
      <c r="BE76" s="133"/>
      <c r="BF76" s="133"/>
      <c r="BG76" s="133"/>
      <c r="BH76" s="133"/>
      <c r="BI76" s="133"/>
      <c r="BJ76" s="133"/>
      <c r="BK76" s="133"/>
      <c r="BL76" s="133"/>
      <c r="BM76" s="133"/>
      <c r="BN76" s="133"/>
      <c r="BO76" s="133"/>
      <c r="BP76" s="133"/>
      <c r="BQ76" s="133"/>
      <c r="BR76" s="133"/>
      <c r="BS76" s="133"/>
      <c r="BT76" s="133"/>
      <c r="BU76" s="133"/>
      <c r="BV76" s="133"/>
      <c r="BW76" s="133"/>
    </row>
    <row r="77" spans="1:75" x14ac:dyDescent="0.25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3"/>
      <c r="BB77" s="133"/>
      <c r="BC77" s="133"/>
      <c r="BD77" s="133"/>
      <c r="BE77" s="133"/>
      <c r="BF77" s="133"/>
      <c r="BG77" s="133"/>
      <c r="BH77" s="133"/>
      <c r="BI77" s="133"/>
      <c r="BJ77" s="133"/>
      <c r="BK77" s="133"/>
      <c r="BL77" s="133"/>
      <c r="BM77" s="133"/>
      <c r="BN77" s="133"/>
      <c r="BO77" s="133"/>
      <c r="BP77" s="133"/>
      <c r="BQ77" s="133"/>
      <c r="BR77" s="133"/>
      <c r="BS77" s="133"/>
      <c r="BT77" s="133"/>
      <c r="BU77" s="133"/>
      <c r="BV77" s="133"/>
      <c r="BW77" s="133"/>
    </row>
    <row r="78" spans="1:75" x14ac:dyDescent="0.25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3"/>
      <c r="BB78" s="133"/>
      <c r="BC78" s="133"/>
      <c r="BD78" s="133"/>
      <c r="BE78" s="133"/>
      <c r="BF78" s="133"/>
      <c r="BG78" s="133"/>
      <c r="BH78" s="133"/>
      <c r="BI78" s="133"/>
      <c r="BJ78" s="133"/>
      <c r="BK78" s="133"/>
      <c r="BL78" s="133"/>
      <c r="BM78" s="133"/>
      <c r="BN78" s="133"/>
      <c r="BO78" s="133"/>
      <c r="BP78" s="133"/>
      <c r="BQ78" s="133"/>
      <c r="BR78" s="133"/>
      <c r="BS78" s="133"/>
      <c r="BT78" s="133"/>
      <c r="BU78" s="133"/>
      <c r="BV78" s="133"/>
      <c r="BW78" s="133"/>
    </row>
    <row r="79" spans="1:75" x14ac:dyDescent="0.25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33"/>
      <c r="BV79" s="133"/>
      <c r="BW79" s="133"/>
    </row>
    <row r="80" spans="1:75" x14ac:dyDescent="0.25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3"/>
      <c r="BB80" s="133"/>
      <c r="BC80" s="133"/>
      <c r="BD80" s="133"/>
      <c r="BE80" s="133"/>
      <c r="BF80" s="133"/>
      <c r="BG80" s="133"/>
      <c r="BH80" s="133"/>
      <c r="BI80" s="133"/>
      <c r="BJ80" s="133"/>
      <c r="BK80" s="133"/>
      <c r="BL80" s="133"/>
      <c r="BM80" s="133"/>
      <c r="BN80" s="133"/>
      <c r="BO80" s="133"/>
      <c r="BP80" s="133"/>
      <c r="BQ80" s="133"/>
      <c r="BR80" s="133"/>
      <c r="BS80" s="133"/>
      <c r="BT80" s="133"/>
      <c r="BU80" s="133"/>
      <c r="BV80" s="133"/>
      <c r="BW80" s="133"/>
    </row>
    <row r="81" spans="1:75" x14ac:dyDescent="0.25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3"/>
      <c r="BB81" s="133"/>
      <c r="BC81" s="133"/>
      <c r="BD81" s="133"/>
      <c r="BE81" s="133"/>
      <c r="BF81" s="133"/>
      <c r="BG81" s="133"/>
      <c r="BH81" s="133"/>
      <c r="BI81" s="133"/>
      <c r="BJ81" s="133"/>
      <c r="BK81" s="133"/>
      <c r="BL81" s="133"/>
      <c r="BM81" s="133"/>
      <c r="BN81" s="133"/>
      <c r="BO81" s="133"/>
      <c r="BP81" s="133"/>
      <c r="BQ81" s="133"/>
      <c r="BR81" s="133"/>
      <c r="BS81" s="133"/>
      <c r="BT81" s="133"/>
      <c r="BU81" s="133"/>
      <c r="BV81" s="133"/>
      <c r="BW81" s="133"/>
    </row>
    <row r="82" spans="1:75" x14ac:dyDescent="0.25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3"/>
      <c r="BB82" s="133"/>
      <c r="BC82" s="133"/>
      <c r="BD82" s="133"/>
      <c r="BE82" s="133"/>
      <c r="BF82" s="133"/>
      <c r="BG82" s="133"/>
      <c r="BH82" s="133"/>
      <c r="BI82" s="133"/>
      <c r="BJ82" s="133"/>
      <c r="BK82" s="133"/>
      <c r="BL82" s="133"/>
      <c r="BM82" s="133"/>
      <c r="BN82" s="133"/>
      <c r="BO82" s="133"/>
      <c r="BP82" s="133"/>
      <c r="BQ82" s="133"/>
      <c r="BR82" s="133"/>
      <c r="BS82" s="133"/>
      <c r="BT82" s="133"/>
      <c r="BU82" s="133"/>
      <c r="BV82" s="133"/>
      <c r="BW82" s="133"/>
    </row>
    <row r="83" spans="1:75" x14ac:dyDescent="0.25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3"/>
      <c r="BB83" s="133"/>
      <c r="BC83" s="133"/>
      <c r="BD83" s="133"/>
      <c r="BE83" s="133"/>
      <c r="BF83" s="133"/>
      <c r="BG83" s="133"/>
      <c r="BH83" s="133"/>
      <c r="BI83" s="133"/>
      <c r="BJ83" s="133"/>
      <c r="BK83" s="133"/>
      <c r="BL83" s="133"/>
      <c r="BM83" s="133"/>
      <c r="BN83" s="133"/>
      <c r="BO83" s="133"/>
      <c r="BP83" s="133"/>
      <c r="BQ83" s="133"/>
      <c r="BR83" s="133"/>
      <c r="BS83" s="133"/>
      <c r="BT83" s="133"/>
      <c r="BU83" s="133"/>
      <c r="BV83" s="133"/>
      <c r="BW83" s="133"/>
    </row>
    <row r="84" spans="1:75" x14ac:dyDescent="0.25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3"/>
      <c r="BB84" s="133"/>
      <c r="BC84" s="133"/>
      <c r="BD84" s="133"/>
      <c r="BE84" s="133"/>
      <c r="BF84" s="133"/>
      <c r="BG84" s="133"/>
      <c r="BH84" s="133"/>
      <c r="BI84" s="133"/>
      <c r="BJ84" s="133"/>
      <c r="BK84" s="133"/>
      <c r="BL84" s="133"/>
      <c r="BM84" s="133"/>
      <c r="BN84" s="133"/>
      <c r="BO84" s="133"/>
      <c r="BP84" s="133"/>
      <c r="BQ84" s="133"/>
      <c r="BR84" s="133"/>
      <c r="BS84" s="133"/>
      <c r="BT84" s="133"/>
      <c r="BU84" s="133"/>
      <c r="BV84" s="133"/>
      <c r="BW84" s="133"/>
    </row>
    <row r="85" spans="1:75" x14ac:dyDescent="0.25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3"/>
      <c r="BB85" s="133"/>
      <c r="BC85" s="133"/>
      <c r="BD85" s="133"/>
      <c r="BE85" s="133"/>
      <c r="BF85" s="133"/>
      <c r="BG85" s="133"/>
      <c r="BH85" s="133"/>
      <c r="BI85" s="133"/>
      <c r="BJ85" s="133"/>
      <c r="BK85" s="133"/>
      <c r="BL85" s="133"/>
      <c r="BM85" s="133"/>
      <c r="BN85" s="133"/>
      <c r="BO85" s="133"/>
      <c r="BP85" s="133"/>
      <c r="BQ85" s="133"/>
      <c r="BR85" s="133"/>
      <c r="BS85" s="133"/>
      <c r="BT85" s="133"/>
      <c r="BU85" s="133"/>
      <c r="BV85" s="133"/>
      <c r="BW85" s="133"/>
    </row>
    <row r="86" spans="1:75" x14ac:dyDescent="0.25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3"/>
      <c r="BB86" s="133"/>
      <c r="BC86" s="133"/>
      <c r="BD86" s="133"/>
      <c r="BE86" s="133"/>
      <c r="BF86" s="133"/>
      <c r="BG86" s="133"/>
      <c r="BH86" s="133"/>
      <c r="BI86" s="133"/>
      <c r="BJ86" s="133"/>
      <c r="BK86" s="133"/>
      <c r="BL86" s="133"/>
      <c r="BM86" s="133"/>
      <c r="BN86" s="133"/>
      <c r="BO86" s="133"/>
      <c r="BP86" s="133"/>
      <c r="BQ86" s="133"/>
      <c r="BR86" s="133"/>
      <c r="BS86" s="133"/>
      <c r="BT86" s="133"/>
      <c r="BU86" s="133"/>
      <c r="BV86" s="133"/>
      <c r="BW86" s="133"/>
    </row>
    <row r="87" spans="1:75" x14ac:dyDescent="0.25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3"/>
      <c r="BB87" s="133"/>
      <c r="BC87" s="133"/>
      <c r="BD87" s="133"/>
      <c r="BE87" s="133"/>
      <c r="BF87" s="133"/>
      <c r="BG87" s="133"/>
      <c r="BH87" s="133"/>
      <c r="BI87" s="133"/>
      <c r="BJ87" s="133"/>
      <c r="BK87" s="133"/>
      <c r="BL87" s="133"/>
      <c r="BM87" s="133"/>
      <c r="BN87" s="133"/>
      <c r="BO87" s="133"/>
      <c r="BP87" s="133"/>
      <c r="BQ87" s="133"/>
      <c r="BR87" s="133"/>
      <c r="BS87" s="133"/>
      <c r="BT87" s="133"/>
      <c r="BU87" s="133"/>
      <c r="BV87" s="133"/>
      <c r="BW87" s="133"/>
    </row>
    <row r="88" spans="1:75" x14ac:dyDescent="0.25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3"/>
      <c r="BB88" s="133"/>
      <c r="BC88" s="133"/>
      <c r="BD88" s="133"/>
      <c r="BE88" s="133"/>
      <c r="BF88" s="133"/>
      <c r="BG88" s="133"/>
      <c r="BH88" s="133"/>
      <c r="BI88" s="133"/>
      <c r="BJ88" s="133"/>
      <c r="BK88" s="133"/>
      <c r="BL88" s="133"/>
      <c r="BM88" s="133"/>
      <c r="BN88" s="133"/>
      <c r="BO88" s="133"/>
      <c r="BP88" s="133"/>
      <c r="BQ88" s="133"/>
      <c r="BR88" s="133"/>
      <c r="BS88" s="133"/>
      <c r="BT88" s="133"/>
      <c r="BU88" s="133"/>
      <c r="BV88" s="133"/>
      <c r="BW88" s="133"/>
    </row>
    <row r="89" spans="1:75" x14ac:dyDescent="0.25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3"/>
      <c r="BD89" s="133"/>
      <c r="BE89" s="133"/>
      <c r="BF89" s="133"/>
      <c r="BG89" s="133"/>
      <c r="BH89" s="133"/>
      <c r="BI89" s="133"/>
      <c r="BJ89" s="133"/>
      <c r="BK89" s="133"/>
      <c r="BL89" s="133"/>
      <c r="BM89" s="133"/>
      <c r="BN89" s="133"/>
      <c r="BO89" s="133"/>
      <c r="BP89" s="133"/>
      <c r="BQ89" s="133"/>
      <c r="BR89" s="133"/>
      <c r="BS89" s="133"/>
      <c r="BT89" s="133"/>
      <c r="BU89" s="133"/>
      <c r="BV89" s="133"/>
      <c r="BW89" s="133"/>
    </row>
    <row r="90" spans="1:75" x14ac:dyDescent="0.25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3"/>
      <c r="BB90" s="133"/>
      <c r="BC90" s="133"/>
      <c r="BD90" s="133"/>
      <c r="BE90" s="133"/>
      <c r="BF90" s="133"/>
      <c r="BG90" s="133"/>
      <c r="BH90" s="133"/>
      <c r="BI90" s="133"/>
      <c r="BJ90" s="133"/>
      <c r="BK90" s="133"/>
      <c r="BL90" s="133"/>
      <c r="BM90" s="133"/>
      <c r="BN90" s="133"/>
      <c r="BO90" s="133"/>
      <c r="BP90" s="133"/>
      <c r="BQ90" s="133"/>
      <c r="BR90" s="133"/>
      <c r="BS90" s="133"/>
      <c r="BT90" s="133"/>
      <c r="BU90" s="133"/>
      <c r="BV90" s="133"/>
      <c r="BW90" s="133"/>
    </row>
    <row r="91" spans="1:75" x14ac:dyDescent="0.25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3"/>
      <c r="BB91" s="133"/>
      <c r="BC91" s="133"/>
      <c r="BD91" s="133"/>
      <c r="BE91" s="133"/>
      <c r="BF91" s="133"/>
      <c r="BG91" s="133"/>
      <c r="BH91" s="133"/>
      <c r="BI91" s="133"/>
      <c r="BJ91" s="133"/>
      <c r="BK91" s="133"/>
      <c r="BL91" s="133"/>
      <c r="BM91" s="133"/>
      <c r="BN91" s="133"/>
      <c r="BO91" s="133"/>
      <c r="BP91" s="133"/>
      <c r="BQ91" s="133"/>
      <c r="BR91" s="133"/>
      <c r="BS91" s="133"/>
      <c r="BT91" s="133"/>
      <c r="BU91" s="133"/>
      <c r="BV91" s="133"/>
      <c r="BW91" s="133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98" t="s">
        <v>14</v>
      </c>
      <c r="B2" s="103">
        <f>+_xlfn.XLOOKUP($A2,'R (s01)'!B:B,'R (s01)'!D:D,"Falta")</f>
        <v>1</v>
      </c>
      <c r="C2" s="104">
        <f>+_xlfn.XLOOKUP($A2,'R (s01)'!B:B,'R (s01)'!E:E,"Falta")</f>
        <v>1</v>
      </c>
      <c r="D2" s="104">
        <f>+_xlfn.XLOOKUP($A2,'R (s01)'!B:B,'R (s01)'!F:F,"Falta")</f>
        <v>1</v>
      </c>
      <c r="E2" s="104">
        <f>+_xlfn.XLOOKUP($A2,'R (s01)'!B:B,'R (s01)'!G:G,"Falta")</f>
        <v>1</v>
      </c>
      <c r="F2" s="105">
        <f>IFERROR(_xlfn.XLOOKUP(A2,diario!D:D,diario!L:L,"")*1000,"")</f>
        <v>31540</v>
      </c>
      <c r="G2" s="107">
        <v>31476.842000000004</v>
      </c>
      <c r="H2" s="115">
        <f>IF(SUMIFS(Tabla1[Avance_km],Tabla1[Ducto],$A2,Tabla1[nombre_actividad],H$1)=0,"",SUMIFS(Tabla1[Avance_km],Tabla1[Ducto],$A2,Tabla1[nombre_actividad],H$1))</f>
        <v>31.54</v>
      </c>
      <c r="I2" s="115">
        <f>IF(SUMIFS(Tabla1[Avance_km],Tabla1[Ducto],$A2,Tabla1[nombre_actividad],I$1)=0,"",SUMIFS(Tabla1[Avance_km],Tabla1[Ducto],$A2,Tabla1[nombre_actividad],I$1))</f>
        <v>31.54</v>
      </c>
      <c r="J2" s="115">
        <f>IF(SUMIFS(Tabla1[Avance_km],Tabla1[Ducto],$A2,Tabla1[nombre_actividad],J$1)=0,"",SUMIFS(Tabla1[Avance_km],Tabla1[Ducto],$A2,Tabla1[nombre_actividad],J$1))</f>
        <v>31.54</v>
      </c>
      <c r="K2" s="116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99" t="s">
        <v>40</v>
      </c>
      <c r="B3" s="103">
        <f>+_xlfn.XLOOKUP($A3,'R (s01)'!B:B,'R (s01)'!D:D,"Falta")</f>
        <v>1</v>
      </c>
      <c r="C3" s="104">
        <f>+_xlfn.XLOOKUP($A3,'R (s01)'!B:B,'R (s01)'!E:E,"Falta")</f>
        <v>1</v>
      </c>
      <c r="D3" s="104">
        <f>+_xlfn.XLOOKUP($A3,'R (s01)'!B:B,'R (s01)'!F:F,"Falta")</f>
        <v>1</v>
      </c>
      <c r="E3" s="104">
        <f>+_xlfn.XLOOKUP($A3,'R (s01)'!B:B,'R (s01)'!G:G,"Falta")</f>
        <v>1</v>
      </c>
      <c r="F3" s="105">
        <f>IFERROR(_xlfn.XLOOKUP(A3,diario!D:D,diario!L:L,"")*1000,"")</f>
        <v>20</v>
      </c>
      <c r="G3" s="107">
        <v>3.47</v>
      </c>
      <c r="H3" s="115">
        <f>IF(SUMIFS(Tabla1[Avance_km],Tabla1[Ducto],$A3,Tabla1[nombre_actividad],H$1)=0,"",SUMIFS(Tabla1[Avance_km],Tabla1[Ducto],$A3,Tabla1[nombre_actividad],H$1))</f>
        <v>0.02</v>
      </c>
      <c r="I3" s="115">
        <f>IF(SUMIFS(Tabla1[Avance_km],Tabla1[Ducto],$A3,Tabla1[nombre_actividad],I$1)=0,"",SUMIFS(Tabla1[Avance_km],Tabla1[Ducto],$A3,Tabla1[nombre_actividad],I$1))</f>
        <v>0.02</v>
      </c>
      <c r="J3" s="115">
        <f>IF(SUMIFS(Tabla1[Avance_km],Tabla1[Ducto],$A3,Tabla1[nombre_actividad],J$1)=0,"",SUMIFS(Tabla1[Avance_km],Tabla1[Ducto],$A3,Tabla1[nombre_actividad],J$1))</f>
        <v>0.02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41</v>
      </c>
      <c r="B4" s="103">
        <f>+_xlfn.XLOOKUP($A4,'R (s01)'!B:B,'R (s01)'!D:D,"Falta")</f>
        <v>1</v>
      </c>
      <c r="C4" s="104">
        <f>+_xlfn.XLOOKUP($A4,'R (s01)'!B:B,'R (s01)'!E:E,"Falta")</f>
        <v>1</v>
      </c>
      <c r="D4" s="104">
        <f>+_xlfn.XLOOKUP($A4,'R (s01)'!B:B,'R (s01)'!F:F,"Falta")</f>
        <v>1</v>
      </c>
      <c r="E4" s="185" t="s">
        <v>342</v>
      </c>
      <c r="F4" s="105">
        <f>IFERROR(_xlfn.XLOOKUP(A4,diario!D:D,diario!L:L,"")*1000,"")</f>
        <v>70</v>
      </c>
      <c r="G4" s="107">
        <v>39.53</v>
      </c>
      <c r="H4" s="115">
        <f>IF(SUMIFS(Tabla1[Avance_km],Tabla1[Ducto],$A4,Tabla1[nombre_actividad],H$1)=0,"",SUMIFS(Tabla1[Avance_km],Tabla1[Ducto],$A4,Tabla1[nombre_actividad],H$1))</f>
        <v>7.0000000000000007E-2</v>
      </c>
      <c r="I4" s="115">
        <f>IF(SUMIFS(Tabla1[Avance_km],Tabla1[Ducto],$A4,Tabla1[nombre_actividad],I$1)=0,"",SUMIFS(Tabla1[Avance_km],Tabla1[Ducto],$A4,Tabla1[nombre_actividad],I$1))</f>
        <v>7.0000000000000007E-2</v>
      </c>
      <c r="J4" s="115">
        <f>IF(SUMIFS(Tabla1[Avance_km],Tabla1[Ducto],$A4,Tabla1[nombre_actividad],J$1)=0,"",SUMIFS(Tabla1[Avance_km],Tabla1[Ducto],$A4,Tabla1[nombre_actividad],J$1))</f>
        <v>7.0000000000000007E-2</v>
      </c>
      <c r="K4" s="137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42</v>
      </c>
      <c r="B5" s="103">
        <f>+_xlfn.XLOOKUP($A5,'R (s01)'!B:B,'R (s01)'!D:D,"Falta")</f>
        <v>1</v>
      </c>
      <c r="C5" s="104">
        <f>+_xlfn.XLOOKUP($A5,'R (s01)'!B:B,'R (s01)'!E:E,"Falta")</f>
        <v>1</v>
      </c>
      <c r="D5" s="104">
        <f>+_xlfn.XLOOKUP($A5,'R (s01)'!B:B,'R (s01)'!F:F,"Falta")</f>
        <v>1</v>
      </c>
      <c r="E5" s="104">
        <f>+_xlfn.XLOOKUP($A5,'R (s01)'!B:B,'R (s01)'!G:G,"Falta")</f>
        <v>1</v>
      </c>
      <c r="F5" s="105">
        <f>IFERROR(_xlfn.XLOOKUP(A5,diario!D:D,diario!L:L,"")*1000,"")</f>
        <v>70</v>
      </c>
      <c r="G5" s="107">
        <v>36.159999999999997</v>
      </c>
      <c r="H5" s="115">
        <f>IF(SUMIFS(Tabla1[Avance_km],Tabla1[Ducto],$A5,Tabla1[nombre_actividad],H$1)=0,"",SUMIFS(Tabla1[Avance_km],Tabla1[Ducto],$A5,Tabla1[nombre_actividad],H$1))</f>
        <v>7.0000000000000007E-2</v>
      </c>
      <c r="I5" s="115">
        <f>IF(SUMIFS(Tabla1[Avance_km],Tabla1[Ducto],$A5,Tabla1[nombre_actividad],I$1)=0,"",SUMIFS(Tabla1[Avance_km],Tabla1[Ducto],$A5,Tabla1[nombre_actividad],I$1))</f>
        <v>7.0000000000000007E-2</v>
      </c>
      <c r="J5" s="115">
        <f>IF(SUMIFS(Tabla1[Avance_km],Tabla1[Ducto],$A5,Tabla1[nombre_actividad],J$1)=0,"",SUMIFS(Tabla1[Avance_km],Tabla1[Ducto],$A5,Tabla1[nombre_actividad],J$1))</f>
        <v>7.0000000000000007E-2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99" t="s">
        <v>43</v>
      </c>
      <c r="B6" s="103">
        <f>+_xlfn.XLOOKUP($A6,'R (s01)'!B:B,'R (s01)'!D:D,"Falta")</f>
        <v>1</v>
      </c>
      <c r="C6" s="104">
        <f>+_xlfn.XLOOKUP($A6,'R (s01)'!B:B,'R (s01)'!E:E,"Falta")</f>
        <v>1</v>
      </c>
      <c r="D6" s="104">
        <f>+_xlfn.XLOOKUP($A6,'R (s01)'!B:B,'R (s01)'!F:F,"Falta")</f>
        <v>1</v>
      </c>
      <c r="E6" s="104">
        <f>+_xlfn.XLOOKUP($A6,'R (s01)'!B:B,'R (s01)'!G:G,"Falta")</f>
        <v>1</v>
      </c>
      <c r="F6" s="105">
        <f>IFERROR(_xlfn.XLOOKUP(A6,diario!D:D,diario!L:L,"")*1000,"")</f>
        <v>15</v>
      </c>
      <c r="G6" s="107">
        <v>7.24</v>
      </c>
      <c r="H6" s="115">
        <f>IF(SUMIFS(Tabla1[Avance_km],Tabla1[Ducto],$A6,Tabla1[nombre_actividad],H$1)=0,"",SUMIFS(Tabla1[Avance_km],Tabla1[Ducto],$A6,Tabla1[nombre_actividad],H$1))</f>
        <v>1.4999999999999999E-2</v>
      </c>
      <c r="I6" s="115">
        <f>IF(SUMIFS(Tabla1[Avance_km],Tabla1[Ducto],$A6,Tabla1[nombre_actividad],I$1)=0,"",SUMIFS(Tabla1[Avance_km],Tabla1[Ducto],$A6,Tabla1[nombre_actividad],I$1))</f>
        <v>1.4999999999999999E-2</v>
      </c>
      <c r="J6" s="115">
        <f>IF(SUMIFS(Tabla1[Avance_km],Tabla1[Ducto],$A6,Tabla1[nombre_actividad],J$1)=0,"",SUMIFS(Tabla1[Avance_km],Tabla1[Ducto],$A6,Tabla1[nombre_actividad],J$1))</f>
        <v>1.4999999999999999E-2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99" t="s">
        <v>45</v>
      </c>
      <c r="B7" s="103">
        <f>+_xlfn.XLOOKUP($A7,'R (s01)'!B:B,'R (s01)'!D:D,"Falta")</f>
        <v>1</v>
      </c>
      <c r="C7" s="104">
        <f>+_xlfn.XLOOKUP($A7,'R (s01)'!B:B,'R (s01)'!E:E,"Falta")</f>
        <v>1</v>
      </c>
      <c r="D7" s="104">
        <f>+_xlfn.XLOOKUP($A7,'R (s01)'!B:B,'R (s01)'!F:F,"Falta")</f>
        <v>1</v>
      </c>
      <c r="E7" s="104">
        <f>+_xlfn.XLOOKUP($A7,'R (s01)'!B:B,'R (s01)'!G:G,"Falta")</f>
        <v>1</v>
      </c>
      <c r="F7" s="105">
        <f>IFERROR(_xlfn.XLOOKUP(A7,diario!D:D,diario!L:L,"")*1000,"")</f>
        <v>10</v>
      </c>
      <c r="G7" s="107">
        <v>9.81</v>
      </c>
      <c r="H7" s="115">
        <f>IF(SUMIFS(Tabla1[Avance_km],Tabla1[Ducto],$A7,Tabla1[nombre_actividad],H$1)=0,"",SUMIFS(Tabla1[Avance_km],Tabla1[Ducto],$A7,Tabla1[nombre_actividad],H$1))</f>
        <v>0.01</v>
      </c>
      <c r="I7" s="115">
        <f>IF(SUMIFS(Tabla1[Avance_km],Tabla1[Ducto],$A7,Tabla1[nombre_actividad],I$1)=0,"",SUMIFS(Tabla1[Avance_km],Tabla1[Ducto],$A7,Tabla1[nombre_actividad],I$1))</f>
        <v>0.01</v>
      </c>
      <c r="J7" s="115">
        <f>IF(SUMIFS(Tabla1[Avance_km],Tabla1[Ducto],$A7,Tabla1[nombre_actividad],J$1)=0,"",SUMIFS(Tabla1[Avance_km],Tabla1[Ducto],$A7,Tabla1[nombre_actividad],J$1))</f>
        <v>0.01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99" t="s">
        <v>17</v>
      </c>
      <c r="B8" s="103">
        <f>+_xlfn.XLOOKUP($A8,'R (s01)'!B:B,'R (s01)'!D:D,"Falta")</f>
        <v>1</v>
      </c>
      <c r="C8" s="104">
        <f>+_xlfn.XLOOKUP($A8,'R (s01)'!B:B,'R (s01)'!E:E,"Falta")</f>
        <v>1</v>
      </c>
      <c r="D8" s="104">
        <f>+_xlfn.XLOOKUP($A8,'R (s01)'!B:B,'R (s01)'!F:F,"Falta")</f>
        <v>1</v>
      </c>
      <c r="E8" s="104">
        <f>+_xlfn.XLOOKUP($A8,'R (s01)'!B:B,'R (s01)'!G:G,"Falta")</f>
        <v>1</v>
      </c>
      <c r="F8" s="105">
        <f>IFERROR(_xlfn.XLOOKUP(A8,diario!D:D,diario!L:L,"")*1000,"")</f>
        <v>1982</v>
      </c>
      <c r="G8" s="107">
        <v>1982.79</v>
      </c>
      <c r="H8" s="115">
        <f>IF(SUMIFS(Tabla1[Avance_km],Tabla1[Ducto],$A8,Tabla1[nombre_actividad],H$1)=0,"",SUMIFS(Tabla1[Avance_km],Tabla1[Ducto],$A8,Tabla1[nombre_actividad],H$1))</f>
        <v>1.982</v>
      </c>
      <c r="I8" s="115">
        <f>IF(SUMIFS(Tabla1[Avance_km],Tabla1[Ducto],$A8,Tabla1[nombre_actividad],I$1)=0,"",SUMIFS(Tabla1[Avance_km],Tabla1[Ducto],$A8,Tabla1[nombre_actividad],I$1))</f>
        <v>1.982</v>
      </c>
      <c r="J8" s="115">
        <f>IF(SUMIFS(Tabla1[Avance_km],Tabla1[Ducto],$A8,Tabla1[nombre_actividad],J$1)=0,"",SUMIFS(Tabla1[Avance_km],Tabla1[Ducto],$A8,Tabla1[nombre_actividad],J$1))</f>
        <v>1.982</v>
      </c>
      <c r="K8" s="116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0" t="s">
        <v>18</v>
      </c>
      <c r="B9" s="103">
        <f>+_xlfn.XLOOKUP($A9,'R (s01)'!B:B,'R (s01)'!D:D,"Falta")</f>
        <v>1</v>
      </c>
      <c r="C9" s="104">
        <f>+_xlfn.XLOOKUP($A9,'R (s01)'!B:B,'R (s01)'!E:E,"Falta")</f>
        <v>1</v>
      </c>
      <c r="D9" s="104">
        <f>+_xlfn.XLOOKUP($A9,'R (s01)'!B:B,'R (s01)'!F:F,"Falta")</f>
        <v>1</v>
      </c>
      <c r="E9" s="104">
        <f>+_xlfn.XLOOKUP($A9,'R (s01)'!B:B,'R (s01)'!G:G,"Falta")</f>
        <v>1</v>
      </c>
      <c r="F9" s="105">
        <f>IFERROR(_xlfn.XLOOKUP(A9,diario!D:D,diario!L:L,"")*1000,"")</f>
        <v>175</v>
      </c>
      <c r="G9" s="107">
        <v>175.21</v>
      </c>
      <c r="H9" s="115">
        <f>IF(SUMIFS(Tabla1[Avance_km],Tabla1[Ducto],$A9,Tabla1[nombre_actividad],H$1)=0,"",SUMIFS(Tabla1[Avance_km],Tabla1[Ducto],$A9,Tabla1[nombre_actividad],H$1))</f>
        <v>0.17499999999999999</v>
      </c>
      <c r="I9" s="115">
        <f>IF(SUMIFS(Tabla1[Avance_km],Tabla1[Ducto],$A9,Tabla1[nombre_actividad],I$1)=0,"",SUMIFS(Tabla1[Avance_km],Tabla1[Ducto],$A9,Tabla1[nombre_actividad],I$1))</f>
        <v>0.17499999999999999</v>
      </c>
      <c r="J9" s="115">
        <f>IF(SUMIFS(Tabla1[Avance_km],Tabla1[Ducto],$A9,Tabla1[nombre_actividad],J$1)=0,"",SUMIFS(Tabla1[Avance_km],Tabla1[Ducto],$A9,Tabla1[nombre_actividad],J$1))</f>
        <v>0.17499999999999999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1" t="s">
        <v>19</v>
      </c>
      <c r="B10" s="103">
        <f>+_xlfn.XLOOKUP($A10,'R (s01)'!B:B,'R (s01)'!D:D,"Falta")</f>
        <v>1</v>
      </c>
      <c r="C10" s="104">
        <f>+_xlfn.XLOOKUP($A10,'R (s01)'!B:B,'R (s01)'!E:E,"Falta")</f>
        <v>1</v>
      </c>
      <c r="D10" s="104">
        <f>+_xlfn.XLOOKUP($A10,'R (s01)'!B:B,'R (s01)'!F:F,"Falta")</f>
        <v>1</v>
      </c>
      <c r="E10" s="185" t="s">
        <v>342</v>
      </c>
      <c r="F10" s="105">
        <f>IFERROR(_xlfn.XLOOKUP(A10,diario!D:D,diario!L:L,"")*1000,"")</f>
        <v>15</v>
      </c>
      <c r="G10" s="107">
        <v>13.33</v>
      </c>
      <c r="H10" s="115">
        <f>IF(SUMIFS(Tabla1[Avance_km],Tabla1[Ducto],$A10,Tabla1[nombre_actividad],H$1)=0,"",SUMIFS(Tabla1[Avance_km],Tabla1[Ducto],$A10,Tabla1[nombre_actividad],H$1))</f>
        <v>1.4999999999999999E-2</v>
      </c>
      <c r="I10" s="115">
        <f>IF(SUMIFS(Tabla1[Avance_km],Tabla1[Ducto],$A10,Tabla1[nombre_actividad],I$1)=0,"",SUMIFS(Tabla1[Avance_km],Tabla1[Ducto],$A10,Tabla1[nombre_actividad],I$1))</f>
        <v>1.4999999999999999E-2</v>
      </c>
      <c r="J10" s="115">
        <f>IF(SUMIFS(Tabla1[Avance_km],Tabla1[Ducto],$A10,Tabla1[nombre_actividad],J$1)=0,"",SUMIFS(Tabla1[Avance_km],Tabla1[Ducto],$A10,Tabla1[nombre_actividad],J$1))</f>
        <v>1.4999999999999999E-2</v>
      </c>
      <c r="K10" s="137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52</v>
      </c>
      <c r="B11" s="103">
        <f>+_xlfn.XLOOKUP($A11,'R (s01)'!B:B,'R (s01)'!D:D,"Falta")</f>
        <v>1</v>
      </c>
      <c r="C11" s="104">
        <f>+_xlfn.XLOOKUP($A11,'R (s01)'!B:B,'R (s01)'!E:E,"Falta")</f>
        <v>1</v>
      </c>
      <c r="D11" s="104">
        <f>+_xlfn.XLOOKUP($A11,'R (s01)'!B:B,'R (s01)'!F:F,"Falta")</f>
        <v>1</v>
      </c>
      <c r="E11" s="104">
        <f>+_xlfn.XLOOKUP($A11,'R (s01)'!B:B,'R (s01)'!G:G,"Falta")</f>
        <v>1</v>
      </c>
      <c r="F11" s="105">
        <f>IFERROR(_xlfn.XLOOKUP(A11,diario!D:D,diario!L:L,"")*1000,"")</f>
        <v>10</v>
      </c>
      <c r="G11" s="107">
        <v>7.05</v>
      </c>
      <c r="H11" s="115">
        <f>IF(SUMIFS(Tabla1[Avance_km],Tabla1[Ducto],$A11,Tabla1[nombre_actividad],H$1)=0,"",SUMIFS(Tabla1[Avance_km],Tabla1[Ducto],$A11,Tabla1[nombre_actividad],H$1))</f>
        <v>0.01</v>
      </c>
      <c r="I11" s="115">
        <f>IF(SUMIFS(Tabla1[Avance_km],Tabla1[Ducto],$A11,Tabla1[nombre_actividad],I$1)=0,"",SUMIFS(Tabla1[Avance_km],Tabla1[Ducto],$A11,Tabla1[nombre_actividad],I$1))</f>
        <v>0.01</v>
      </c>
      <c r="J11" s="115">
        <f>IF(SUMIFS(Tabla1[Avance_km],Tabla1[Ducto],$A11,Tabla1[nombre_actividad],J$1)=0,"",SUMIFS(Tabla1[Avance_km],Tabla1[Ducto],$A11,Tabla1[nombre_actividad],J$1))</f>
        <v>0.01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53</v>
      </c>
      <c r="B12" s="103">
        <f>+_xlfn.XLOOKUP($A12,'R (s01)'!B:B,'R (s01)'!D:D,"Falta")</f>
        <v>1</v>
      </c>
      <c r="C12" s="104">
        <f>+_xlfn.XLOOKUP($A12,'R (s01)'!B:B,'R (s01)'!E:E,"Falta")</f>
        <v>1</v>
      </c>
      <c r="D12" s="104">
        <f>+_xlfn.XLOOKUP($A12,'R (s01)'!B:B,'R (s01)'!F:F,"Falta")</f>
        <v>1</v>
      </c>
      <c r="E12" s="185" t="s">
        <v>342</v>
      </c>
      <c r="F12" s="105">
        <f>IFERROR(_xlfn.XLOOKUP(A12,diario!D:D,diario!L:L,"")*1000,"")</f>
        <v>15</v>
      </c>
      <c r="G12" s="107">
        <v>11.65</v>
      </c>
      <c r="H12" s="115">
        <f>IF(SUMIFS(Tabla1[Avance_km],Tabla1[Ducto],$A12,Tabla1[nombre_actividad],H$1)=0,"",SUMIFS(Tabla1[Avance_km],Tabla1[Ducto],$A12,Tabla1[nombre_actividad],H$1))</f>
        <v>1.4999999999999999E-2</v>
      </c>
      <c r="I12" s="115">
        <f>IF(SUMIFS(Tabla1[Avance_km],Tabla1[Ducto],$A12,Tabla1[nombre_actividad],I$1)=0,"",SUMIFS(Tabla1[Avance_km],Tabla1[Ducto],$A12,Tabla1[nombre_actividad],I$1))</f>
        <v>1.4999999999999999E-2</v>
      </c>
      <c r="J12" s="115">
        <f>IF(SUMIFS(Tabla1[Avance_km],Tabla1[Ducto],$A12,Tabla1[nombre_actividad],J$1)=0,"",SUMIFS(Tabla1[Avance_km],Tabla1[Ducto],$A12,Tabla1[nombre_actividad],J$1))</f>
        <v>1.4999999999999999E-2</v>
      </c>
      <c r="K12" s="137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44</v>
      </c>
      <c r="B13" s="103">
        <f>+_xlfn.XLOOKUP($A13,'R (s01)'!B:B,'R (s01)'!D:D,"Falta")</f>
        <v>1</v>
      </c>
      <c r="C13" s="104">
        <f>+_xlfn.XLOOKUP($A13,'R (s01)'!B:B,'R (s01)'!E:E,"Falta")</f>
        <v>1</v>
      </c>
      <c r="D13" s="104">
        <f>+_xlfn.XLOOKUP($A13,'R (s01)'!B:B,'R (s01)'!F:F,"Falta")</f>
        <v>1</v>
      </c>
      <c r="E13" s="104">
        <f>+_xlfn.XLOOKUP($A13,'R (s01)'!B:B,'R (s01)'!G:G,"Falta")</f>
        <v>1</v>
      </c>
      <c r="F13" s="105">
        <f>IFERROR(_xlfn.XLOOKUP(A13,diario!D:D,diario!L:L,"")*1000,"")</f>
        <v>19</v>
      </c>
      <c r="G13" s="107">
        <v>19.309999999999999</v>
      </c>
      <c r="H13" s="115">
        <f>IF(SUMIFS(Tabla1[Avance_km],Tabla1[Ducto],$A13,Tabla1[nombre_actividad],H$1)=0,"",SUMIFS(Tabla1[Avance_km],Tabla1[Ducto],$A13,Tabla1[nombre_actividad],H$1))</f>
        <v>1.9E-2</v>
      </c>
      <c r="I13" s="115">
        <f>IF(SUMIFS(Tabla1[Avance_km],Tabla1[Ducto],$A13,Tabla1[nombre_actividad],I$1)=0,"",SUMIFS(Tabla1[Avance_km],Tabla1[Ducto],$A13,Tabla1[nombre_actividad],I$1))</f>
        <v>1.9E-2</v>
      </c>
      <c r="J13" s="115">
        <f>IF(SUMIFS(Tabla1[Avance_km],Tabla1[Ducto],$A13,Tabla1[nombre_actividad],J$1)=0,"",SUMIFS(Tabla1[Avance_km],Tabla1[Ducto],$A13,Tabla1[nombre_actividad],J$1))</f>
        <v>1.9E-2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99" t="s">
        <v>67</v>
      </c>
      <c r="B14" s="103">
        <f>+_xlfn.XLOOKUP($A14,'R (s01)'!B:B,'R (s01)'!D:D,"Falta")</f>
        <v>1</v>
      </c>
      <c r="C14" s="104">
        <f>+_xlfn.XLOOKUP($A14,'R (s01)'!B:B,'R (s01)'!E:E,"Falta")</f>
        <v>1</v>
      </c>
      <c r="D14" s="104">
        <f>+_xlfn.XLOOKUP($A14,'R (s01)'!B:B,'R (s01)'!F:F,"Falta")</f>
        <v>1</v>
      </c>
      <c r="E14" s="104">
        <f>+_xlfn.XLOOKUP($A14,'R (s01)'!B:B,'R (s01)'!G:G,"Falta")</f>
        <v>1</v>
      </c>
      <c r="F14" s="105">
        <f>IFERROR(_xlfn.XLOOKUP(A14,diario!D:D,diario!L:L,"")*1000,"")</f>
        <v>8</v>
      </c>
      <c r="G14" s="107">
        <v>3.05</v>
      </c>
      <c r="H14" s="115">
        <f>IF(SUMIFS(Tabla1[Avance_km],Tabla1[Ducto],$A14,Tabla1[nombre_actividad],H$1)=0,"",SUMIFS(Tabla1[Avance_km],Tabla1[Ducto],$A14,Tabla1[nombre_actividad],H$1))</f>
        <v>8.0000000000000002E-3</v>
      </c>
      <c r="I14" s="115">
        <f>IF(SUMIFS(Tabla1[Avance_km],Tabla1[Ducto],$A14,Tabla1[nombre_actividad],I$1)=0,"",SUMIFS(Tabla1[Avance_km],Tabla1[Ducto],$A14,Tabla1[nombre_actividad],I$1))</f>
        <v>8.0000000000000002E-3</v>
      </c>
      <c r="J14" s="115">
        <f>IF(SUMIFS(Tabla1[Avance_km],Tabla1[Ducto],$A14,Tabla1[nombre_actividad],J$1)=0,"",SUMIFS(Tabla1[Avance_km],Tabla1[Ducto],$A14,Tabla1[nombre_actividad],J$1))</f>
        <v>8.0000000000000002E-3</v>
      </c>
      <c r="K14" s="116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99" t="s">
        <v>51</v>
      </c>
      <c r="B15" s="103">
        <f>+_xlfn.XLOOKUP($A15,'R (s01)'!B:B,'R (s01)'!D:D,"Falta")</f>
        <v>1</v>
      </c>
      <c r="C15" s="104">
        <f>+_xlfn.XLOOKUP($A15,'R (s01)'!B:B,'R (s01)'!E:E,"Falta")</f>
        <v>1</v>
      </c>
      <c r="D15" s="104">
        <f>+_xlfn.XLOOKUP($A15,'R (s01)'!B:B,'R (s01)'!F:F,"Falta")</f>
        <v>1</v>
      </c>
      <c r="E15" s="104">
        <f>+_xlfn.XLOOKUP($A15,'R (s01)'!B:B,'R (s01)'!G:G,"Falta")</f>
        <v>1</v>
      </c>
      <c r="F15" s="105">
        <f>IFERROR(_xlfn.XLOOKUP(A15,diario!D:D,diario!L:L,"")*1000,"")</f>
        <v>1054</v>
      </c>
      <c r="G15" s="107">
        <v>1055.32</v>
      </c>
      <c r="H15" s="115">
        <f>IF(SUMIFS(Tabla1[Avance_km],Tabla1[Ducto],$A15,Tabla1[nombre_actividad],H$1)=0,"",SUMIFS(Tabla1[Avance_km],Tabla1[Ducto],$A15,Tabla1[nombre_actividad],H$1))</f>
        <v>1.054</v>
      </c>
      <c r="I15" s="115">
        <f>IF(SUMIFS(Tabla1[Avance_km],Tabla1[Ducto],$A15,Tabla1[nombre_actividad],I$1)=0,"",SUMIFS(Tabla1[Avance_km],Tabla1[Ducto],$A15,Tabla1[nombre_actividad],I$1))</f>
        <v>1.054</v>
      </c>
      <c r="J15" s="115">
        <f>IF(SUMIFS(Tabla1[Avance_km],Tabla1[Ducto],$A15,Tabla1[nombre_actividad],J$1)=0,"",SUMIFS(Tabla1[Avance_km],Tabla1[Ducto],$A15,Tabla1[nombre_actividad],J$1))</f>
        <v>1.054</v>
      </c>
      <c r="K15" s="116">
        <f>IF(SUMIFS(Tabla1[Avance_Med],Tabla1[Ducto],$A15,Tabla1[nombre_actividad],K$1)=0,"",SUMIFS(Tabla1[Avance_Med],Tabla1[Ducto],$A15,Tabla1[nombre_actividad],K$1))</f>
        <v>2</v>
      </c>
    </row>
    <row r="16" spans="1:12" s="193" customFormat="1" hidden="1" x14ac:dyDescent="0.3">
      <c r="A16" s="186" t="s">
        <v>170</v>
      </c>
      <c r="B16" s="187" t="s">
        <v>171</v>
      </c>
      <c r="C16" s="188" t="s">
        <v>171</v>
      </c>
      <c r="D16" s="188" t="s">
        <v>171</v>
      </c>
      <c r="E16" s="188" t="s">
        <v>171</v>
      </c>
      <c r="F16" s="189" t="str">
        <f>IFERROR(_xlfn.XLOOKUP(A16,diario!D:D,diario!L:L,"")*1000,"")</f>
        <v/>
      </c>
      <c r="G16" s="190">
        <v>1.23</v>
      </c>
      <c r="H16" s="191" t="str">
        <f>IF(SUMIFS(Tabla1[Avance_km],Tabla1[Ducto],$A16,Tabla1[nombre_actividad],H$1)=0,"",SUMIFS(Tabla1[Avance_km],Tabla1[Ducto],$A16,Tabla1[nombre_actividad],H$1))</f>
        <v/>
      </c>
      <c r="I16" s="191" t="str">
        <f>IF(SUMIFS(Tabla1[Avance_km],Tabla1[Ducto],$A16,Tabla1[nombre_actividad],I$1)=0,"",SUMIFS(Tabla1[Avance_km],Tabla1[Ducto],$A16,Tabla1[nombre_actividad],I$1))</f>
        <v/>
      </c>
      <c r="J16" s="191" t="str">
        <f>IF(SUMIFS(Tabla1[Avance_km],Tabla1[Ducto],$A16,Tabla1[nombre_actividad],J$1)=0,"",SUMIFS(Tabla1[Avance_km],Tabla1[Ducto],$A16,Tabla1[nombre_actividad],J$1))</f>
        <v/>
      </c>
      <c r="K16" s="192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99" t="s">
        <v>57</v>
      </c>
      <c r="B17" s="103">
        <f>+_xlfn.XLOOKUP($A17,'R (s01)'!B:B,'R (s01)'!D:D,"Falta")</f>
        <v>1</v>
      </c>
      <c r="C17" s="104">
        <f>+_xlfn.XLOOKUP($A17,'R (s01)'!B:B,'R (s01)'!E:E,"Falta")</f>
        <v>1</v>
      </c>
      <c r="D17" s="104">
        <f>+_xlfn.XLOOKUP($A17,'R (s01)'!B:B,'R (s01)'!F:F,"Falta")</f>
        <v>1</v>
      </c>
      <c r="E17" s="104">
        <f>+_xlfn.XLOOKUP($A17,'R (s01)'!B:B,'R (s01)'!G:G,"Falta")</f>
        <v>1</v>
      </c>
      <c r="F17" s="105">
        <f>IFERROR(_xlfn.XLOOKUP(A17,diario!D:D,diario!L:L,"")*1000,"")</f>
        <v>88</v>
      </c>
      <c r="G17" s="107">
        <v>88.29</v>
      </c>
      <c r="H17" s="115">
        <f>IF(SUMIFS(Tabla1[Avance_km],Tabla1[Ducto],$A17,Tabla1[nombre_actividad],H$1)=0,"",SUMIFS(Tabla1[Avance_km],Tabla1[Ducto],$A17,Tabla1[nombre_actividad],H$1))</f>
        <v>8.7999999999999995E-2</v>
      </c>
      <c r="I17" s="115">
        <f>IF(SUMIFS(Tabla1[Avance_km],Tabla1[Ducto],$A17,Tabla1[nombre_actividad],I$1)=0,"",SUMIFS(Tabla1[Avance_km],Tabla1[Ducto],$A17,Tabla1[nombre_actividad],I$1))</f>
        <v>8.7999999999999995E-2</v>
      </c>
      <c r="J17" s="115">
        <f>IF(SUMIFS(Tabla1[Avance_km],Tabla1[Ducto],$A17,Tabla1[nombre_actividad],J$1)=0,"",SUMIFS(Tabla1[Avance_km],Tabla1[Ducto],$A17,Tabla1[nombre_actividad],J$1))</f>
        <v>8.7999999999999995E-2</v>
      </c>
      <c r="K17" s="116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99" t="s">
        <v>58</v>
      </c>
      <c r="B18" s="103">
        <f>+_xlfn.XLOOKUP($A18,'R (s01)'!B:B,'R (s01)'!D:D,"Falta")</f>
        <v>1</v>
      </c>
      <c r="C18" s="104">
        <f>+_xlfn.XLOOKUP($A18,'R (s01)'!B:B,'R (s01)'!E:E,"Falta")</f>
        <v>1</v>
      </c>
      <c r="D18" s="104">
        <f>+_xlfn.XLOOKUP($A18,'R (s01)'!B:B,'R (s01)'!F:F,"Falta")</f>
        <v>1</v>
      </c>
      <c r="E18" s="185" t="s">
        <v>342</v>
      </c>
      <c r="F18" s="105">
        <f>IFERROR(_xlfn.XLOOKUP(A18,diario!D:D,diario!L:L,"")*1000,"")</f>
        <v>188</v>
      </c>
      <c r="G18" s="107">
        <v>184.44</v>
      </c>
      <c r="H18" s="115">
        <f>IF(SUMIFS(Tabla1[Avance_km],Tabla1[Ducto],$A18,Tabla1[nombre_actividad],H$1)=0,"",SUMIFS(Tabla1[Avance_km],Tabla1[Ducto],$A18,Tabla1[nombre_actividad],H$1))</f>
        <v>0.188</v>
      </c>
      <c r="I18" s="115">
        <f>IF(SUMIFS(Tabla1[Avance_km],Tabla1[Ducto],$A18,Tabla1[nombre_actividad],I$1)=0,"",SUMIFS(Tabla1[Avance_km],Tabla1[Ducto],$A18,Tabla1[nombre_actividad],I$1))</f>
        <v>0.188</v>
      </c>
      <c r="J18" s="115">
        <f>IF(SUMIFS(Tabla1[Avance_km],Tabla1[Ducto],$A18,Tabla1[nombre_actividad],J$1)=0,"",SUMIFS(Tabla1[Avance_km],Tabla1[Ducto],$A18,Tabla1[nombre_actividad],J$1))</f>
        <v>0.188</v>
      </c>
      <c r="K18" s="137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99" t="s">
        <v>20</v>
      </c>
      <c r="B19" s="103">
        <f>+_xlfn.XLOOKUP($A19,'R (s01)'!B:B,'R (s01)'!D:D,"Falta")</f>
        <v>1</v>
      </c>
      <c r="C19" s="104">
        <f>+_xlfn.XLOOKUP($A19,'R (s01)'!B:B,'R (s01)'!E:E,"Falta")</f>
        <v>1</v>
      </c>
      <c r="D19" s="104">
        <f>+_xlfn.XLOOKUP($A19,'R (s01)'!B:B,'R (s01)'!F:F,"Falta")</f>
        <v>1</v>
      </c>
      <c r="E19" s="104">
        <f>+_xlfn.XLOOKUP($A19,'R (s01)'!B:B,'R (s01)'!G:G,"Falta")</f>
        <v>1</v>
      </c>
      <c r="F19" s="105">
        <f>IFERROR(_xlfn.XLOOKUP(A19,diario!D:D,diario!L:L,"")*1000,"")</f>
        <v>1020</v>
      </c>
      <c r="G19" s="107">
        <v>1020.74</v>
      </c>
      <c r="H19" s="115">
        <f>IF(SUMIFS(Tabla1[Avance_km],Tabla1[Ducto],$A19,Tabla1[nombre_actividad],H$1)=0,"",SUMIFS(Tabla1[Avance_km],Tabla1[Ducto],$A19,Tabla1[nombre_actividad],H$1))</f>
        <v>1.02</v>
      </c>
      <c r="I19" s="115">
        <f>IF(SUMIFS(Tabla1[Avance_km],Tabla1[Ducto],$A19,Tabla1[nombre_actividad],I$1)=0,"",SUMIFS(Tabla1[Avance_km],Tabla1[Ducto],$A19,Tabla1[nombre_actividad],I$1))</f>
        <v>1.02</v>
      </c>
      <c r="J19" s="115">
        <f>IF(SUMIFS(Tabla1[Avance_km],Tabla1[Ducto],$A19,Tabla1[nombre_actividad],J$1)=0,"",SUMIFS(Tabla1[Avance_km],Tabla1[Ducto],$A19,Tabla1[nombre_actividad],J$1))</f>
        <v>1.02</v>
      </c>
      <c r="K19" s="116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0" t="s">
        <v>47</v>
      </c>
      <c r="B20" s="103">
        <f>+_xlfn.XLOOKUP($A20,'R (s01)'!B:B,'R (s01)'!D:D,"Falta")</f>
        <v>1</v>
      </c>
      <c r="C20" s="104">
        <f>+_xlfn.XLOOKUP($A20,'R (s01)'!B:B,'R (s01)'!E:E,"Falta")</f>
        <v>1</v>
      </c>
      <c r="D20" s="104">
        <f>+_xlfn.XLOOKUP($A20,'R (s01)'!B:B,'R (s01)'!F:F,"Falta")</f>
        <v>1</v>
      </c>
      <c r="E20" s="104">
        <f>+_xlfn.XLOOKUP($A20,'R (s01)'!B:B,'R (s01)'!G:G,"Falta")</f>
        <v>1</v>
      </c>
      <c r="F20" s="105">
        <f>IFERROR(_xlfn.XLOOKUP(A20,diario!D:D,diario!L:L,"")*1000,"")</f>
        <v>10</v>
      </c>
      <c r="G20" s="107">
        <v>6.34</v>
      </c>
      <c r="H20" s="115">
        <f>IF(SUMIFS(Tabla1[Avance_km],Tabla1[Ducto],$A20,Tabla1[nombre_actividad],H$1)=0,"",SUMIFS(Tabla1[Avance_km],Tabla1[Ducto],$A20,Tabla1[nombre_actividad],H$1))</f>
        <v>0.01</v>
      </c>
      <c r="I20" s="115">
        <f>IF(SUMIFS(Tabla1[Avance_km],Tabla1[Ducto],$A20,Tabla1[nombre_actividad],I$1)=0,"",SUMIFS(Tabla1[Avance_km],Tabla1[Ducto],$A20,Tabla1[nombre_actividad],I$1))</f>
        <v>0.01</v>
      </c>
      <c r="J20" s="115">
        <f>IF(SUMIFS(Tabla1[Avance_km],Tabla1[Ducto],$A20,Tabla1[nombre_actividad],J$1)=0,"",SUMIFS(Tabla1[Avance_km],Tabla1[Ducto],$A20,Tabla1[nombre_actividad],J$1))</f>
        <v>0.01</v>
      </c>
      <c r="K20" s="116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0" t="s">
        <v>48</v>
      </c>
      <c r="B21" s="103">
        <f>+_xlfn.XLOOKUP($A21,'R (s01)'!B:B,'R (s01)'!D:D,"Falta")</f>
        <v>1</v>
      </c>
      <c r="C21" s="104">
        <f>+_xlfn.XLOOKUP($A21,'R (s01)'!B:B,'R (s01)'!E:E,"Falta")</f>
        <v>1</v>
      </c>
      <c r="D21" s="104">
        <f>+_xlfn.XLOOKUP($A21,'R (s01)'!B:B,'R (s01)'!F:F,"Falta")</f>
        <v>1</v>
      </c>
      <c r="E21" s="185" t="s">
        <v>342</v>
      </c>
      <c r="F21" s="105">
        <f>IFERROR(_xlfn.XLOOKUP(A21,diario!D:D,diario!L:L,"")*1000,"")</f>
        <v>12</v>
      </c>
      <c r="G21" s="107">
        <v>8.25</v>
      </c>
      <c r="H21" s="115">
        <f>IF(SUMIFS(Tabla1[Avance_km],Tabla1[Ducto],$A21,Tabla1[nombre_actividad],H$1)=0,"",SUMIFS(Tabla1[Avance_km],Tabla1[Ducto],$A21,Tabla1[nombre_actividad],H$1))</f>
        <v>1.2E-2</v>
      </c>
      <c r="I21" s="115">
        <f>IF(SUMIFS(Tabla1[Avance_km],Tabla1[Ducto],$A21,Tabla1[nombre_actividad],I$1)=0,"",SUMIFS(Tabla1[Avance_km],Tabla1[Ducto],$A21,Tabla1[nombre_actividad],I$1))</f>
        <v>1.2E-2</v>
      </c>
      <c r="J21" s="115">
        <f>IF(SUMIFS(Tabla1[Avance_km],Tabla1[Ducto],$A21,Tabla1[nombre_actividad],J$1)=0,"",SUMIFS(Tabla1[Avance_km],Tabla1[Ducto],$A21,Tabla1[nombre_actividad],J$1))</f>
        <v>1.2E-2</v>
      </c>
      <c r="K21" s="137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0" t="s">
        <v>49</v>
      </c>
      <c r="B22" s="103">
        <f>+_xlfn.XLOOKUP($A22,'R (s01)'!B:B,'R (s01)'!D:D,"Falta")</f>
        <v>1</v>
      </c>
      <c r="C22" s="104">
        <f>+_xlfn.XLOOKUP($A22,'R (s01)'!B:B,'R (s01)'!E:E,"Falta")</f>
        <v>1</v>
      </c>
      <c r="D22" s="104">
        <f>+_xlfn.XLOOKUP($A22,'R (s01)'!B:B,'R (s01)'!F:F,"Falta")</f>
        <v>1</v>
      </c>
      <c r="E22" s="104">
        <f>+_xlfn.XLOOKUP($A22,'R (s01)'!B:B,'R (s01)'!G:G,"Falta")</f>
        <v>1</v>
      </c>
      <c r="F22" s="105">
        <f>IFERROR(_xlfn.XLOOKUP(A22,diario!D:D,diario!L:L,"")*1000,"")</f>
        <v>12</v>
      </c>
      <c r="G22" s="107">
        <v>17.149999999999999</v>
      </c>
      <c r="H22" s="115">
        <f>IF(SUMIFS(Tabla1[Avance_km],Tabla1[Ducto],$A22,Tabla1[nombre_actividad],H$1)=0,"",SUMIFS(Tabla1[Avance_km],Tabla1[Ducto],$A22,Tabla1[nombre_actividad],H$1))</f>
        <v>1.2E-2</v>
      </c>
      <c r="I22" s="115">
        <f>IF(SUMIFS(Tabla1[Avance_km],Tabla1[Ducto],$A22,Tabla1[nombre_actividad],I$1)=0,"",SUMIFS(Tabla1[Avance_km],Tabla1[Ducto],$A22,Tabla1[nombre_actividad],I$1))</f>
        <v>1.2E-2</v>
      </c>
      <c r="J22" s="115">
        <f>IF(SUMIFS(Tabla1[Avance_km],Tabla1[Ducto],$A22,Tabla1[nombre_actividad],J$1)=0,"",SUMIFS(Tabla1[Avance_km],Tabla1[Ducto],$A22,Tabla1[nombre_actividad],J$1))</f>
        <v>1.2E-2</v>
      </c>
      <c r="K22" s="116">
        <f>IF(SUMIFS(Tabla1[Avance_Med],Tabla1[Ducto],$A22,Tabla1[nombre_actividad],K$1)=0,"",SUMIFS(Tabla1[Avance_Med],Tabla1[Ducto],$A22,Tabla1[nombre_actividad],K$1))</f>
        <v>1</v>
      </c>
    </row>
    <row r="23" spans="1:11" s="193" customFormat="1" x14ac:dyDescent="0.3">
      <c r="A23" s="100" t="s">
        <v>172</v>
      </c>
      <c r="B23" s="103">
        <f>+_xlfn.XLOOKUP($A23,'R (s01)'!B:B,'R (s01)'!D:D,"Falta")</f>
        <v>1</v>
      </c>
      <c r="C23" s="104">
        <f>+_xlfn.XLOOKUP($A23,'R (s01)'!B:B,'R (s01)'!E:E,"Falta")</f>
        <v>1</v>
      </c>
      <c r="D23" s="104">
        <f>+_xlfn.XLOOKUP($A23,'R (s01)'!B:B,'R (s01)'!F:F,"Falta")</f>
        <v>1</v>
      </c>
      <c r="E23" s="185" t="s">
        <v>342</v>
      </c>
      <c r="F23" s="105">
        <f>IFERROR(_xlfn.XLOOKUP(A23,diario!D:D,diario!L:L,"")*1000,"")</f>
        <v>12</v>
      </c>
      <c r="G23" s="190"/>
      <c r="H23" s="115">
        <f>IF(SUMIFS(Tabla1[Avance_km],Tabla1[Ducto],$A23,Tabla1[nombre_actividad],H$1)=0,"",SUMIFS(Tabla1[Avance_km],Tabla1[Ducto],$A23,Tabla1[nombre_actividad],H$1))</f>
        <v>1.2E-2</v>
      </c>
      <c r="I23" s="115">
        <f>IF(SUMIFS(Tabla1[Avance_km],Tabla1[Ducto],$A23,Tabla1[nombre_actividad],I$1)=0,"",SUMIFS(Tabla1[Avance_km],Tabla1[Ducto],$A23,Tabla1[nombre_actividad],I$1))</f>
        <v>1.2E-2</v>
      </c>
      <c r="J23" s="115">
        <f>IF(SUMIFS(Tabla1[Avance_km],Tabla1[Ducto],$A23,Tabla1[nombre_actividad],J$1)=0,"",SUMIFS(Tabla1[Avance_km],Tabla1[Ducto],$A23,Tabla1[nombre_actividad],J$1))</f>
        <v>1.2E-2</v>
      </c>
      <c r="K23" s="137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99" t="s">
        <v>65</v>
      </c>
      <c r="B24" s="103">
        <f>+_xlfn.XLOOKUP($A24,'R (s01)'!B:B,'R (s01)'!D:D,"Falta")</f>
        <v>0.99997893571755492</v>
      </c>
      <c r="C24" s="104">
        <f>+_xlfn.XLOOKUP($A24,'R (s01)'!B:B,'R (s01)'!E:E,"Falta")</f>
        <v>0.99997893571755492</v>
      </c>
      <c r="D24" s="104">
        <f>+_xlfn.XLOOKUP($A24,'R (s01)'!B:B,'R (s01)'!F:F,"Falta")</f>
        <v>0.9999789357175547</v>
      </c>
      <c r="E24" s="104">
        <f>+_xlfn.XLOOKUP($A24,'R (s01)'!B:B,'R (s01)'!G:G,"Falta")</f>
        <v>1</v>
      </c>
      <c r="F24" s="105">
        <f>IFERROR(_xlfn.XLOOKUP(A24,diario!D:D,diario!L:L,"")*1000,"")</f>
        <v>10444.219999999999</v>
      </c>
      <c r="G24" s="107">
        <v>10444.219999999999</v>
      </c>
      <c r="H24" s="115">
        <f>IF(SUMIFS(Tabla1[Avance_km],Tabla1[Ducto],$A24,Tabla1[nombre_actividad],H$1)=0,"",SUMIFS(Tabla1[Avance_km],Tabla1[Ducto],$A24,Tabla1[nombre_actividad],H$1))</f>
        <v>10.444000000000001</v>
      </c>
      <c r="I24" s="115">
        <f>IF(SUMIFS(Tabla1[Avance_km],Tabla1[Ducto],$A24,Tabla1[nombre_actividad],I$1)=0,"",SUMIFS(Tabla1[Avance_km],Tabla1[Ducto],$A24,Tabla1[nombre_actividad],I$1))</f>
        <v>10.444000000000001</v>
      </c>
      <c r="J24" s="115">
        <f>IF(SUMIFS(Tabla1[Avance_km],Tabla1[Ducto],$A24,Tabla1[nombre_actividad],J$1)=0,"",SUMIFS(Tabla1[Avance_km],Tabla1[Ducto],$A24,Tabla1[nombre_actividad],J$1))</f>
        <v>10.443999999999999</v>
      </c>
      <c r="K24" s="116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0" t="s">
        <v>61</v>
      </c>
      <c r="B25" s="103">
        <f>+_xlfn.XLOOKUP($A25,'R (s01)'!B:B,'R (s01)'!D:D,"Falta")</f>
        <v>1</v>
      </c>
      <c r="C25" s="104">
        <f>+_xlfn.XLOOKUP($A25,'R (s01)'!B:B,'R (s01)'!E:E,"Falta")</f>
        <v>1</v>
      </c>
      <c r="D25" s="104">
        <f>+_xlfn.XLOOKUP($A25,'R (s01)'!B:B,'R (s01)'!F:F,"Falta")</f>
        <v>1</v>
      </c>
      <c r="E25" s="104">
        <f>+_xlfn.XLOOKUP($A25,'R (s01)'!B:B,'R (s01)'!G:G,"Falta")</f>
        <v>1</v>
      </c>
      <c r="F25" s="105">
        <f>IFERROR(_xlfn.XLOOKUP(A25,diario!D:D,diario!L:L,"")*1000,"")</f>
        <v>55</v>
      </c>
      <c r="G25" s="107">
        <v>58.58</v>
      </c>
      <c r="H25" s="115">
        <f>IF(SUMIFS(Tabla1[Avance_km],Tabla1[Ducto],$A25,Tabla1[nombre_actividad],H$1)=0,"",SUMIFS(Tabla1[Avance_km],Tabla1[Ducto],$A25,Tabla1[nombre_actividad],H$1))</f>
        <v>5.5E-2</v>
      </c>
      <c r="I25" s="115">
        <f>IF(SUMIFS(Tabla1[Avance_km],Tabla1[Ducto],$A25,Tabla1[nombre_actividad],I$1)=0,"",SUMIFS(Tabla1[Avance_km],Tabla1[Ducto],$A25,Tabla1[nombre_actividad],I$1))</f>
        <v>5.5E-2</v>
      </c>
      <c r="J25" s="115">
        <f>IF(SUMIFS(Tabla1[Avance_km],Tabla1[Ducto],$A25,Tabla1[nombre_actividad],J$1)=0,"",SUMIFS(Tabla1[Avance_km],Tabla1[Ducto],$A25,Tabla1[nombre_actividad],J$1))</f>
        <v>5.5E-2</v>
      </c>
      <c r="K25" s="116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0" t="s">
        <v>62</v>
      </c>
      <c r="B26" s="103">
        <f>+_xlfn.XLOOKUP($A26,'R (s01)'!B:B,'R (s01)'!D:D,"Falta")</f>
        <v>1</v>
      </c>
      <c r="C26" s="104">
        <f>+_xlfn.XLOOKUP($A26,'R (s01)'!B:B,'R (s01)'!E:E,"Falta")</f>
        <v>1</v>
      </c>
      <c r="D26" s="104">
        <f>+_xlfn.XLOOKUP($A26,'R (s01)'!B:B,'R (s01)'!F:F,"Falta")</f>
        <v>1</v>
      </c>
      <c r="E26" s="104">
        <f>+_xlfn.XLOOKUP($A26,'R (s01)'!B:B,'R (s01)'!G:G,"Falta")</f>
        <v>1</v>
      </c>
      <c r="F26" s="105">
        <f>IFERROR(_xlfn.XLOOKUP(A26,diario!D:D,diario!L:L,"")*1000,"")</f>
        <v>63</v>
      </c>
      <c r="G26" s="107">
        <v>63.59</v>
      </c>
      <c r="H26" s="115">
        <f>IF(SUMIFS(Tabla1[Avance_km],Tabla1[Ducto],$A26,Tabla1[nombre_actividad],H$1)=0,"",SUMIFS(Tabla1[Avance_km],Tabla1[Ducto],$A26,Tabla1[nombre_actividad],H$1))</f>
        <v>6.3E-2</v>
      </c>
      <c r="I26" s="115">
        <f>IF(SUMIFS(Tabla1[Avance_km],Tabla1[Ducto],$A26,Tabla1[nombre_actividad],I$1)=0,"",SUMIFS(Tabla1[Avance_km],Tabla1[Ducto],$A26,Tabla1[nombre_actividad],I$1))</f>
        <v>6.3E-2</v>
      </c>
      <c r="J26" s="115">
        <f>IF(SUMIFS(Tabla1[Avance_km],Tabla1[Ducto],$A26,Tabla1[nombre_actividad],J$1)=0,"",SUMIFS(Tabla1[Avance_km],Tabla1[Ducto],$A26,Tabla1[nombre_actividad],J$1))</f>
        <v>6.3E-2</v>
      </c>
      <c r="K26" s="116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0" t="s">
        <v>63</v>
      </c>
      <c r="B27" s="103">
        <f>+_xlfn.XLOOKUP($A27,'R (s01)'!B:B,'R (s01)'!D:D,"Falta")</f>
        <v>1</v>
      </c>
      <c r="C27" s="104">
        <f>+_xlfn.XLOOKUP($A27,'R (s01)'!B:B,'R (s01)'!E:E,"Falta")</f>
        <v>1</v>
      </c>
      <c r="D27" s="104">
        <f>+_xlfn.XLOOKUP($A27,'R (s01)'!B:B,'R (s01)'!F:F,"Falta")</f>
        <v>1</v>
      </c>
      <c r="E27" s="185" t="s">
        <v>342</v>
      </c>
      <c r="F27" s="105">
        <f>IFERROR(_xlfn.XLOOKUP(A27,diario!D:D,diario!L:L,"")*1000,"")</f>
        <v>55</v>
      </c>
      <c r="G27" s="107">
        <v>55</v>
      </c>
      <c r="H27" s="115">
        <f>IF(SUMIFS(Tabla1[Avance_km],Tabla1[Ducto],$A27,Tabla1[nombre_actividad],H$1)=0,"",SUMIFS(Tabla1[Avance_km],Tabla1[Ducto],$A27,Tabla1[nombre_actividad],H$1))</f>
        <v>5.5E-2</v>
      </c>
      <c r="I27" s="115">
        <f>IF(SUMIFS(Tabla1[Avance_km],Tabla1[Ducto],$A27,Tabla1[nombre_actividad],I$1)=0,"",SUMIFS(Tabla1[Avance_km],Tabla1[Ducto],$A27,Tabla1[nombre_actividad],I$1))</f>
        <v>5.5E-2</v>
      </c>
      <c r="J27" s="115">
        <f>IF(SUMIFS(Tabla1[Avance_km],Tabla1[Ducto],$A27,Tabla1[nombre_actividad],J$1)=0,"",SUMIFS(Tabla1[Avance_km],Tabla1[Ducto],$A27,Tabla1[nombre_actividad],J$1))</f>
        <v>5.5E-2</v>
      </c>
      <c r="K27" s="137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0" t="s">
        <v>70</v>
      </c>
      <c r="B28" s="103">
        <f>+_xlfn.XLOOKUP($A28,'R (s01)'!B:B,'R (s01)'!D:D,"Falta")</f>
        <v>1</v>
      </c>
      <c r="C28" s="104">
        <f>+_xlfn.XLOOKUP($A28,'R (s01)'!B:B,'R (s01)'!E:E,"Falta")</f>
        <v>1</v>
      </c>
      <c r="D28" s="104">
        <f>+_xlfn.XLOOKUP($A28,'R (s01)'!B:B,'R (s01)'!F:F,"Falta")</f>
        <v>1</v>
      </c>
      <c r="E28" s="104">
        <f>+_xlfn.XLOOKUP($A28,'R (s01)'!B:B,'R (s01)'!G:G,"Falta")</f>
        <v>1</v>
      </c>
      <c r="F28" s="105">
        <f>IFERROR(_xlfn.XLOOKUP(A28,diario!D:D,diario!L:L,"")*1000,"")</f>
        <v>287</v>
      </c>
      <c r="G28" s="107">
        <v>287.58</v>
      </c>
      <c r="H28" s="115">
        <f>IF(SUMIFS(Tabla1[Avance_km],Tabla1[Ducto],$A28,Tabla1[nombre_actividad],H$1)=0,"",SUMIFS(Tabla1[Avance_km],Tabla1[Ducto],$A28,Tabla1[nombre_actividad],H$1))</f>
        <v>0.28699999999999998</v>
      </c>
      <c r="I28" s="115">
        <f>IF(SUMIFS(Tabla1[Avance_km],Tabla1[Ducto],$A28,Tabla1[nombre_actividad],I$1)=0,"",SUMIFS(Tabla1[Avance_km],Tabla1[Ducto],$A28,Tabla1[nombre_actividad],I$1))</f>
        <v>0.28699999999999998</v>
      </c>
      <c r="J28" s="115">
        <f>IF(SUMIFS(Tabla1[Avance_km],Tabla1[Ducto],$A28,Tabla1[nombre_actividad],J$1)=0,"",SUMIFS(Tabla1[Avance_km],Tabla1[Ducto],$A28,Tabla1[nombre_actividad],J$1))</f>
        <v>0.28699999999999998</v>
      </c>
      <c r="K28" s="116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0" t="s">
        <v>50</v>
      </c>
      <c r="B29" s="103">
        <f>+_xlfn.XLOOKUP($A29,'R (s01)'!B:B,'R (s01)'!D:D,"Falta")</f>
        <v>1</v>
      </c>
      <c r="C29" s="104">
        <f>+_xlfn.XLOOKUP($A29,'R (s01)'!B:B,'R (s01)'!E:E,"Falta")</f>
        <v>0.99999999999999989</v>
      </c>
      <c r="D29" s="104">
        <f>+_xlfn.XLOOKUP($A29,'R (s01)'!B:B,'R (s01)'!F:F,"Falta")</f>
        <v>1</v>
      </c>
      <c r="E29" s="104">
        <f>+_xlfn.XLOOKUP($A29,'R (s01)'!B:B,'R (s01)'!G:G,"Falta")</f>
        <v>1</v>
      </c>
      <c r="F29" s="105">
        <f>IFERROR(_xlfn.XLOOKUP(A29,diario!D:D,diario!L:L,"")*1000,"")</f>
        <v>12657</v>
      </c>
      <c r="G29" s="107">
        <v>12657.11</v>
      </c>
      <c r="H29" s="115">
        <f>IF(SUMIFS(Tabla1[Avance_km],Tabla1[Ducto],$A29,Tabla1[nombre_actividad],H$1)=0,"",SUMIFS(Tabla1[Avance_km],Tabla1[Ducto],$A29,Tabla1[nombre_actividad],H$1))</f>
        <v>12.657</v>
      </c>
      <c r="I29" s="115">
        <f>IF(SUMIFS(Tabla1[Avance_km],Tabla1[Ducto],$A29,Tabla1[nombre_actividad],I$1)=0,"",SUMIFS(Tabla1[Avance_km],Tabla1[Ducto],$A29,Tabla1[nombre_actividad],I$1))</f>
        <v>12.656999999999998</v>
      </c>
      <c r="J29" s="115">
        <f>IF(SUMIFS(Tabla1[Avance_km],Tabla1[Ducto],$A29,Tabla1[nombre_actividad],J$1)=0,"",SUMIFS(Tabla1[Avance_km],Tabla1[Ducto],$A29,Tabla1[nombre_actividad],J$1))</f>
        <v>12.657</v>
      </c>
      <c r="K29" s="116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1" t="s">
        <v>66</v>
      </c>
      <c r="B30" s="103">
        <f>+_xlfn.XLOOKUP($A30,'R (s01)'!B:B,'R (s01)'!D:D,"Falta")</f>
        <v>1</v>
      </c>
      <c r="C30" s="104">
        <f>+_xlfn.XLOOKUP($A30,'R (s01)'!B:B,'R (s01)'!E:E,"Falta")</f>
        <v>1</v>
      </c>
      <c r="D30" s="104">
        <f>+_xlfn.XLOOKUP($A30,'R (s01)'!B:B,'R (s01)'!F:F,"Falta")</f>
        <v>1</v>
      </c>
      <c r="E30" s="104">
        <f>+_xlfn.XLOOKUP($A30,'R (s01)'!B:B,'R (s01)'!G:G,"Falta")</f>
        <v>1</v>
      </c>
      <c r="F30" s="105">
        <f>IFERROR(_xlfn.XLOOKUP(A30,diario!D:D,diario!L:L,"")*1000,"")</f>
        <v>2277</v>
      </c>
      <c r="G30" s="107">
        <v>2277.0300000000002</v>
      </c>
      <c r="H30" s="115">
        <f>IF(SUMIFS(Tabla1[Avance_km],Tabla1[Ducto],$A30,Tabla1[nombre_actividad],H$1)=0,"",SUMIFS(Tabla1[Avance_km],Tabla1[Ducto],$A30,Tabla1[nombre_actividad],H$1))</f>
        <v>2.2770000000000001</v>
      </c>
      <c r="I30" s="115">
        <f>IF(SUMIFS(Tabla1[Avance_km],Tabla1[Ducto],$A30,Tabla1[nombre_actividad],I$1)=0,"",SUMIFS(Tabla1[Avance_km],Tabla1[Ducto],$A30,Tabla1[nombre_actividad],I$1))</f>
        <v>2.2770000000000001</v>
      </c>
      <c r="J30" s="115">
        <f>IF(SUMIFS(Tabla1[Avance_km],Tabla1[Ducto],$A30,Tabla1[nombre_actividad],J$1)=0,"",SUMIFS(Tabla1[Avance_km],Tabla1[Ducto],$A30,Tabla1[nombre_actividad],J$1))</f>
        <v>2.2770000000000001</v>
      </c>
      <c r="K30" s="116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1" t="s">
        <v>344</v>
      </c>
      <c r="B31" s="103">
        <f>+_xlfn.XLOOKUP($A31,'R (s01)'!B:B,'R (s01)'!D:D,"Falta")</f>
        <v>1</v>
      </c>
      <c r="C31" s="104">
        <f>+_xlfn.XLOOKUP($A31,'R (s01)'!B:B,'R (s01)'!E:E,"Falta")</f>
        <v>1</v>
      </c>
      <c r="D31" s="104">
        <f>+_xlfn.XLOOKUP($A31,'R (s01)'!B:B,'R (s01)'!F:F,"Falta")</f>
        <v>1</v>
      </c>
      <c r="E31" s="185" t="s">
        <v>342</v>
      </c>
      <c r="F31" s="184">
        <f>IFERROR(_xlfn.XLOOKUP(A31,diario!D:D,diario!L:L,"")*1000,"")</f>
        <v>37</v>
      </c>
      <c r="G31" s="107">
        <v>1.73</v>
      </c>
      <c r="H31" s="115">
        <f>IF(SUMIFS(Tabla1[Avance_km],Tabla1[Ducto],$A31,Tabla1[nombre_actividad],H$1)=0,"",SUMIFS(Tabla1[Avance_km],Tabla1[Ducto],$A31,Tabla1[nombre_actividad],H$1))</f>
        <v>3.6999999999999998E-2</v>
      </c>
      <c r="I31" s="115">
        <f>IF(SUMIFS(Tabla1[Avance_km],Tabla1[Ducto],$A31,Tabla1[nombre_actividad],I$1)=0,"",SUMIFS(Tabla1[Avance_km],Tabla1[Ducto],$A31,Tabla1[nombre_actividad],I$1))</f>
        <v>3.6999999999999998E-2</v>
      </c>
      <c r="J31" s="115">
        <f>IF(SUMIFS(Tabla1[Avance_km],Tabla1[Ducto],$A31,Tabla1[nombre_actividad],J$1)=0,"",SUMIFS(Tabla1[Avance_km],Tabla1[Ducto],$A31,Tabla1[nombre_actividad],J$1))</f>
        <v>3.6999999999999998E-2</v>
      </c>
      <c r="K31" s="137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1" t="s">
        <v>68</v>
      </c>
      <c r="B32" s="103">
        <f>+_xlfn.XLOOKUP($A32,'R (s01)'!B:B,'R (s01)'!D:D,"Falta")</f>
        <v>0</v>
      </c>
      <c r="C32" s="104">
        <f>+_xlfn.XLOOKUP($A32,'R (s01)'!B:B,'R (s01)'!E:E,"Falta")</f>
        <v>0</v>
      </c>
      <c r="D32" s="104">
        <f>+_xlfn.XLOOKUP($A32,'R (s01)'!B:B,'R (s01)'!F:F,"Falta")</f>
        <v>0</v>
      </c>
      <c r="E32" s="185" t="s">
        <v>342</v>
      </c>
      <c r="F32" s="105" t="str">
        <f>IFERROR(_xlfn.XLOOKUP(A32,diario!D:D,diario!L:L,"")*1000,"")</f>
        <v/>
      </c>
      <c r="G32" s="107">
        <v>4.67</v>
      </c>
      <c r="H32" s="115" t="str">
        <f>IF(SUMIFS(Tabla1[Avance_km],Tabla1[Ducto],$A32,Tabla1[nombre_actividad],H$1)=0,"",SUMIFS(Tabla1[Avance_km],Tabla1[Ducto],$A32,Tabla1[nombre_actividad],H$1))</f>
        <v/>
      </c>
      <c r="I32" s="115" t="str">
        <f>IF(SUMIFS(Tabla1[Avance_km],Tabla1[Ducto],$A32,Tabla1[nombre_actividad],I$1)=0,"",SUMIFS(Tabla1[Avance_km],Tabla1[Ducto],$A32,Tabla1[nombre_actividad],I$1))</f>
        <v/>
      </c>
      <c r="J32" s="115" t="str">
        <f>IF(SUMIFS(Tabla1[Avance_km],Tabla1[Ducto],$A32,Tabla1[nombre_actividad],J$1)=0,"",SUMIFS(Tabla1[Avance_km],Tabla1[Ducto],$A32,Tabla1[nombre_actividad],J$1))</f>
        <v/>
      </c>
      <c r="K32" s="137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1" t="s">
        <v>69</v>
      </c>
      <c r="B33" s="103">
        <f>+_xlfn.XLOOKUP($A33,'R (s01)'!B:B,'R (s01)'!D:D,"Falta")</f>
        <v>0</v>
      </c>
      <c r="C33" s="104">
        <f>+_xlfn.XLOOKUP($A33,'R (s01)'!B:B,'R (s01)'!E:E,"Falta")</f>
        <v>0</v>
      </c>
      <c r="D33" s="104">
        <f>+_xlfn.XLOOKUP($A33,'R (s01)'!B:B,'R (s01)'!F:F,"Falta")</f>
        <v>0</v>
      </c>
      <c r="E33" s="185" t="s">
        <v>342</v>
      </c>
      <c r="F33" s="105" t="str">
        <f>IFERROR(_xlfn.XLOOKUP(A33,diario!D:D,diario!L:L,"")*1000,"")</f>
        <v/>
      </c>
      <c r="G33" s="107">
        <v>4.4450000000000003</v>
      </c>
      <c r="H33" s="115" t="str">
        <f>IF(SUMIFS(Tabla1[Avance_km],Tabla1[Ducto],$A33,Tabla1[nombre_actividad],H$1)=0,"",SUMIFS(Tabla1[Avance_km],Tabla1[Ducto],$A33,Tabla1[nombre_actividad],H$1))</f>
        <v/>
      </c>
      <c r="I33" s="115" t="str">
        <f>IF(SUMIFS(Tabla1[Avance_km],Tabla1[Ducto],$A33,Tabla1[nombre_actividad],I$1)=0,"",SUMIFS(Tabla1[Avance_km],Tabla1[Ducto],$A33,Tabla1[nombre_actividad],I$1))</f>
        <v/>
      </c>
      <c r="J33" s="115" t="str">
        <f>IF(SUMIFS(Tabla1[Avance_km],Tabla1[Ducto],$A33,Tabla1[nombre_actividad],J$1)=0,"",SUMIFS(Tabla1[Avance_km],Tabla1[Ducto],$A33,Tabla1[nombre_actividad],J$1))</f>
        <v/>
      </c>
      <c r="K33" s="137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99" t="s">
        <v>59</v>
      </c>
      <c r="B34" s="103">
        <f>+_xlfn.XLOOKUP($A34,'R (s01)'!B:B,'R (s01)'!D:D,"Falta")</f>
        <v>1</v>
      </c>
      <c r="C34" s="104">
        <f>+_xlfn.XLOOKUP($A34,'R (s01)'!B:B,'R (s01)'!E:E,"Falta")</f>
        <v>1</v>
      </c>
      <c r="D34" s="104">
        <f>+_xlfn.XLOOKUP($A34,'R (s01)'!B:B,'R (s01)'!F:F,"Falta")</f>
        <v>1</v>
      </c>
      <c r="E34" s="185" t="s">
        <v>342</v>
      </c>
      <c r="F34" s="105">
        <f>IFERROR(_xlfn.XLOOKUP(A34,diario!D:D,diario!L:L,"")*1000,"")</f>
        <v>7</v>
      </c>
      <c r="G34" s="107">
        <v>6.33</v>
      </c>
      <c r="H34" s="115">
        <f>IF(SUMIFS(Tabla1[Avance_km],Tabla1[Ducto],$A34,Tabla1[nombre_actividad],H$1)=0,"",SUMIFS(Tabla1[Avance_km],Tabla1[Ducto],$A34,Tabla1[nombre_actividad],H$1))</f>
        <v>7.0000000000000001E-3</v>
      </c>
      <c r="I34" s="115">
        <f>IF(SUMIFS(Tabla1[Avance_km],Tabla1[Ducto],$A34,Tabla1[nombre_actividad],I$1)=0,"",SUMIFS(Tabla1[Avance_km],Tabla1[Ducto],$A34,Tabla1[nombre_actividad],I$1))</f>
        <v>7.0000000000000001E-3</v>
      </c>
      <c r="J34" s="115">
        <f>IF(SUMIFS(Tabla1[Avance_km],Tabla1[Ducto],$A34,Tabla1[nombre_actividad],J$1)=0,"",SUMIFS(Tabla1[Avance_km],Tabla1[Ducto],$A34,Tabla1[nombre_actividad],J$1))</f>
        <v>7.0000000000000001E-3</v>
      </c>
      <c r="K34" s="137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99" t="s">
        <v>60</v>
      </c>
      <c r="B35" s="103">
        <f>+_xlfn.XLOOKUP($A35,'R (s01)'!B:B,'R (s01)'!D:D,"Falta")</f>
        <v>1</v>
      </c>
      <c r="C35" s="104">
        <f>+_xlfn.XLOOKUP($A35,'R (s01)'!B:B,'R (s01)'!E:E,"Falta")</f>
        <v>1</v>
      </c>
      <c r="D35" s="104">
        <f>+_xlfn.XLOOKUP($A35,'R (s01)'!B:B,'R (s01)'!F:F,"Falta")</f>
        <v>1</v>
      </c>
      <c r="E35" s="185" t="s">
        <v>342</v>
      </c>
      <c r="F35" s="105">
        <f>IFERROR(_xlfn.XLOOKUP(A35,diario!D:D,diario!L:L,"")*1000,"")</f>
        <v>19</v>
      </c>
      <c r="G35" s="107">
        <v>19.690000000000001</v>
      </c>
      <c r="H35" s="115">
        <f>IF(SUMIFS(Tabla1[Avance_km],Tabla1[Ducto],$A35,Tabla1[nombre_actividad],H$1)=0,"",SUMIFS(Tabla1[Avance_km],Tabla1[Ducto],$A35,Tabla1[nombre_actividad],H$1))</f>
        <v>1.9E-2</v>
      </c>
      <c r="I35" s="115">
        <f>IF(SUMIFS(Tabla1[Avance_km],Tabla1[Ducto],$A35,Tabla1[nombre_actividad],I$1)=0,"",SUMIFS(Tabla1[Avance_km],Tabla1[Ducto],$A35,Tabla1[nombre_actividad],I$1))</f>
        <v>1.9E-2</v>
      </c>
      <c r="J35" s="115">
        <f>IF(SUMIFS(Tabla1[Avance_km],Tabla1[Ducto],$A35,Tabla1[nombre_actividad],J$1)=0,"",SUMIFS(Tabla1[Avance_km],Tabla1[Ducto],$A35,Tabla1[nombre_actividad],J$1))</f>
        <v>1.9E-2</v>
      </c>
      <c r="K35" s="137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99" t="s">
        <v>21</v>
      </c>
      <c r="B36" s="103">
        <f>+_xlfn.XLOOKUP($A36,'R (s01)'!B:B,'R (s01)'!D:D,"Falta")</f>
        <v>1</v>
      </c>
      <c r="C36" s="104">
        <f>+_xlfn.XLOOKUP($A36,'R (s01)'!B:B,'R (s01)'!E:E,"Falta")</f>
        <v>1</v>
      </c>
      <c r="D36" s="104">
        <f>+_xlfn.XLOOKUP($A36,'R (s01)'!B:B,'R (s01)'!F:F,"Falta")</f>
        <v>1</v>
      </c>
      <c r="E36" s="104">
        <f>+_xlfn.XLOOKUP($A36,'R (s01)'!B:B,'R (s01)'!G:G,"Falta")</f>
        <v>1</v>
      </c>
      <c r="F36" s="105">
        <f>IFERROR(_xlfn.XLOOKUP(A36,diario!D:D,diario!L:L,"")*1000,"")</f>
        <v>1055</v>
      </c>
      <c r="G36" s="107">
        <v>1055.1300000000001</v>
      </c>
      <c r="H36" s="115">
        <f>IF(SUMIFS(Tabla1[Avance_km],Tabla1[Ducto],$A36,Tabla1[nombre_actividad],H$1)=0,"",SUMIFS(Tabla1[Avance_km],Tabla1[Ducto],$A36,Tabla1[nombre_actividad],H$1))</f>
        <v>1.0549999999999999</v>
      </c>
      <c r="I36" s="115">
        <f>IF(SUMIFS(Tabla1[Avance_km],Tabla1[Ducto],$A36,Tabla1[nombre_actividad],I$1)=0,"",SUMIFS(Tabla1[Avance_km],Tabla1[Ducto],$A36,Tabla1[nombre_actividad],I$1))</f>
        <v>1.0549999999999999</v>
      </c>
      <c r="J36" s="115">
        <f>IF(SUMIFS(Tabla1[Avance_km],Tabla1[Ducto],$A36,Tabla1[nombre_actividad],J$1)=0,"",SUMIFS(Tabla1[Avance_km],Tabla1[Ducto],$A36,Tabla1[nombre_actividad],J$1))</f>
        <v>1.0549999999999999</v>
      </c>
      <c r="K36" s="116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99" t="s">
        <v>37</v>
      </c>
      <c r="B37" s="103">
        <f>+_xlfn.XLOOKUP($A37,'R (s01)'!B:B,'R (s01)'!D:D,"Falta")</f>
        <v>1</v>
      </c>
      <c r="C37" s="104">
        <f>+_xlfn.XLOOKUP($A37,'R (s01)'!B:B,'R (s01)'!E:E,"Falta")</f>
        <v>1</v>
      </c>
      <c r="D37" s="104">
        <f>+_xlfn.XLOOKUP($A37,'R (s01)'!B:B,'R (s01)'!F:F,"Falta")</f>
        <v>1</v>
      </c>
      <c r="E37" s="104">
        <f>+_xlfn.XLOOKUP($A37,'R (s01)'!B:B,'R (s01)'!G:G,"Falta")</f>
        <v>1</v>
      </c>
      <c r="F37" s="105">
        <f>IFERROR(_xlfn.XLOOKUP(A37,diario!D:D,diario!L:L,"")*1000,"")</f>
        <v>1488</v>
      </c>
      <c r="G37" s="107">
        <v>1487.17</v>
      </c>
      <c r="H37" s="115">
        <f>IF(SUMIFS(Tabla1[Avance_km],Tabla1[Ducto],$A37,Tabla1[nombre_actividad],H$1)=0,"",SUMIFS(Tabla1[Avance_km],Tabla1[Ducto],$A37,Tabla1[nombre_actividad],H$1))</f>
        <v>1.488</v>
      </c>
      <c r="I37" s="115">
        <f>IF(SUMIFS(Tabla1[Avance_km],Tabla1[Ducto],$A37,Tabla1[nombre_actividad],I$1)=0,"",SUMIFS(Tabla1[Avance_km],Tabla1[Ducto],$A37,Tabla1[nombre_actividad],I$1))</f>
        <v>1.488</v>
      </c>
      <c r="J37" s="115">
        <f>IF(SUMIFS(Tabla1[Avance_km],Tabla1[Ducto],$A37,Tabla1[nombre_actividad],J$1)=0,"",SUMIFS(Tabla1[Avance_km],Tabla1[Ducto],$A37,Tabla1[nombre_actividad],J$1))</f>
        <v>1.488</v>
      </c>
      <c r="K37" s="116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0" t="s">
        <v>71</v>
      </c>
      <c r="B38" s="103">
        <f>+_xlfn.XLOOKUP($A38,'R (s01)'!B:B,'R (s01)'!D:D,"Falta")</f>
        <v>1</v>
      </c>
      <c r="C38" s="104">
        <f>+_xlfn.XLOOKUP($A38,'R (s01)'!B:B,'R (s01)'!E:E,"Falta")</f>
        <v>1</v>
      </c>
      <c r="D38" s="104">
        <f>+_xlfn.XLOOKUP($A38,'R (s01)'!B:B,'R (s01)'!F:F,"Falta")</f>
        <v>1</v>
      </c>
      <c r="E38" s="185" t="s">
        <v>342</v>
      </c>
      <c r="F38" s="105">
        <f>IFERROR(_xlfn.XLOOKUP(A38,diario!D:D,diario!L:L,"")*1000,"")</f>
        <v>7</v>
      </c>
      <c r="G38" s="107">
        <v>0.9</v>
      </c>
      <c r="H38" s="115">
        <f>IF(SUMIFS(Tabla1[Avance_km],Tabla1[Ducto],$A38,Tabla1[nombre_actividad],H$1)=0,"",SUMIFS(Tabla1[Avance_km],Tabla1[Ducto],$A38,Tabla1[nombre_actividad],H$1))</f>
        <v>7.0000000000000001E-3</v>
      </c>
      <c r="I38" s="115">
        <f>IF(SUMIFS(Tabla1[Avance_km],Tabla1[Ducto],$A38,Tabla1[nombre_actividad],I$1)=0,"",SUMIFS(Tabla1[Avance_km],Tabla1[Ducto],$A38,Tabla1[nombre_actividad],I$1))</f>
        <v>7.0000000000000001E-3</v>
      </c>
      <c r="J38" s="115">
        <f>IF(SUMIFS(Tabla1[Avance_km],Tabla1[Ducto],$A38,Tabla1[nombre_actividad],J$1)=0,"",SUMIFS(Tabla1[Avance_km],Tabla1[Ducto],$A38,Tabla1[nombre_actividad],J$1))</f>
        <v>7.0000000000000001E-3</v>
      </c>
      <c r="K38" s="137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0" t="s">
        <v>72</v>
      </c>
      <c r="B39" s="103" t="str">
        <f>+_xlfn.XLOOKUP($A39,'R (s01)'!B:B,'R (s01)'!D:D,"Falta")</f>
        <v>Falta</v>
      </c>
      <c r="C39" s="104" t="str">
        <f>+_xlfn.XLOOKUP($A39,'R (s01)'!B:B,'R (s01)'!E:E,"Falta")</f>
        <v>Falta</v>
      </c>
      <c r="D39" s="104" t="str">
        <f>+_xlfn.XLOOKUP($A39,'R (s01)'!B:B,'R (s01)'!F:F,"Falta")</f>
        <v>Falta</v>
      </c>
      <c r="E39" s="185" t="s">
        <v>342</v>
      </c>
      <c r="F39" s="105" t="str">
        <f>IFERROR(_xlfn.XLOOKUP(A39,diario!D:D,diario!L:L,"")*1000,"")</f>
        <v/>
      </c>
      <c r="G39" s="107">
        <v>0.98</v>
      </c>
      <c r="H39" s="115" t="str">
        <f>IF(SUMIFS(Tabla1[Avance_km],Tabla1[Ducto],$A39,Tabla1[nombre_actividad],H$1)=0,"",SUMIFS(Tabla1[Avance_km],Tabla1[Ducto],$A39,Tabla1[nombre_actividad],H$1))</f>
        <v/>
      </c>
      <c r="I39" s="115" t="str">
        <f>IF(SUMIFS(Tabla1[Avance_km],Tabla1[Ducto],$A39,Tabla1[nombre_actividad],I$1)=0,"",SUMIFS(Tabla1[Avance_km],Tabla1[Ducto],$A39,Tabla1[nombre_actividad],I$1))</f>
        <v/>
      </c>
      <c r="J39" s="115" t="str">
        <f>IF(SUMIFS(Tabla1[Avance_km],Tabla1[Ducto],$A39,Tabla1[nombre_actividad],J$1)=0,"",SUMIFS(Tabla1[Avance_km],Tabla1[Ducto],$A39,Tabla1[nombre_actividad],J$1))</f>
        <v/>
      </c>
      <c r="K39" s="137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99" t="s">
        <v>38</v>
      </c>
      <c r="B40" s="103">
        <f>+_xlfn.XLOOKUP($A40,'R (s01)'!B:B,'R (s01)'!D:D,"Falta")</f>
        <v>1</v>
      </c>
      <c r="C40" s="104">
        <f>+_xlfn.XLOOKUP($A40,'R (s01)'!B:B,'R (s01)'!E:E,"Falta")</f>
        <v>1</v>
      </c>
      <c r="D40" s="104">
        <f>+_xlfn.XLOOKUP($A40,'R (s01)'!B:B,'R (s01)'!F:F,"Falta")</f>
        <v>1</v>
      </c>
      <c r="E40" s="104">
        <f>+_xlfn.XLOOKUP($A40,'R (s01)'!B:B,'R (s01)'!G:G,"Falta")</f>
        <v>1</v>
      </c>
      <c r="F40" s="105">
        <f>IFERROR(_xlfn.XLOOKUP(A40,diario!D:D,diario!L:L,"")*1000,"")</f>
        <v>1855</v>
      </c>
      <c r="G40" s="107">
        <v>1855.12</v>
      </c>
      <c r="H40" s="115">
        <f>IF(SUMIFS(Tabla1[Avance_km],Tabla1[Ducto],$A40,Tabla1[nombre_actividad],H$1)=0,"",SUMIFS(Tabla1[Avance_km],Tabla1[Ducto],$A40,Tabla1[nombre_actividad],H$1))</f>
        <v>1.855</v>
      </c>
      <c r="I40" s="115">
        <f>IF(SUMIFS(Tabla1[Avance_km],Tabla1[Ducto],$A40,Tabla1[nombre_actividad],I$1)=0,"",SUMIFS(Tabla1[Avance_km],Tabla1[Ducto],$A40,Tabla1[nombre_actividad],I$1))</f>
        <v>1.855</v>
      </c>
      <c r="J40" s="115">
        <f>IF(SUMIFS(Tabla1[Avance_km],Tabla1[Ducto],$A40,Tabla1[nombre_actividad],J$1)=0,"",SUMIFS(Tabla1[Avance_km],Tabla1[Ducto],$A40,Tabla1[nombre_actividad],J$1))</f>
        <v>1.855</v>
      </c>
      <c r="K40" s="116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0" t="s">
        <v>46</v>
      </c>
      <c r="B41" s="103">
        <f>+_xlfn.XLOOKUP($A41,'R (s01)'!B:B,'R (s01)'!D:D,"Falta")</f>
        <v>1</v>
      </c>
      <c r="C41" s="104">
        <f>+_xlfn.XLOOKUP($A41,'R (s01)'!B:B,'R (s01)'!E:E,"Falta")</f>
        <v>1</v>
      </c>
      <c r="D41" s="104">
        <f>+_xlfn.XLOOKUP($A41,'R (s01)'!B:B,'R (s01)'!F:F,"Falta")</f>
        <v>1</v>
      </c>
      <c r="E41" s="104">
        <f>+_xlfn.XLOOKUP($A41,'R (s01)'!B:B,'R (s01)'!G:G,"Falta")</f>
        <v>1</v>
      </c>
      <c r="F41" s="105">
        <f>IFERROR(_xlfn.XLOOKUP(A41,diario!D:D,diario!L:L,"")*1000,"")</f>
        <v>267</v>
      </c>
      <c r="G41" s="107">
        <v>266.83999999999997</v>
      </c>
      <c r="H41" s="115">
        <f>IF(SUMIFS(Tabla1[Avance_km],Tabla1[Ducto],$A41,Tabla1[nombre_actividad],H$1)=0,"",SUMIFS(Tabla1[Avance_km],Tabla1[Ducto],$A41,Tabla1[nombre_actividad],H$1))</f>
        <v>0.26700000000000002</v>
      </c>
      <c r="I41" s="115">
        <f>IF(SUMIFS(Tabla1[Avance_km],Tabla1[Ducto],$A41,Tabla1[nombre_actividad],I$1)=0,"",SUMIFS(Tabla1[Avance_km],Tabla1[Ducto],$A41,Tabla1[nombre_actividad],I$1))</f>
        <v>0.26700000000000002</v>
      </c>
      <c r="J41" s="115">
        <f>IF(SUMIFS(Tabla1[Avance_km],Tabla1[Ducto],$A41,Tabla1[nombre_actividad],J$1)=0,"",SUMIFS(Tabla1[Avance_km],Tabla1[Ducto],$A41,Tabla1[nombre_actividad],J$1))</f>
        <v>0.26700000000000002</v>
      </c>
      <c r="K41" s="116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7">
        <f>SUM(F2:F41)</f>
        <v>66918.22</v>
      </c>
      <c r="G43" s="107">
        <f>SUM(G2:G41)</f>
        <v>66713.31700000001</v>
      </c>
      <c r="H43" s="126">
        <f>SUM(H2:H41)</f>
        <v>66.918000000000006</v>
      </c>
      <c r="I43" s="126">
        <f t="shared" ref="I43:J43" si="0">SUM(I2:I41)</f>
        <v>66.918000000000006</v>
      </c>
      <c r="J43" s="126">
        <f t="shared" si="0"/>
        <v>66.918000000000006</v>
      </c>
      <c r="K43" s="127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25" priority="4"/>
  </conditionalFormatting>
  <conditionalFormatting sqref="B2:E41">
    <cfRule type="expression" dxfId="24" priority="3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98" t="s">
        <v>27</v>
      </c>
      <c r="B2" s="103">
        <f>+_xlfn.XLOOKUP($A2,'R (s02)'!B:B,'R (s02)'!D:D,"Falta")</f>
        <v>1</v>
      </c>
      <c r="C2" s="104">
        <f>+_xlfn.XLOOKUP($A2,'R (s02)'!$B:$B,'R (s02)'!E:E,"Falta")</f>
        <v>1</v>
      </c>
      <c r="D2" s="104">
        <f>+_xlfn.XLOOKUP($A2,'R (s02)'!$B:$B,'R (s02)'!F:F,"Falta")</f>
        <v>1</v>
      </c>
      <c r="E2" s="104">
        <f>+_xlfn.XLOOKUP($A2,'R (s02)'!$B:$B,'R (s02)'!G:G,"Falta")</f>
        <v>1</v>
      </c>
      <c r="F2" s="105">
        <f>IFERROR(_xlfn.XLOOKUP(A2,diario!D:D,diario!L:L,"")*1000,"")</f>
        <v>25400</v>
      </c>
      <c r="G2" s="107">
        <v>25136.06</v>
      </c>
      <c r="H2" s="115">
        <f>IF(SUMIFS(Tabla1[Avance_km],Tabla1[Ducto],$A2,Tabla1[nombre_actividad],H$1)=0,"",SUMIFS(Tabla1[Avance_km],Tabla1[Ducto],$A2,Tabla1[nombre_actividad],H$1))</f>
        <v>25.4</v>
      </c>
      <c r="I2" s="115">
        <f>IF(SUMIFS(Tabla1[Avance_km],Tabla1[Ducto],$A2,Tabla1[nombre_actividad],I$1)=0,"",SUMIFS(Tabla1[Avance_km],Tabla1[Ducto],$A2,Tabla1[nombre_actividad],I$1))</f>
        <v>25.4</v>
      </c>
      <c r="J2" s="115">
        <f>IF(SUMIFS(Tabla1[Avance_km],Tabla1[Ducto],$A2,Tabla1[nombre_actividad],J$1)=0,"",SUMIFS(Tabla1[Avance_km],Tabla1[Ducto],$A2,Tabla1[nombre_actividad],J$1))</f>
        <v>25.4</v>
      </c>
      <c r="K2" s="116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99" t="s">
        <v>73</v>
      </c>
      <c r="B3" s="103">
        <f>+_xlfn.XLOOKUP($A3,'R (s02)'!B:B,'R (s02)'!D:D,"Falta")</f>
        <v>1</v>
      </c>
      <c r="C3" s="104">
        <f>+_xlfn.XLOOKUP($A3,'R (s02)'!$B:$B,'R (s02)'!E:E,"Falta")</f>
        <v>1</v>
      </c>
      <c r="D3" s="104">
        <f>+_xlfn.XLOOKUP($A3,'R (s02)'!$B:$B,'R (s02)'!F:F,"Falta")</f>
        <v>1</v>
      </c>
      <c r="E3" s="185" t="s">
        <v>342</v>
      </c>
      <c r="F3" s="105">
        <f>IFERROR(_xlfn.XLOOKUP(A3,diario!D:D,diario!L:L,"")*1000,"")</f>
        <v>5</v>
      </c>
      <c r="G3" s="107">
        <v>8.5</v>
      </c>
      <c r="H3" s="115">
        <f>IF(SUMIFS(Tabla1[Avance_km],Tabla1[Ducto],$A3,Tabla1[nombre_actividad],H$1)=0,"",SUMIFS(Tabla1[Avance_km],Tabla1[Ducto],$A3,Tabla1[nombre_actividad],H$1))</f>
        <v>5.0000000000000001E-3</v>
      </c>
      <c r="I3" s="115">
        <f>IF(SUMIFS(Tabla1[Avance_km],Tabla1[Ducto],$A3,Tabla1[nombre_actividad],I$1)=0,"",SUMIFS(Tabla1[Avance_km],Tabla1[Ducto],$A3,Tabla1[nombre_actividad],I$1))</f>
        <v>5.0000000000000001E-3</v>
      </c>
      <c r="J3" s="115">
        <f>IF(SUMIFS(Tabla1[Avance_km],Tabla1[Ducto],$A3,Tabla1[nombre_actividad],J$1)=0,"",SUMIFS(Tabla1[Avance_km],Tabla1[Ducto],$A3,Tabla1[nombre_actividad],J$1))</f>
        <v>5.0000000000000001E-3</v>
      </c>
      <c r="K3" s="137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99" t="s">
        <v>64</v>
      </c>
      <c r="B4" s="103">
        <f>+_xlfn.XLOOKUP($A4,'R (s02)'!B:B,'R (s02)'!D:D,"Falta")</f>
        <v>1</v>
      </c>
      <c r="C4" s="104">
        <f>+_xlfn.XLOOKUP($A4,'R (s02)'!$B:$B,'R (s02)'!E:E,"Falta")</f>
        <v>1</v>
      </c>
      <c r="D4" s="104">
        <f>+_xlfn.XLOOKUP($A4,'R (s02)'!$B:$B,'R (s02)'!F:F,"Falta")</f>
        <v>1</v>
      </c>
      <c r="E4" s="185" t="s">
        <v>342</v>
      </c>
      <c r="F4" s="105">
        <f>IFERROR(_xlfn.XLOOKUP(A4,diario!D:D,diario!L:L,"")*1000,"")</f>
        <v>17</v>
      </c>
      <c r="G4" s="107">
        <v>17.03</v>
      </c>
      <c r="H4" s="115">
        <f>IF(SUMIFS(Tabla1[Avance_km],Tabla1[Ducto],$A4,Tabla1[nombre_actividad],H$1)=0,"",SUMIFS(Tabla1[Avance_km],Tabla1[Ducto],$A4,Tabla1[nombre_actividad],H$1))</f>
        <v>1.7000000000000001E-2</v>
      </c>
      <c r="I4" s="115">
        <f>IF(SUMIFS(Tabla1[Avance_km],Tabla1[Ducto],$A4,Tabla1[nombre_actividad],I$1)=0,"",SUMIFS(Tabla1[Avance_km],Tabla1[Ducto],$A4,Tabla1[nombre_actividad],I$1))</f>
        <v>1.7000000000000001E-2</v>
      </c>
      <c r="J4" s="115">
        <f>IF(SUMIFS(Tabla1[Avance_km],Tabla1[Ducto],$A4,Tabla1[nombre_actividad],J$1)=0,"",SUMIFS(Tabla1[Avance_km],Tabla1[Ducto],$A4,Tabla1[nombre_actividad],J$1))</f>
        <v>1.7000000000000001E-2</v>
      </c>
      <c r="K4" s="137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55</v>
      </c>
      <c r="B5" s="103">
        <f>+_xlfn.XLOOKUP($A5,'R (s02)'!B:B,'R (s02)'!D:D,"Falta")</f>
        <v>1</v>
      </c>
      <c r="C5" s="104">
        <f>+_xlfn.XLOOKUP($A5,'R (s02)'!$B:$B,'R (s02)'!E:E,"Falta")</f>
        <v>1</v>
      </c>
      <c r="D5" s="104">
        <f>+_xlfn.XLOOKUP($A5,'R (s02)'!$B:$B,'R (s02)'!F:F,"Falta")</f>
        <v>1</v>
      </c>
      <c r="E5" s="185" t="s">
        <v>342</v>
      </c>
      <c r="F5" s="105">
        <f>IFERROR(_xlfn.XLOOKUP(A5,diario!D:D,diario!L:L,"")*1000,"")</f>
        <v>11</v>
      </c>
      <c r="G5" s="107">
        <v>11.67</v>
      </c>
      <c r="H5" s="115">
        <f>IF(SUMIFS(Tabla1[Avance_km],Tabla1[Ducto],$A5,Tabla1[nombre_actividad],H$1)=0,"",SUMIFS(Tabla1[Avance_km],Tabla1[Ducto],$A5,Tabla1[nombre_actividad],H$1))</f>
        <v>1.0999999999999999E-2</v>
      </c>
      <c r="I5" s="115">
        <f>IF(SUMIFS(Tabla1[Avance_km],Tabla1[Ducto],$A5,Tabla1[nombre_actividad],I$1)=0,"",SUMIFS(Tabla1[Avance_km],Tabla1[Ducto],$A5,Tabla1[nombre_actividad],I$1))</f>
        <v>1.0999999999999999E-2</v>
      </c>
      <c r="J5" s="115">
        <f>IF(SUMIFS(Tabla1[Avance_km],Tabla1[Ducto],$A5,Tabla1[nombre_actividad],J$1)=0,"",SUMIFS(Tabla1[Avance_km],Tabla1[Ducto],$A5,Tabla1[nombre_actividad],J$1))</f>
        <v>1.0999999999999999E-2</v>
      </c>
      <c r="K5" s="137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99" t="s">
        <v>54</v>
      </c>
      <c r="B6" s="103">
        <f>+_xlfn.XLOOKUP($A6,'R (s02)'!B:B,'R (s02)'!D:D,"Falta")</f>
        <v>1</v>
      </c>
      <c r="C6" s="104">
        <f>+_xlfn.XLOOKUP($A6,'R (s02)'!$B:$B,'R (s02)'!E:E,"Falta")</f>
        <v>1</v>
      </c>
      <c r="D6" s="104">
        <f>+_xlfn.XLOOKUP($A6,'R (s02)'!$B:$B,'R (s02)'!F:F,"Falta")</f>
        <v>1</v>
      </c>
      <c r="E6" s="185" t="s">
        <v>342</v>
      </c>
      <c r="F6" s="105">
        <f>IFERROR(_xlfn.XLOOKUP(A6,diario!D:D,diario!L:L,"")*1000,"")</f>
        <v>13</v>
      </c>
      <c r="G6" s="107">
        <v>15.436949</v>
      </c>
      <c r="H6" s="115">
        <f>IF(SUMIFS(Tabla1[Avance_km],Tabla1[Ducto],$A6,Tabla1[nombre_actividad],H$1)=0,"",SUMIFS(Tabla1[Avance_km],Tabla1[Ducto],$A6,Tabla1[nombre_actividad],H$1))</f>
        <v>1.2999999999999999E-2</v>
      </c>
      <c r="I6" s="115">
        <f>IF(SUMIFS(Tabla1[Avance_km],Tabla1[Ducto],$A6,Tabla1[nombre_actividad],I$1)=0,"",SUMIFS(Tabla1[Avance_km],Tabla1[Ducto],$A6,Tabla1[nombre_actividad],I$1))</f>
        <v>1.2999999999999999E-2</v>
      </c>
      <c r="J6" s="115">
        <f>IF(SUMIFS(Tabla1[Avance_km],Tabla1[Ducto],$A6,Tabla1[nombre_actividad],J$1)=0,"",SUMIFS(Tabla1[Avance_km],Tabla1[Ducto],$A6,Tabla1[nombre_actividad],J$1))</f>
        <v>1.2999999999999999E-2</v>
      </c>
      <c r="K6" s="137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99" t="s">
        <v>35</v>
      </c>
      <c r="B7" s="103">
        <f>+_xlfn.XLOOKUP($A7,'R (s02)'!B:B,'R (s02)'!D:D,"Falta")</f>
        <v>1</v>
      </c>
      <c r="C7" s="104">
        <f>+_xlfn.XLOOKUP($A7,'R (s02)'!$B:$B,'R (s02)'!E:E,"Falta")</f>
        <v>1</v>
      </c>
      <c r="D7" s="104">
        <f>+_xlfn.XLOOKUP($A7,'R (s02)'!$B:$B,'R (s02)'!F:F,"Falta")</f>
        <v>1</v>
      </c>
      <c r="E7" s="104">
        <f>+_xlfn.XLOOKUP($A7,'R (s02)'!$B:$B,'R (s02)'!G:G,"Falta")</f>
        <v>1</v>
      </c>
      <c r="F7" s="105">
        <f>IFERROR(_xlfn.XLOOKUP(A7,diario!D:D,diario!L:L,"")*1000,"")</f>
        <v>1195</v>
      </c>
      <c r="G7" s="107">
        <v>1189.9871559999999</v>
      </c>
      <c r="H7" s="115">
        <f>IF(SUMIFS(Tabla1[Avance_km],Tabla1[Ducto],$A7,Tabla1[nombre_actividad],H$1)=0,"",SUMIFS(Tabla1[Avance_km],Tabla1[Ducto],$A7,Tabla1[nombre_actividad],H$1))</f>
        <v>1.1950000000000001</v>
      </c>
      <c r="I7" s="115">
        <f>IF(SUMIFS(Tabla1[Avance_km],Tabla1[Ducto],$A7,Tabla1[nombre_actividad],I$1)=0,"",SUMIFS(Tabla1[Avance_km],Tabla1[Ducto],$A7,Tabla1[nombre_actividad],I$1))</f>
        <v>1.1950000000000001</v>
      </c>
      <c r="J7" s="115">
        <f>IF(SUMIFS(Tabla1[Avance_km],Tabla1[Ducto],$A7,Tabla1[nombre_actividad],J$1)=0,"",SUMIFS(Tabla1[Avance_km],Tabla1[Ducto],$A7,Tabla1[nombre_actividad],J$1))</f>
        <v>1.1950000000000001</v>
      </c>
      <c r="K7" s="116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0" t="s">
        <v>74</v>
      </c>
      <c r="B8" s="103">
        <f>+_xlfn.XLOOKUP($A8,'R (s02)'!B:B,'R (s02)'!D:D,"Falta")</f>
        <v>1</v>
      </c>
      <c r="C8" s="104">
        <f>+_xlfn.XLOOKUP($A8,'R (s02)'!$B:$B,'R (s02)'!E:E,"Falta")</f>
        <v>1</v>
      </c>
      <c r="D8" s="104">
        <f>+_xlfn.XLOOKUP($A8,'R (s02)'!$B:$B,'R (s02)'!F:F,"Falta")</f>
        <v>1</v>
      </c>
      <c r="E8" s="104">
        <f>+_xlfn.XLOOKUP($A8,'R (s02)'!$B:$B,'R (s02)'!G:G,"Falta")</f>
        <v>1</v>
      </c>
      <c r="F8" s="184">
        <f>IFERROR(_xlfn.XLOOKUP(A8,diario!D:D,diario!L:L,"")*1000,"")</f>
        <v>31</v>
      </c>
      <c r="G8" s="107">
        <v>31</v>
      </c>
      <c r="H8" s="115">
        <f>IF(SUMIFS(Tabla1[Avance_km],Tabla1[Ducto],$A8,Tabla1[nombre_actividad],H$1)=0,"",SUMIFS(Tabla1[Avance_km],Tabla1[Ducto],$A8,Tabla1[nombre_actividad],H$1))</f>
        <v>3.1E-2</v>
      </c>
      <c r="I8" s="115">
        <f>IF(SUMIFS(Tabla1[Avance_km],Tabla1[Ducto],$A8,Tabla1[nombre_actividad],I$1)=0,"",SUMIFS(Tabla1[Avance_km],Tabla1[Ducto],$A8,Tabla1[nombre_actividad],I$1))</f>
        <v>3.1E-2</v>
      </c>
      <c r="J8" s="115">
        <f>IF(SUMIFS(Tabla1[Avance_km],Tabla1[Ducto],$A8,Tabla1[nombre_actividad],J$1)=0,"",SUMIFS(Tabla1[Avance_km],Tabla1[Ducto],$A8,Tabla1[nombre_actividad],J$1))</f>
        <v>3.1E-2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99" t="s">
        <v>34</v>
      </c>
      <c r="B9" s="103">
        <f>+_xlfn.XLOOKUP($A9,'R (s02)'!B:B,'R (s02)'!D:D,"Falta")</f>
        <v>1</v>
      </c>
      <c r="C9" s="104">
        <f>+_xlfn.XLOOKUP($A9,'R (s02)'!$B:$B,'R (s02)'!E:E,"Falta")</f>
        <v>1</v>
      </c>
      <c r="D9" s="104">
        <f>+_xlfn.XLOOKUP($A9,'R (s02)'!$B:$B,'R (s02)'!F:F,"Falta")</f>
        <v>1</v>
      </c>
      <c r="E9" s="104">
        <f>+_xlfn.XLOOKUP($A9,'R (s02)'!$B:$B,'R (s02)'!G:G,"Falta")</f>
        <v>1</v>
      </c>
      <c r="F9" s="105">
        <f>IFERROR(_xlfn.XLOOKUP(A9,diario!D:D,diario!L:L,"")*1000,"")</f>
        <v>120</v>
      </c>
      <c r="G9" s="107">
        <v>92.52</v>
      </c>
      <c r="H9" s="115">
        <f>IF(SUMIFS(Tabla1[Avance_km],Tabla1[Ducto],$A9,Tabla1[nombre_actividad],H$1)=0,"",SUMIFS(Tabla1[Avance_km],Tabla1[Ducto],$A9,Tabla1[nombre_actividad],H$1))</f>
        <v>0.12</v>
      </c>
      <c r="I9" s="115">
        <f>IF(SUMIFS(Tabla1[Avance_km],Tabla1[Ducto],$A9,Tabla1[nombre_actividad],I$1)=0,"",SUMIFS(Tabla1[Avance_km],Tabla1[Ducto],$A9,Tabla1[nombre_actividad],I$1))</f>
        <v>0.12</v>
      </c>
      <c r="J9" s="115">
        <f>IF(SUMIFS(Tabla1[Avance_km],Tabla1[Ducto],$A9,Tabla1[nombre_actividad],J$1)=0,"",SUMIFS(Tabla1[Avance_km],Tabla1[Ducto],$A9,Tabla1[nombre_actividad],J$1))</f>
        <v>0.12</v>
      </c>
      <c r="K9" s="116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99" t="s">
        <v>56</v>
      </c>
      <c r="B10" s="103">
        <f>+_xlfn.XLOOKUP($A10,'R (s02)'!B:B,'R (s02)'!D:D,"Falta")</f>
        <v>1</v>
      </c>
      <c r="C10" s="104">
        <f>+_xlfn.XLOOKUP($A10,'R (s02)'!$B:$B,'R (s02)'!E:E,"Falta")</f>
        <v>1</v>
      </c>
      <c r="D10" s="104">
        <f>+_xlfn.XLOOKUP($A10,'R (s02)'!$B:$B,'R (s02)'!F:F,"Falta")</f>
        <v>1</v>
      </c>
      <c r="E10" s="185" t="s">
        <v>342</v>
      </c>
      <c r="F10" s="105">
        <f>IFERROR(_xlfn.XLOOKUP(A10,diario!D:D,diario!L:L,"")*1000,"")</f>
        <v>6</v>
      </c>
      <c r="G10" s="107">
        <v>6.54</v>
      </c>
      <c r="H10" s="115">
        <f>IF(SUMIFS(Tabla1[Avance_km],Tabla1[Ducto],$A10,Tabla1[nombre_actividad],H$1)=0,"",SUMIFS(Tabla1[Avance_km],Tabla1[Ducto],$A10,Tabla1[nombre_actividad],H$1))</f>
        <v>6.0000000000000001E-3</v>
      </c>
      <c r="I10" s="115">
        <f>IF(SUMIFS(Tabla1[Avance_km],Tabla1[Ducto],$A10,Tabla1[nombre_actividad],I$1)=0,"",SUMIFS(Tabla1[Avance_km],Tabla1[Ducto],$A10,Tabla1[nombre_actividad],I$1))</f>
        <v>6.0000000000000001E-3</v>
      </c>
      <c r="J10" s="115">
        <f>IF(SUMIFS(Tabla1[Avance_km],Tabla1[Ducto],$A10,Tabla1[nombre_actividad],J$1)=0,"",SUMIFS(Tabla1[Avance_km],Tabla1[Ducto],$A10,Tabla1[nombre_actividad],J$1))</f>
        <v>6.0000000000000001E-3</v>
      </c>
      <c r="K10" s="137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32</v>
      </c>
      <c r="B11" s="103">
        <f>+_xlfn.XLOOKUP($A11,'R (s02)'!B:B,'R (s02)'!D:D,"Falta")</f>
        <v>1</v>
      </c>
      <c r="C11" s="104">
        <f>+_xlfn.XLOOKUP($A11,'R (s02)'!$B:$B,'R (s02)'!E:E,"Falta")</f>
        <v>1</v>
      </c>
      <c r="D11" s="104">
        <f>+_xlfn.XLOOKUP($A11,'R (s02)'!$B:$B,'R (s02)'!F:F,"Falta")</f>
        <v>1</v>
      </c>
      <c r="E11" s="104">
        <f>+_xlfn.XLOOKUP($A11,'R (s02)'!$B:$B,'R (s02)'!G:G,"Falta")</f>
        <v>1</v>
      </c>
      <c r="F11" s="105">
        <f>IFERROR(_xlfn.XLOOKUP(A11,diario!D:D,diario!L:L,"")*1000,"")</f>
        <v>479</v>
      </c>
      <c r="G11" s="107">
        <v>479.75</v>
      </c>
      <c r="H11" s="115">
        <f>IF(SUMIFS(Tabla1[Avance_km],Tabla1[Ducto],$A11,Tabla1[nombre_actividad],H$1)=0,"",SUMIFS(Tabla1[Avance_km],Tabla1[Ducto],$A11,Tabla1[nombre_actividad],H$1))</f>
        <v>0.47899999999999998</v>
      </c>
      <c r="I11" s="115">
        <f>IF(SUMIFS(Tabla1[Avance_km],Tabla1[Ducto],$A11,Tabla1[nombre_actividad],I$1)=0,"",SUMIFS(Tabla1[Avance_km],Tabla1[Ducto],$A11,Tabla1[nombre_actividad],I$1))</f>
        <v>0.47899999999999998</v>
      </c>
      <c r="J11" s="115">
        <f>IF(SUMIFS(Tabla1[Avance_km],Tabla1[Ducto],$A11,Tabla1[nombre_actividad],J$1)=0,"",SUMIFS(Tabla1[Avance_km],Tabla1[Ducto],$A11,Tabla1[nombre_actividad],J$1))</f>
        <v>0.47899999999999998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33</v>
      </c>
      <c r="B12" s="103">
        <f>+_xlfn.XLOOKUP($A12,'R (s02)'!B:B,'R (s02)'!D:D,"Falta")</f>
        <v>1</v>
      </c>
      <c r="C12" s="104">
        <f>+_xlfn.XLOOKUP($A12,'R (s02)'!$B:$B,'R (s02)'!E:E,"Falta")</f>
        <v>1</v>
      </c>
      <c r="D12" s="104">
        <f>+_xlfn.XLOOKUP($A12,'R (s02)'!$B:$B,'R (s02)'!F:F,"Falta")</f>
        <v>1</v>
      </c>
      <c r="E12" s="185" t="s">
        <v>342</v>
      </c>
      <c r="F12" s="105">
        <f>IFERROR(_xlfn.XLOOKUP(A12,diario!D:D,diario!L:L,"")*1000,"")</f>
        <v>40</v>
      </c>
      <c r="G12" s="107">
        <v>45.15</v>
      </c>
      <c r="H12" s="115">
        <f>IF(SUMIFS(Tabla1[Avance_km],Tabla1[Ducto],$A12,Tabla1[nombre_actividad],H$1)=0,"",SUMIFS(Tabla1[Avance_km],Tabla1[Ducto],$A12,Tabla1[nombre_actividad],H$1))</f>
        <v>0.04</v>
      </c>
      <c r="I12" s="115">
        <f>IF(SUMIFS(Tabla1[Avance_km],Tabla1[Ducto],$A12,Tabla1[nombre_actividad],I$1)=0,"",SUMIFS(Tabla1[Avance_km],Tabla1[Ducto],$A12,Tabla1[nombre_actividad],I$1))</f>
        <v>0.04</v>
      </c>
      <c r="J12" s="115">
        <f>IF(SUMIFS(Tabla1[Avance_km],Tabla1[Ducto],$A12,Tabla1[nombre_actividad],J$1)=0,"",SUMIFS(Tabla1[Avance_km],Tabla1[Ducto],$A12,Tabla1[nombre_actividad],J$1))</f>
        <v>0.04</v>
      </c>
      <c r="K12" s="137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26</v>
      </c>
      <c r="B13" s="103">
        <f>+_xlfn.XLOOKUP($A13,'R (s02)'!B:B,'R (s02)'!D:D,"Falta")</f>
        <v>1</v>
      </c>
      <c r="C13" s="104">
        <f>+_xlfn.XLOOKUP($A13,'R (s02)'!$B:$B,'R (s02)'!E:E,"Falta")</f>
        <v>1</v>
      </c>
      <c r="D13" s="104">
        <f>+_xlfn.XLOOKUP($A13,'R (s02)'!$B:$B,'R (s02)'!F:F,"Falta")</f>
        <v>1</v>
      </c>
      <c r="E13" s="185" t="s">
        <v>342</v>
      </c>
      <c r="F13" s="105">
        <f>IFERROR(_xlfn.XLOOKUP(A13,diario!D:D,diario!L:L,"")*1000,"")</f>
        <v>9</v>
      </c>
      <c r="G13" s="107">
        <v>9</v>
      </c>
      <c r="H13" s="115">
        <f>IF(SUMIFS(Tabla1[Avance_km],Tabla1[Ducto],$A13,Tabla1[nombre_actividad],H$1)=0,"",SUMIFS(Tabla1[Avance_km],Tabla1[Ducto],$A13,Tabla1[nombre_actividad],H$1))</f>
        <v>8.9999999999999993E-3</v>
      </c>
      <c r="I13" s="115">
        <f>IF(SUMIFS(Tabla1[Avance_km],Tabla1[Ducto],$A13,Tabla1[nombre_actividad],I$1)=0,"",SUMIFS(Tabla1[Avance_km],Tabla1[Ducto],$A13,Tabla1[nombre_actividad],I$1))</f>
        <v>8.9999999999999993E-3</v>
      </c>
      <c r="J13" s="115">
        <f>IF(SUMIFS(Tabla1[Avance_km],Tabla1[Ducto],$A13,Tabla1[nombre_actividad],J$1)=0,"",SUMIFS(Tabla1[Avance_km],Tabla1[Ducto],$A13,Tabla1[nombre_actividad],J$1))</f>
        <v>8.9999999999999993E-3</v>
      </c>
      <c r="K13" s="137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99" t="s">
        <v>357</v>
      </c>
      <c r="B14" s="103">
        <f>+_xlfn.XLOOKUP($A14,'R (s02)'!B:B,'R (s02)'!D:D,"Falta")</f>
        <v>1</v>
      </c>
      <c r="C14" s="104">
        <f>+_xlfn.XLOOKUP($A14,'R (s02)'!$B:$B,'R (s02)'!E:E,"Falta")</f>
        <v>1</v>
      </c>
      <c r="D14" s="104">
        <f>+_xlfn.XLOOKUP($A14,'R (s02)'!$B:$B,'R (s02)'!F:F,"Falta")</f>
        <v>1</v>
      </c>
      <c r="E14" s="104">
        <f>+_xlfn.XLOOKUP($A14,'R (s02)'!$B:$B,'R (s02)'!G:G,"Falta")</f>
        <v>1</v>
      </c>
      <c r="F14" s="105">
        <f>IFERROR(_xlfn.XLOOKUP(A14,diario!D:D,diario!L:L,"")*1000,"")</f>
        <v>741</v>
      </c>
      <c r="G14" s="107">
        <v>741.611088</v>
      </c>
      <c r="H14" s="115">
        <f>IF(SUMIFS(Tabla1[Avance_km],Tabla1[Ducto],$A14,Tabla1[nombre_actividad],H$1)=0,"",SUMIFS(Tabla1[Avance_km],Tabla1[Ducto],$A14,Tabla1[nombre_actividad],H$1))</f>
        <v>0.74099999999999999</v>
      </c>
      <c r="I14" s="115">
        <f>IF(SUMIFS(Tabla1[Avance_km],Tabla1[Ducto],$A14,Tabla1[nombre_actividad],I$1)=0,"",SUMIFS(Tabla1[Avance_km],Tabla1[Ducto],$A14,Tabla1[nombre_actividad],I$1))</f>
        <v>0.74099999999999999</v>
      </c>
      <c r="J14" s="115">
        <f>IF(SUMIFS(Tabla1[Avance_km],Tabla1[Ducto],$A14,Tabla1[nombre_actividad],J$1)=0,"",SUMIFS(Tabla1[Avance_km],Tabla1[Ducto],$A14,Tabla1[nombre_actividad],J$1))</f>
        <v>0.74099999999999999</v>
      </c>
      <c r="K14" s="116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99" t="s">
        <v>23</v>
      </c>
      <c r="B15" s="103">
        <f>+_xlfn.XLOOKUP($A15,'R (s02)'!B:B,'R (s02)'!D:D,"Falta")</f>
        <v>1</v>
      </c>
      <c r="C15" s="104">
        <f>+_xlfn.XLOOKUP($A15,'R (s02)'!$B:$B,'R (s02)'!E:E,"Falta")</f>
        <v>1</v>
      </c>
      <c r="D15" s="104">
        <f>+_xlfn.XLOOKUP($A15,'R (s02)'!$B:$B,'R (s02)'!F:F,"Falta")</f>
        <v>1</v>
      </c>
      <c r="E15" s="104">
        <f>+_xlfn.XLOOKUP($A15,'R (s02)'!$B:$B,'R (s02)'!G:G,"Falta")</f>
        <v>1</v>
      </c>
      <c r="F15" s="105">
        <f>IFERROR(_xlfn.XLOOKUP(A15,diario!D:D,diario!L:L,"")*1000,"")</f>
        <v>2200</v>
      </c>
      <c r="G15" s="107">
        <v>2168.1663199999998</v>
      </c>
      <c r="H15" s="115">
        <f>IF(SUMIFS(Tabla1[Avance_km],Tabla1[Ducto],$A15,Tabla1[nombre_actividad],H$1)=0,"",SUMIFS(Tabla1[Avance_km],Tabla1[Ducto],$A15,Tabla1[nombre_actividad],H$1))</f>
        <v>2.2000000000000002</v>
      </c>
      <c r="I15" s="115">
        <f>IF(SUMIFS(Tabla1[Avance_km],Tabla1[Ducto],$A15,Tabla1[nombre_actividad],I$1)=0,"",SUMIFS(Tabla1[Avance_km],Tabla1[Ducto],$A15,Tabla1[nombre_actividad],I$1))</f>
        <v>2.2000000000000002</v>
      </c>
      <c r="J15" s="115">
        <f>IF(SUMIFS(Tabla1[Avance_km],Tabla1[Ducto],$A15,Tabla1[nombre_actividad],J$1)=0,"",SUMIFS(Tabla1[Avance_km],Tabla1[Ducto],$A15,Tabla1[nombre_actividad],J$1))</f>
        <v>2.2000000000000002</v>
      </c>
      <c r="K15" s="116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0" t="s">
        <v>39</v>
      </c>
      <c r="B16" s="103">
        <f>+_xlfn.XLOOKUP($A16,'R (s02)'!B:B,'R (s02)'!D:D,"Falta")</f>
        <v>1</v>
      </c>
      <c r="C16" s="104">
        <f>+_xlfn.XLOOKUP($A16,'R (s02)'!$B:$B,'R (s02)'!E:E,"Falta")</f>
        <v>1</v>
      </c>
      <c r="D16" s="104">
        <f>+_xlfn.XLOOKUP($A16,'R (s02)'!$B:$B,'R (s02)'!F:F,"Falta")</f>
        <v>1</v>
      </c>
      <c r="E16" s="104">
        <f>+_xlfn.XLOOKUP($A16,'R (s02)'!$B:$B,'R (s02)'!G:G,"Falta")</f>
        <v>1</v>
      </c>
      <c r="F16" s="105">
        <f>IFERROR(_xlfn.XLOOKUP(A16,diario!D:D,diario!L:L,"")*1000,"")</f>
        <v>20</v>
      </c>
      <c r="G16" s="107">
        <v>17.320043999999999</v>
      </c>
      <c r="H16" s="115">
        <f>IF(SUMIFS(Tabla1[Avance_km],Tabla1[Ducto],$A16,Tabla1[nombre_actividad],H$1)=0,"",SUMIFS(Tabla1[Avance_km],Tabla1[Ducto],$A16,Tabla1[nombre_actividad],H$1))</f>
        <v>0.02</v>
      </c>
      <c r="I16" s="115">
        <f>IF(SUMIFS(Tabla1[Avance_km],Tabla1[Ducto],$A16,Tabla1[nombre_actividad],I$1)=0,"",SUMIFS(Tabla1[Avance_km],Tabla1[Ducto],$A16,Tabla1[nombre_actividad],I$1))</f>
        <v>0.02</v>
      </c>
      <c r="J16" s="115">
        <f>IF(SUMIFS(Tabla1[Avance_km],Tabla1[Ducto],$A16,Tabla1[nombre_actividad],J$1)=0,"",SUMIFS(Tabla1[Avance_km],Tabla1[Ducto],$A16,Tabla1[nombre_actividad],J$1))</f>
        <v>0.02</v>
      </c>
      <c r="K16" s="116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0" t="s">
        <v>24</v>
      </c>
      <c r="B17" s="103">
        <f>+_xlfn.XLOOKUP($A17,'R (s02)'!B:B,'R (s02)'!D:D,"Falta")</f>
        <v>1</v>
      </c>
      <c r="C17" s="104">
        <f>+_xlfn.XLOOKUP($A17,'R (s02)'!$B:$B,'R (s02)'!E:E,"Falta")</f>
        <v>1</v>
      </c>
      <c r="D17" s="104">
        <f>+_xlfn.XLOOKUP($A17,'R (s02)'!$B:$B,'R (s02)'!F:F,"Falta")</f>
        <v>1</v>
      </c>
      <c r="E17" s="104">
        <f>+_xlfn.XLOOKUP($A17,'R (s02)'!$B:$B,'R (s02)'!G:G,"Falta")</f>
        <v>1</v>
      </c>
      <c r="F17" s="105">
        <f>IFERROR(_xlfn.XLOOKUP(A17,diario!D:D,diario!L:L,"")*1000,"")</f>
        <v>2576</v>
      </c>
      <c r="G17" s="107">
        <v>2598.3872190000002</v>
      </c>
      <c r="H17" s="115">
        <f>IF(SUMIFS(Tabla1[Avance_km],Tabla1[Ducto],$A17,Tabla1[nombre_actividad],H$1)=0,"",SUMIFS(Tabla1[Avance_km],Tabla1[Ducto],$A17,Tabla1[nombre_actividad],H$1))</f>
        <v>2.5760000000000001</v>
      </c>
      <c r="I17" s="115">
        <f>IF(SUMIFS(Tabla1[Avance_km],Tabla1[Ducto],$A17,Tabla1[nombre_actividad],I$1)=0,"",SUMIFS(Tabla1[Avance_km],Tabla1[Ducto],$A17,Tabla1[nombre_actividad],I$1))</f>
        <v>2.5760000000000001</v>
      </c>
      <c r="J17" s="115">
        <f>IF(SUMIFS(Tabla1[Avance_km],Tabla1[Ducto],$A17,Tabla1[nombre_actividad],J$1)=0,"",SUMIFS(Tabla1[Avance_km],Tabla1[Ducto],$A17,Tabla1[nombre_actividad],J$1))</f>
        <v>2.5760000000000001</v>
      </c>
      <c r="K17" s="116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1" t="s">
        <v>25</v>
      </c>
      <c r="B18" s="103">
        <f>+_xlfn.XLOOKUP($A18,'R (s02)'!B:B,'R (s02)'!D:D,"Falta")</f>
        <v>1</v>
      </c>
      <c r="C18" s="104">
        <f>+_xlfn.XLOOKUP($A18,'R (s02)'!$B:$B,'R (s02)'!E:E,"Falta")</f>
        <v>1</v>
      </c>
      <c r="D18" s="104">
        <f>+_xlfn.XLOOKUP($A18,'R (s02)'!$B:$B,'R (s02)'!F:F,"Falta")</f>
        <v>1</v>
      </c>
      <c r="E18" s="185" t="s">
        <v>342</v>
      </c>
      <c r="F18" s="105">
        <f>IFERROR(_xlfn.XLOOKUP(A18,diario!D:D,diario!L:L,"")*1000,"")</f>
        <v>125</v>
      </c>
      <c r="G18" s="107">
        <v>124.30148</v>
      </c>
      <c r="H18" s="115">
        <f>IF(SUMIFS(Tabla1[Avance_km],Tabla1[Ducto],$A18,Tabla1[nombre_actividad],H$1)=0,"",SUMIFS(Tabla1[Avance_km],Tabla1[Ducto],$A18,Tabla1[nombre_actividad],H$1))</f>
        <v>0.125</v>
      </c>
      <c r="I18" s="115">
        <f>IF(SUMIFS(Tabla1[Avance_km],Tabla1[Ducto],$A18,Tabla1[nombre_actividad],I$1)=0,"",SUMIFS(Tabla1[Avance_km],Tabla1[Ducto],$A18,Tabla1[nombre_actividad],I$1))</f>
        <v>0.125</v>
      </c>
      <c r="J18" s="115">
        <f>IF(SUMIFS(Tabla1[Avance_km],Tabla1[Ducto],$A18,Tabla1[nombre_actividad],J$1)=0,"",SUMIFS(Tabla1[Avance_km],Tabla1[Ducto],$A18,Tabla1[nombre_actividad],J$1))</f>
        <v>0.125</v>
      </c>
      <c r="K18" s="137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7">
        <f>SUM(G2:G18)</f>
        <v>32692.430256</v>
      </c>
      <c r="H20" s="126">
        <f>SUM(H2:H18)</f>
        <v>32.987999999999992</v>
      </c>
      <c r="I20" s="126">
        <f t="shared" ref="I20:K20" si="0">SUM(I2:I18)</f>
        <v>32.987999999999992</v>
      </c>
      <c r="J20" s="126">
        <f t="shared" si="0"/>
        <v>32.987999999999992</v>
      </c>
      <c r="K20" s="127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23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75" t="s">
        <v>212</v>
      </c>
      <c r="B2" s="103">
        <f>+_xlfn.XLOOKUP($A2,'R (s03)'!B:B,'R (s03)'!D:D,"Falta")</f>
        <v>1</v>
      </c>
      <c r="C2" s="104">
        <f>+_xlfn.XLOOKUP($A2,'R (s03)'!$B:$B,'R (s03)'!E:E,"Falta")</f>
        <v>1.0198702684949503</v>
      </c>
      <c r="D2" s="104">
        <f>+_xlfn.XLOOKUP($A2,'R (s03)'!$B:$B,'R (s03)'!F:F,"Falta")</f>
        <v>0.9630511536250923</v>
      </c>
      <c r="E2" s="104">
        <f>+_xlfn.XLOOKUP($A2,'R (s03)'!$B:$B,'R (s03)'!G:G,"Falta")</f>
        <v>1</v>
      </c>
      <c r="F2" s="105">
        <v>24000</v>
      </c>
      <c r="G2" s="107">
        <v>23864</v>
      </c>
      <c r="H2" s="115">
        <f>IF(SUMIFS(Tabla1[Avance_km],Tabla1[Ducto],$A2,Tabla1[nombre_actividad],H$1)=0,"",SUMIFS(Tabla1[Avance_km],Tabla1[Ducto],$A2,Tabla1[nombre_actividad],H$1))</f>
        <v>24.358000000000001</v>
      </c>
      <c r="I2" s="115">
        <f>IF(SUMIFS(Tabla1[Avance_km],Tabla1[Ducto],$A2,Tabla1[nombre_actividad],I$1)=0,"",SUMIFS(Tabla1[Avance_km],Tabla1[Ducto],$A2,Tabla1[nombre_actividad],I$1))</f>
        <v>24.842000000000002</v>
      </c>
      <c r="J2" s="115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6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99" t="s">
        <v>213</v>
      </c>
      <c r="B3" s="103">
        <f>+_xlfn.XLOOKUP($A3,'R (s03)'!$B:$B,'R (s03)'!D:D,"Falta")</f>
        <v>1</v>
      </c>
      <c r="C3" s="104">
        <f>+_xlfn.XLOOKUP($A3,'R (s03)'!$B:$B,'R (s03)'!E:E,"Falta")</f>
        <v>1</v>
      </c>
      <c r="D3" s="104">
        <f>+_xlfn.XLOOKUP($A3,'R (s03)'!$B:$B,'R (s03)'!F:F,"Falta")</f>
        <v>1</v>
      </c>
      <c r="E3" s="104">
        <f>+_xlfn.XLOOKUP($A3,'R (s03)'!$B:$B,'R (s03)'!G:G,"Falta")</f>
        <v>1</v>
      </c>
      <c r="F3" s="105">
        <v>26</v>
      </c>
      <c r="G3" s="107">
        <v>25</v>
      </c>
      <c r="H3" s="115">
        <f>IF(SUMIFS(Tabla1[Avance_km],Tabla1[Ducto],$A3,Tabla1[nombre_actividad],H$1)=0,"",SUMIFS(Tabla1[Avance_km],Tabla1[Ducto],$A3,Tabla1[nombre_actividad],H$1))</f>
        <v>2.5999999999999999E-2</v>
      </c>
      <c r="I3" s="115">
        <f>IF(SUMIFS(Tabla1[Avance_km],Tabla1[Ducto],$A3,Tabla1[nombre_actividad],I$1)=0,"",SUMIFS(Tabla1[Avance_km],Tabla1[Ducto],$A3,Tabla1[nombre_actividad],I$1))</f>
        <v>2.5000000000000001E-2</v>
      </c>
      <c r="J3" s="115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6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99" t="s">
        <v>214</v>
      </c>
      <c r="B4" s="103">
        <f>+_xlfn.XLOOKUP($A4,'R (s03)'!$B:$B,'R (s03)'!D:D,"Falta")</f>
        <v>1</v>
      </c>
      <c r="C4" s="104">
        <f>+_xlfn.XLOOKUP($A4,'R (s03)'!$B:$B,'R (s03)'!E:E,"Falta")</f>
        <v>1</v>
      </c>
      <c r="D4" s="104">
        <f>+_xlfn.XLOOKUP($A4,'R (s03)'!$B:$B,'R (s03)'!F:F,"Falta")</f>
        <v>1</v>
      </c>
      <c r="E4" s="104">
        <f>+_xlfn.XLOOKUP($A4,'R (s03)'!$B:$B,'R (s03)'!G:G,"Falta")</f>
        <v>1</v>
      </c>
      <c r="F4" s="105">
        <v>9</v>
      </c>
      <c r="G4" s="107">
        <v>9</v>
      </c>
      <c r="H4" s="115">
        <f>IF(SUMIFS(Tabla1[Avance_km],Tabla1[Ducto],$A4,Tabla1[nombre_actividad],H$1)=0,"",SUMIFS(Tabla1[Avance_km],Tabla1[Ducto],$A4,Tabla1[nombre_actividad],H$1))</f>
        <v>1.2999999999999999E-2</v>
      </c>
      <c r="I4" s="115">
        <f>IF(SUMIFS(Tabla1[Avance_km],Tabla1[Ducto],$A4,Tabla1[nombre_actividad],I$1)=0,"",SUMIFS(Tabla1[Avance_km],Tabla1[Ducto],$A4,Tabla1[nombre_actividad],I$1))</f>
        <v>1.2999999999999999E-2</v>
      </c>
      <c r="J4" s="115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6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99" t="s">
        <v>215</v>
      </c>
      <c r="B5" s="103">
        <f>+_xlfn.XLOOKUP($A5,'R (s03)'!$B:$B,'R (s03)'!D:D,"Falta")</f>
        <v>1</v>
      </c>
      <c r="C5" s="104">
        <f>+_xlfn.XLOOKUP($A5,'R (s03)'!$B:$B,'R (s03)'!E:E,"Falta")</f>
        <v>0.97916666666666663</v>
      </c>
      <c r="D5" s="104">
        <f>+_xlfn.XLOOKUP($A5,'R (s03)'!$B:$B,'R (s03)'!F:F,"Falta")</f>
        <v>1</v>
      </c>
      <c r="E5" s="104">
        <f>+_xlfn.XLOOKUP($A5,'R (s03)'!$B:$B,'R (s03)'!G:G,"Falta")</f>
        <v>1</v>
      </c>
      <c r="F5" s="105">
        <v>1880</v>
      </c>
      <c r="G5" s="107">
        <v>1872</v>
      </c>
      <c r="H5" s="115">
        <f>IF(SUMIFS(Tabla1[Avance_km],Tabla1[Ducto],$A5,Tabla1[nombre_actividad],H$1)=0,"",SUMIFS(Tabla1[Avance_km],Tabla1[Ducto],$A5,Tabla1[nombre_actividad],H$1))</f>
        <v>1.92</v>
      </c>
      <c r="I5" s="115">
        <f>IF(SUMIFS(Tabla1[Avance_km],Tabla1[Ducto],$A5,Tabla1[nombre_actividad],I$1)=0,"",SUMIFS(Tabla1[Avance_km],Tabla1[Ducto],$A5,Tabla1[nombre_actividad],I$1))</f>
        <v>1.88</v>
      </c>
      <c r="J5" s="115">
        <f>IF(SUMIFS(Tabla1[Avance_km],Tabla1[Ducto],$A5,Tabla1[nombre_actividad],J$1,Tabla1[Avance_km],"&gt;0")=0,"",SUMIFS(Tabla1[Avance_km],Tabla1[Ducto],$A5,Tabla1[nombre_actividad],J$1,Tabla1[Avance_km],"&gt;0"))</f>
        <v>1.92</v>
      </c>
      <c r="K5" s="116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99" t="s">
        <v>216</v>
      </c>
      <c r="B6" s="103">
        <f>+_xlfn.XLOOKUP($A6,'R (s03)'!$B:$B,'R (s03)'!D:D,"Falta")</f>
        <v>1</v>
      </c>
      <c r="C6" s="104">
        <f>+_xlfn.XLOOKUP($A6,'R (s03)'!$B:$B,'R (s03)'!E:E,"Falta")</f>
        <v>1</v>
      </c>
      <c r="D6" s="104">
        <f>+_xlfn.XLOOKUP($A6,'R (s03)'!$B:$B,'R (s03)'!F:F,"Falta")</f>
        <v>1</v>
      </c>
      <c r="E6" s="104">
        <f>+_xlfn.XLOOKUP($A6,'R (s03)'!$B:$B,'R (s03)'!G:G,"Falta")</f>
        <v>1</v>
      </c>
      <c r="F6" s="105">
        <v>119.5</v>
      </c>
      <c r="G6" s="107">
        <v>114</v>
      </c>
      <c r="H6" s="115">
        <f>IF(SUMIFS(Tabla1[Avance_km],Tabla1[Ducto],$A6,Tabla1[nombre_actividad],H$1)=0,"",SUMIFS(Tabla1[Avance_km],Tabla1[Ducto],$A6,Tabla1[nombre_actividad],H$1))</f>
        <v>0.12</v>
      </c>
      <c r="I6" s="115">
        <f>IF(SUMIFS(Tabla1[Avance_km],Tabla1[Ducto],$A6,Tabla1[nombre_actividad],I$1)=0,"",SUMIFS(Tabla1[Avance_km],Tabla1[Ducto],$A6,Tabla1[nombre_actividad],I$1))</f>
        <v>0.12</v>
      </c>
      <c r="J6" s="115">
        <f>IF(SUMIFS(Tabla1[Avance_km],Tabla1[Ducto],$A6,Tabla1[nombre_actividad],J$1,Tabla1[Avance_km],"&gt;0")=0,"",SUMIFS(Tabla1[Avance_km],Tabla1[Ducto],$A6,Tabla1[nombre_actividad],J$1,Tabla1[Avance_km],"&gt;0"))</f>
        <v>0.12</v>
      </c>
      <c r="K6" s="116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49" t="s">
        <v>339</v>
      </c>
      <c r="B7" s="250">
        <f>+_xlfn.XLOOKUP($A7,'R (s03)'!$B:$B,'R (s03)'!D:D,"Falta")</f>
        <v>0</v>
      </c>
      <c r="C7" s="251">
        <f>+_xlfn.XLOOKUP($A7,'R (s03)'!$B:$B,'R (s03)'!E:E,"Falta")</f>
        <v>0</v>
      </c>
      <c r="D7" s="251">
        <f>+_xlfn.XLOOKUP($A7,'R (s03)'!$B:$B,'R (s03)'!F:F,"Falta")</f>
        <v>0</v>
      </c>
      <c r="E7" s="251">
        <f>+_xlfn.XLOOKUP($A7,'R (s03)'!$B:$B,'R (s03)'!G:G,"Falta")</f>
        <v>1</v>
      </c>
      <c r="F7" s="252"/>
      <c r="G7" s="253">
        <v>2</v>
      </c>
      <c r="H7" s="254" t="str">
        <f>IF(SUMIFS(Tabla1[Avance_km],Tabla1[Ducto],$A7,Tabla1[nombre_actividad],H$1)=0,"",SUMIFS(Tabla1[Avance_km],Tabla1[Ducto],$A7,Tabla1[nombre_actividad],H$1))</f>
        <v/>
      </c>
      <c r="I7" s="254" t="str">
        <f>IF(SUMIFS(Tabla1[Avance_km],Tabla1[Ducto],$A7,Tabla1[nombre_actividad],I$1)=0,"",SUMIFS(Tabla1[Avance_km],Tabla1[Ducto],$A7,Tabla1[nombre_actividad],I$1))</f>
        <v/>
      </c>
      <c r="J7" s="254" t="str">
        <f>IF(SUMIFS(Tabla1[Avance_km],Tabla1[Ducto],$A7,Tabla1[nombre_actividad],J$1,Tabla1[Avance_km],"&gt;0")=0,"",SUMIFS(Tabla1[Avance_km],Tabla1[Ducto],$A7,Tabla1[nombre_actividad],J$1,Tabla1[Avance_km],"&gt;0"))</f>
        <v/>
      </c>
      <c r="K7" s="255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99" t="s">
        <v>217</v>
      </c>
      <c r="B8" s="103">
        <f>+_xlfn.XLOOKUP($A8,'R (s03)'!$B:$B,'R (s03)'!D:D,"Falta")</f>
        <v>1</v>
      </c>
      <c r="C8" s="104">
        <f>+_xlfn.XLOOKUP($A8,'R (s03)'!$B:$B,'R (s03)'!E:E,"Falta")</f>
        <v>0.82970027247956402</v>
      </c>
      <c r="D8" s="104">
        <f>+_xlfn.XLOOKUP($A8,'R (s03)'!$B:$B,'R (s03)'!F:F,"Falta")</f>
        <v>1</v>
      </c>
      <c r="E8" s="104">
        <f>+_xlfn.XLOOKUP($A8,'R (s03)'!$B:$B,'R (s03)'!G:G,"Falta")</f>
        <v>1</v>
      </c>
      <c r="F8" s="105">
        <v>5872</v>
      </c>
      <c r="G8" s="107">
        <v>5848</v>
      </c>
      <c r="H8" s="115">
        <f>IF(SUMIFS(Tabla1[Avance_km],Tabla1[Ducto],$A8,Tabla1[nombre_actividad],H$1)=0,"",SUMIFS(Tabla1[Avance_km],Tabla1[Ducto],$A8,Tabla1[nombre_actividad],H$1))</f>
        <v>5.8719999999999999</v>
      </c>
      <c r="I8" s="115">
        <f>IF(SUMIFS(Tabla1[Avance_km],Tabla1[Ducto],$A8,Tabla1[nombre_actividad],I$1)=0,"",SUMIFS(Tabla1[Avance_km],Tabla1[Ducto],$A8,Tabla1[nombre_actividad],I$1))</f>
        <v>4.8719999999999999</v>
      </c>
      <c r="J8" s="115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6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49" t="s">
        <v>340</v>
      </c>
      <c r="B9" s="250">
        <f>+_xlfn.XLOOKUP($A9,'R (s03)'!$B:$B,'R (s03)'!D:D,"Falta")</f>
        <v>0</v>
      </c>
      <c r="C9" s="251">
        <f>+_xlfn.XLOOKUP($A9,'R (s03)'!$B:$B,'R (s03)'!E:E,"Falta")</f>
        <v>0</v>
      </c>
      <c r="D9" s="251">
        <f>+_xlfn.XLOOKUP($A9,'R (s03)'!$B:$B,'R (s03)'!F:F,"Falta")</f>
        <v>0</v>
      </c>
      <c r="E9" s="251">
        <f>+_xlfn.XLOOKUP($A9,'R (s03)'!$B:$B,'R (s03)'!G:G,"Falta")</f>
        <v>1</v>
      </c>
      <c r="F9" s="252"/>
      <c r="G9" s="253">
        <v>22</v>
      </c>
      <c r="H9" s="254" t="str">
        <f>IF(SUMIFS(Tabla1[Avance_km],Tabla1[Ducto],$A9,Tabla1[nombre_actividad],H$1)=0,"",SUMIFS(Tabla1[Avance_km],Tabla1[Ducto],$A9,Tabla1[nombre_actividad],H$1))</f>
        <v/>
      </c>
      <c r="I9" s="254" t="str">
        <f>IF(SUMIFS(Tabla1[Avance_km],Tabla1[Ducto],$A9,Tabla1[nombre_actividad],I$1)=0,"",SUMIFS(Tabla1[Avance_km],Tabla1[Ducto],$A9,Tabla1[nombre_actividad],I$1))</f>
        <v/>
      </c>
      <c r="J9" s="254" t="str">
        <f>IF(SUMIFS(Tabla1[Avance_km],Tabla1[Ducto],$A9,Tabla1[nombre_actividad],J$1,Tabla1[Avance_km],"&gt;0")=0,"",SUMIFS(Tabla1[Avance_km],Tabla1[Ducto],$A9,Tabla1[nombre_actividad],J$1,Tabla1[Avance_km],"&gt;0"))</f>
        <v/>
      </c>
      <c r="K9" s="255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99" t="s">
        <v>218</v>
      </c>
      <c r="B10" s="103">
        <f>+_xlfn.XLOOKUP($A10,'R (s03)'!$B:$B,'R (s03)'!D:D,"Falta")</f>
        <v>1</v>
      </c>
      <c r="C10" s="104">
        <f>+_xlfn.XLOOKUP($A10,'R (s03)'!$B:$B,'R (s03)'!E:E,"Falta")</f>
        <v>1</v>
      </c>
      <c r="D10" s="104">
        <f>+_xlfn.XLOOKUP($A10,'R (s03)'!$B:$B,'R (s03)'!F:F,"Falta")</f>
        <v>1</v>
      </c>
      <c r="E10" s="104">
        <f>+_xlfn.XLOOKUP($A10,'R (s03)'!$B:$B,'R (s03)'!G:G,"Falta")</f>
        <v>1</v>
      </c>
      <c r="F10" s="105">
        <v>1436</v>
      </c>
      <c r="G10" s="107">
        <v>1427</v>
      </c>
      <c r="H10" s="115">
        <f>IF(SUMIFS(Tabla1[Avance_km],Tabla1[Ducto],$A10,Tabla1[nombre_actividad],H$1)=0,"",SUMIFS(Tabla1[Avance_km],Tabla1[Ducto],$A10,Tabla1[nombre_actividad],H$1))</f>
        <v>1.4359999999999999</v>
      </c>
      <c r="I10" s="115">
        <f>IF(SUMIFS(Tabla1[Avance_km],Tabla1[Ducto],$A10,Tabla1[nombre_actividad],I$1)=0,"",SUMIFS(Tabla1[Avance_km],Tabla1[Ducto],$A10,Tabla1[nombre_actividad],I$1))</f>
        <v>1.4359999999999999</v>
      </c>
      <c r="J10" s="115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6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49" t="s">
        <v>341</v>
      </c>
      <c r="B11" s="250">
        <f>+_xlfn.XLOOKUP($A11,'R (s03)'!$B:$B,'R (s03)'!D:D,"Falta")</f>
        <v>0</v>
      </c>
      <c r="C11" s="251">
        <f>+_xlfn.XLOOKUP($A11,'R (s03)'!$B:$B,'R (s03)'!E:E,"Falta")</f>
        <v>0</v>
      </c>
      <c r="D11" s="251">
        <f>+_xlfn.XLOOKUP($A11,'R (s03)'!$B:$B,'R (s03)'!F:F,"Falta")</f>
        <v>0</v>
      </c>
      <c r="E11" s="251">
        <f>+_xlfn.XLOOKUP($A11,'R (s03)'!$B:$B,'R (s03)'!G:G,"Falta")</f>
        <v>1</v>
      </c>
      <c r="F11" s="252"/>
      <c r="G11" s="253">
        <v>7</v>
      </c>
      <c r="H11" s="254" t="str">
        <f>IF(SUMIFS(Tabla1[Avance_km],Tabla1[Ducto],$A11,Tabla1[nombre_actividad],H$1)=0,"",SUMIFS(Tabla1[Avance_km],Tabla1[Ducto],$A11,Tabla1[nombre_actividad],H$1))</f>
        <v/>
      </c>
      <c r="I11" s="254" t="str">
        <f>IF(SUMIFS(Tabla1[Avance_km],Tabla1[Ducto],$A11,Tabla1[nombre_actividad],I$1)=0,"",SUMIFS(Tabla1[Avance_km],Tabla1[Ducto],$A11,Tabla1[nombre_actividad],I$1))</f>
        <v/>
      </c>
      <c r="J11" s="254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55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99" t="s">
        <v>219</v>
      </c>
      <c r="B12" s="103">
        <f>+_xlfn.XLOOKUP($A12,'R (s03)'!$B:$B,'R (s03)'!D:D,"Falta")</f>
        <v>1</v>
      </c>
      <c r="C12" s="104">
        <f>+_xlfn.XLOOKUP($A12,'R (s03)'!$B:$B,'R (s03)'!E:E,"Falta")</f>
        <v>1</v>
      </c>
      <c r="D12" s="104">
        <f>+_xlfn.XLOOKUP($A12,'R (s03)'!$B:$B,'R (s03)'!F:F,"Falta")</f>
        <v>1</v>
      </c>
      <c r="E12" s="104">
        <f>+_xlfn.XLOOKUP($A12,'R (s03)'!$B:$B,'R (s03)'!G:G,"Falta")</f>
        <v>1</v>
      </c>
      <c r="F12" s="105">
        <v>373</v>
      </c>
      <c r="G12" s="107">
        <v>372</v>
      </c>
      <c r="H12" s="115">
        <f>IF(SUMIFS(Tabla1[Avance_km],Tabla1[Ducto],$A12,Tabla1[nombre_actividad],H$1)=0,"",SUMIFS(Tabla1[Avance_km],Tabla1[Ducto],$A12,Tabla1[nombre_actividad],H$1))</f>
        <v>0.373</v>
      </c>
      <c r="I12" s="115">
        <f>IF(SUMIFS(Tabla1[Avance_km],Tabla1[Ducto],$A12,Tabla1[nombre_actividad],I$1)=0,"",SUMIFS(Tabla1[Avance_km],Tabla1[Ducto],$A12,Tabla1[nombre_actividad],I$1))</f>
        <v>0.373</v>
      </c>
      <c r="J12" s="115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6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2" t="s">
        <v>220</v>
      </c>
      <c r="B13" s="250">
        <f>+_xlfn.XLOOKUP($A13,'R (s03)'!$B:$B,'R (s03)'!D:D,"Falta")</f>
        <v>0</v>
      </c>
      <c r="C13" s="251">
        <f>+_xlfn.XLOOKUP($A13,'R (s03)'!$B:$B,'R (s03)'!E:E,"Falta")</f>
        <v>0</v>
      </c>
      <c r="D13" s="251">
        <f>+_xlfn.XLOOKUP($A13,'R (s03)'!$B:$B,'R (s03)'!F:F,"Falta")</f>
        <v>0</v>
      </c>
      <c r="E13" s="251" t="str">
        <f>+_xlfn.XLOOKUP($A13,'R (s03)'!$B:$B,'R (s03)'!G:G,"Falta")</f>
        <v>ref 0+372 Kellog's</v>
      </c>
      <c r="F13" s="252">
        <v>345</v>
      </c>
      <c r="G13" s="253">
        <v>345</v>
      </c>
      <c r="H13" s="254" t="str">
        <f>IF(SUMIFS(Tabla1[Avance_km],Tabla1[Ducto],$A13,Tabla1[nombre_actividad],H$1)=0,"",SUMIFS(Tabla1[Avance_km],Tabla1[Ducto],$A13,Tabla1[nombre_actividad],H$1))</f>
        <v/>
      </c>
      <c r="I13" s="254" t="str">
        <f>IF(SUMIFS(Tabla1[Avance_km],Tabla1[Ducto],$A13,Tabla1[nombre_actividad],I$1)=0,"",SUMIFS(Tabla1[Avance_km],Tabla1[Ducto],$A13,Tabla1[nombre_actividad],I$1))</f>
        <v/>
      </c>
      <c r="J13" s="254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55" t="s">
        <v>345</v>
      </c>
      <c r="L13" t="s">
        <v>220</v>
      </c>
    </row>
    <row r="14" spans="1:13" x14ac:dyDescent="0.3">
      <c r="A14" s="99" t="s">
        <v>221</v>
      </c>
      <c r="B14" s="103">
        <f>+_xlfn.XLOOKUP($A14,'R (s03)'!$B:$B,'R (s03)'!D:D,"Falta")</f>
        <v>1</v>
      </c>
      <c r="C14" s="104">
        <f>+_xlfn.XLOOKUP($A14,'R (s03)'!$B:$B,'R (s03)'!E:E,"Falta")</f>
        <v>1</v>
      </c>
      <c r="D14" s="104">
        <f>+_xlfn.XLOOKUP($A14,'R (s03)'!$B:$B,'R (s03)'!F:F,"Falta")</f>
        <v>1</v>
      </c>
      <c r="E14" s="104">
        <f>+_xlfn.XLOOKUP($A14,'R (s03)'!$B:$B,'R (s03)'!G:G,"Falta")</f>
        <v>1</v>
      </c>
      <c r="F14" s="105">
        <v>11</v>
      </c>
      <c r="G14" s="107">
        <v>10</v>
      </c>
      <c r="H14" s="115">
        <f>IF(SUMIFS(Tabla1[Avance_km],Tabla1[Ducto],$A14,Tabla1[nombre_actividad],H$1)=0,"",SUMIFS(Tabla1[Avance_km],Tabla1[Ducto],$A14,Tabla1[nombre_actividad],H$1))</f>
        <v>1.4E-2</v>
      </c>
      <c r="I14" s="115">
        <f>IF(SUMIFS(Tabla1[Avance_km],Tabla1[Ducto],$A14,Tabla1[nombre_actividad],I$1)=0,"",SUMIFS(Tabla1[Avance_km],Tabla1[Ducto],$A14,Tabla1[nombre_actividad],I$1))</f>
        <v>1.4E-2</v>
      </c>
      <c r="J14" s="115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6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99" t="s">
        <v>222</v>
      </c>
      <c r="B15" s="103">
        <f>+_xlfn.XLOOKUP($A15,'R (s03)'!$B:$B,'R (s03)'!D:D,"Falta")</f>
        <v>1</v>
      </c>
      <c r="C15" s="104">
        <f>+_xlfn.XLOOKUP($A15,'R (s03)'!$B:$B,'R (s03)'!E:E,"Falta")</f>
        <v>1</v>
      </c>
      <c r="D15" s="104">
        <f>+_xlfn.XLOOKUP($A15,'R (s03)'!$B:$B,'R (s03)'!F:F,"Falta")</f>
        <v>1</v>
      </c>
      <c r="E15" s="104">
        <f>+_xlfn.XLOOKUP($A15,'R (s03)'!$B:$B,'R (s03)'!G:G,"Falta")</f>
        <v>1</v>
      </c>
      <c r="F15" s="105">
        <v>14</v>
      </c>
      <c r="G15" s="107">
        <v>12</v>
      </c>
      <c r="H15" s="115">
        <f>IF(SUMIFS(Tabla1[Avance_km],Tabla1[Ducto],$A15,Tabla1[nombre_actividad],H$1)=0,"",SUMIFS(Tabla1[Avance_km],Tabla1[Ducto],$A15,Tabla1[nombre_actividad],H$1))</f>
        <v>2.1999999999999999E-2</v>
      </c>
      <c r="I15" s="115">
        <f>IF(SUMIFS(Tabla1[Avance_km],Tabla1[Ducto],$A15,Tabla1[nombre_actividad],I$1)=0,"",SUMIFS(Tabla1[Avance_km],Tabla1[Ducto],$A15,Tabla1[nombre_actividad],I$1))</f>
        <v>2.1999999999999999E-2</v>
      </c>
      <c r="J15" s="115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6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99" t="s">
        <v>223</v>
      </c>
      <c r="B16" s="103">
        <f>+_xlfn.XLOOKUP($A16,'R (s03)'!$B:$B,'R (s03)'!D:D,"Falta")</f>
        <v>1</v>
      </c>
      <c r="C16" s="104">
        <f>+_xlfn.XLOOKUP($A16,'R (s03)'!$B:$B,'R (s03)'!E:E,"Falta")</f>
        <v>1</v>
      </c>
      <c r="D16" s="104">
        <f>+_xlfn.XLOOKUP($A16,'R (s03)'!$B:$B,'R (s03)'!F:F,"Falta")</f>
        <v>1</v>
      </c>
      <c r="E16" s="104">
        <f>+_xlfn.XLOOKUP($A16,'R (s03)'!$B:$B,'R (s03)'!G:G,"Falta")</f>
        <v>1</v>
      </c>
      <c r="F16" s="105">
        <v>20</v>
      </c>
      <c r="G16" s="107">
        <v>12</v>
      </c>
      <c r="H16" s="115">
        <f>IF(SUMIFS(Tabla1[Avance_km],Tabla1[Ducto],$A16,Tabla1[nombre_actividad],H$1)=0,"",SUMIFS(Tabla1[Avance_km],Tabla1[Ducto],$A16,Tabla1[nombre_actividad],H$1))</f>
        <v>1.0999999999999999E-2</v>
      </c>
      <c r="I16" s="115">
        <f>IF(SUMIFS(Tabla1[Avance_km],Tabla1[Ducto],$A16,Tabla1[nombre_actividad],I$1)=0,"",SUMIFS(Tabla1[Avance_km],Tabla1[Ducto],$A16,Tabla1[nombre_actividad],I$1))</f>
        <v>1.0999999999999999E-2</v>
      </c>
      <c r="J16" s="115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6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99" t="s">
        <v>224</v>
      </c>
      <c r="B17" s="103">
        <f>+_xlfn.XLOOKUP($A17,'R (s03)'!$B:$B,'R (s03)'!D:D,"Falta")</f>
        <v>1</v>
      </c>
      <c r="C17" s="104">
        <f>+_xlfn.XLOOKUP($A17,'R (s03)'!$B:$B,'R (s03)'!E:E,"Falta")</f>
        <v>1</v>
      </c>
      <c r="D17" s="104">
        <f>+_xlfn.XLOOKUP($A17,'R (s03)'!$B:$B,'R (s03)'!F:F,"Falta")</f>
        <v>1</v>
      </c>
      <c r="E17" s="104">
        <f>+_xlfn.XLOOKUP($A17,'R (s03)'!$B:$B,'R (s03)'!G:G,"Falta")</f>
        <v>1</v>
      </c>
      <c r="F17" s="105">
        <v>6</v>
      </c>
      <c r="G17" s="107">
        <v>5</v>
      </c>
      <c r="H17" s="115">
        <f>IF(SUMIFS(Tabla1[Avance_km],Tabla1[Ducto],$A17,Tabla1[nombre_actividad],H$1)=0,"",SUMIFS(Tabla1[Avance_km],Tabla1[Ducto],$A17,Tabla1[nombre_actividad],H$1))</f>
        <v>6.0000000000000001E-3</v>
      </c>
      <c r="I17" s="115">
        <f>IF(SUMIFS(Tabla1[Avance_km],Tabla1[Ducto],$A17,Tabla1[nombre_actividad],I$1)=0,"",SUMIFS(Tabla1[Avance_km],Tabla1[Ducto],$A17,Tabla1[nombre_actividad],I$1))</f>
        <v>6.0000000000000001E-3</v>
      </c>
      <c r="J17" s="115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6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99" t="s">
        <v>225</v>
      </c>
      <c r="B18" s="103">
        <f>+_xlfn.XLOOKUP($A18,'R (s03)'!$B:$B,'R (s03)'!D:D,"Falta")</f>
        <v>1</v>
      </c>
      <c r="C18" s="104">
        <f>+_xlfn.XLOOKUP($A18,'R (s03)'!$B:$B,'R (s03)'!E:E,"Falta")</f>
        <v>1</v>
      </c>
      <c r="D18" s="104">
        <f>+_xlfn.XLOOKUP($A18,'R (s03)'!$B:$B,'R (s03)'!F:F,"Falta")</f>
        <v>1.0331658291457286</v>
      </c>
      <c r="E18" s="104">
        <f>+_xlfn.XLOOKUP($A18,'R (s03)'!$B:$B,'R (s03)'!G:G,"Falta")</f>
        <v>1</v>
      </c>
      <c r="F18" s="105">
        <v>5788</v>
      </c>
      <c r="G18" s="107">
        <v>5788</v>
      </c>
      <c r="H18" s="115">
        <f>IF(SUMIFS(Tabla1[Avance_km],Tabla1[Ducto],$A18,Tabla1[nombre_actividad],H$1)=0,"",SUMIFS(Tabla1[Avance_km],Tabla1[Ducto],$A18,Tabla1[nombre_actividad],H$1))</f>
        <v>5.97</v>
      </c>
      <c r="I18" s="115">
        <f>IF(SUMIFS(Tabla1[Avance_km],Tabla1[Ducto],$A18,Tabla1[nombre_actividad],I$1)=0,"",SUMIFS(Tabla1[Avance_km],Tabla1[Ducto],$A18,Tabla1[nombre_actividad],I$1))</f>
        <v>5.97</v>
      </c>
      <c r="J18" s="115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6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0" t="s">
        <v>227</v>
      </c>
      <c r="B19" s="103">
        <f>+_xlfn.XLOOKUP($A19,'R (s03)'!$B:$B,'R (s03)'!D:D,"Falta")</f>
        <v>1</v>
      </c>
      <c r="C19" s="104">
        <f>+_xlfn.XLOOKUP($A19,'R (s03)'!$B:$B,'R (s03)'!E:E,"Falta")</f>
        <v>1</v>
      </c>
      <c r="D19" s="104">
        <f>+_xlfn.XLOOKUP($A19,'R (s03)'!$B:$B,'R (s03)'!F:F,"Falta")</f>
        <v>1</v>
      </c>
      <c r="E19" s="104">
        <f>+_xlfn.XLOOKUP($A19,'R (s03)'!$B:$B,'R (s03)'!G:G,"Falta")</f>
        <v>1</v>
      </c>
      <c r="F19" s="105">
        <v>18</v>
      </c>
      <c r="G19" s="107">
        <v>18</v>
      </c>
      <c r="H19" s="115">
        <f>IF(SUMIFS(Tabla1[Avance_km],Tabla1[Ducto],$A19,Tabla1[nombre_actividad],H$1)=0,"",SUMIFS(Tabla1[Avance_km],Tabla1[Ducto],$A19,Tabla1[nombre_actividad],H$1))</f>
        <v>0.04</v>
      </c>
      <c r="I19" s="115">
        <f>IF(SUMIFS(Tabla1[Avance_km],Tabla1[Ducto],$A19,Tabla1[nombre_actividad],I$1)=0,"",SUMIFS(Tabla1[Avance_km],Tabla1[Ducto],$A19,Tabla1[nombre_actividad],I$1))</f>
        <v>0.04</v>
      </c>
      <c r="J19" s="115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6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49" t="s">
        <v>229</v>
      </c>
      <c r="B20" s="250">
        <f>+_xlfn.XLOOKUP($A20,'R (s03)'!$B:$B,'R (s03)'!D:D,"Falta")</f>
        <v>0</v>
      </c>
      <c r="C20" s="251">
        <f>+_xlfn.XLOOKUP($A20,'R (s03)'!$B:$B,'R (s03)'!E:E,"Falta")</f>
        <v>0</v>
      </c>
      <c r="D20" s="251">
        <f>+_xlfn.XLOOKUP($A20,'R (s03)'!$B:$B,'R (s03)'!F:F,"Falta")</f>
        <v>0</v>
      </c>
      <c r="E20" s="251">
        <f>+_xlfn.XLOOKUP($A20,'R (s03)'!$B:$B,'R (s03)'!G:G,"Falta")</f>
        <v>0</v>
      </c>
      <c r="F20" s="252">
        <v>3</v>
      </c>
      <c r="G20" s="253">
        <v>2</v>
      </c>
      <c r="H20" s="254" t="str">
        <f>IF(SUMIFS(Tabla1[Avance_km],Tabla1[Ducto],$A20,Tabla1[nombre_actividad],H$1)=0,"",SUMIFS(Tabla1[Avance_km],Tabla1[Ducto],$A20,Tabla1[nombre_actividad],H$1))</f>
        <v/>
      </c>
      <c r="I20" s="254" t="str">
        <f>IF(SUMIFS(Tabla1[Avance_km],Tabla1[Ducto],$A20,Tabla1[nombre_actividad],I$1)=0,"",SUMIFS(Tabla1[Avance_km],Tabla1[Ducto],$A20,Tabla1[nombre_actividad],I$1))</f>
        <v/>
      </c>
      <c r="J20" s="254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55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0" t="s">
        <v>231</v>
      </c>
      <c r="B21" s="103">
        <f>+_xlfn.XLOOKUP($A21,'R (s03)'!$B:$B,'R (s03)'!D:D,"Falta")</f>
        <v>1</v>
      </c>
      <c r="C21" s="104">
        <f>+_xlfn.XLOOKUP($A21,'R (s03)'!$B:$B,'R (s03)'!E:E,"Falta")</f>
        <v>1</v>
      </c>
      <c r="D21" s="104">
        <f>+_xlfn.XLOOKUP($A21,'R (s03)'!$B:$B,'R (s03)'!F:F,"Falta")</f>
        <v>1</v>
      </c>
      <c r="E21" s="104">
        <f>+_xlfn.XLOOKUP($A21,'R (s03)'!$B:$B,'R (s03)'!G:G,"Falta")</f>
        <v>1</v>
      </c>
      <c r="F21" s="105">
        <v>7</v>
      </c>
      <c r="G21" s="107">
        <v>7</v>
      </c>
      <c r="H21" s="115">
        <f>IF(SUMIFS(Tabla1[Avance_km],Tabla1[Ducto],$A21,Tabla1[nombre_actividad],H$1)=0,"",SUMIFS(Tabla1[Avance_km],Tabla1[Ducto],$A21,Tabla1[nombre_actividad],H$1))</f>
        <v>2.1000000000000001E-2</v>
      </c>
      <c r="I21" s="115">
        <f>IF(SUMIFS(Tabla1[Avance_km],Tabla1[Ducto],$A21,Tabla1[nombre_actividad],I$1)=0,"",SUMIFS(Tabla1[Avance_km],Tabla1[Ducto],$A21,Tabla1[nombre_actividad],I$1))</f>
        <v>2.1000000000000001E-2</v>
      </c>
      <c r="J21" s="115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6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0" t="s">
        <v>233</v>
      </c>
      <c r="B22" s="103">
        <f>+_xlfn.XLOOKUP($A22,'R (s03)'!$B:$B,'R (s03)'!D:D,"Falta")</f>
        <v>1</v>
      </c>
      <c r="C22" s="104">
        <f>+_xlfn.XLOOKUP($A22,'R (s03)'!$B:$B,'R (s03)'!E:E,"Falta")</f>
        <v>1</v>
      </c>
      <c r="D22" s="104">
        <f>+_xlfn.XLOOKUP($A22,'R (s03)'!$B:$B,'R (s03)'!F:F,"Falta")</f>
        <v>1</v>
      </c>
      <c r="E22" s="104">
        <f>+_xlfn.XLOOKUP($A22,'R (s03)'!$B:$B,'R (s03)'!G:G,"Falta")</f>
        <v>1</v>
      </c>
      <c r="F22" s="105">
        <v>2</v>
      </c>
      <c r="G22" s="107">
        <v>2</v>
      </c>
      <c r="H22" s="115">
        <f>IF(SUMIFS(Tabla1[Avance_km],Tabla1[Ducto],$A22,Tabla1[nombre_actividad],H$1)=0,"",SUMIFS(Tabla1[Avance_km],Tabla1[Ducto],$A22,Tabla1[nombre_actividad],H$1))</f>
        <v>3.0000000000000001E-3</v>
      </c>
      <c r="I22" s="115">
        <f>IF(SUMIFS(Tabla1[Avance_km],Tabla1[Ducto],$A22,Tabla1[nombre_actividad],I$1)=0,"",SUMIFS(Tabla1[Avance_km],Tabla1[Ducto],$A22,Tabla1[nombre_actividad],I$1))</f>
        <v>3.0000000000000001E-3</v>
      </c>
      <c r="J22" s="115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6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499" t="s">
        <v>235</v>
      </c>
      <c r="B23" s="250">
        <f>+_xlfn.XLOOKUP($A23,'R (s03)'!$B:$B,'R (s03)'!D:D,"Falta")</f>
        <v>0</v>
      </c>
      <c r="C23" s="251">
        <f>+_xlfn.XLOOKUP($A23,'R (s03)'!$B:$B,'R (s03)'!E:E,"Falta")</f>
        <v>0</v>
      </c>
      <c r="D23" s="251">
        <f>+_xlfn.XLOOKUP($A23,'R (s03)'!$B:$B,'R (s03)'!F:F,"Falta")</f>
        <v>0</v>
      </c>
      <c r="E23" s="251">
        <f>+_xlfn.XLOOKUP($A23,'R (s03)'!$B:$B,'R (s03)'!G:G,"Falta")</f>
        <v>1</v>
      </c>
      <c r="F23" s="252">
        <v>2</v>
      </c>
      <c r="G23" s="253">
        <v>2</v>
      </c>
      <c r="H23" s="254" t="str">
        <f>IF(SUMIFS(Tabla1[Avance_km],Tabla1[Ducto],$A23,Tabla1[nombre_actividad],H$1)=0,"",SUMIFS(Tabla1[Avance_km],Tabla1[Ducto],$A23,Tabla1[nombre_actividad],H$1))</f>
        <v/>
      </c>
      <c r="I23" s="254" t="str">
        <f>IF(SUMIFS(Tabla1[Avance_km],Tabla1[Ducto],$A23,Tabla1[nombre_actividad],I$1)=0,"",SUMIFS(Tabla1[Avance_km],Tabla1[Ducto],$A23,Tabla1[nombre_actividad],I$1))</f>
        <v/>
      </c>
      <c r="J23" s="254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55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0" t="s">
        <v>237</v>
      </c>
      <c r="B24" s="103">
        <f>+_xlfn.XLOOKUP($A24,'R (s03)'!$B:$B,'R (s03)'!D:D,"Falta")</f>
        <v>1</v>
      </c>
      <c r="C24" s="104">
        <f>+_xlfn.XLOOKUP($A24,'R (s03)'!$B:$B,'R (s03)'!E:E,"Falta")</f>
        <v>1</v>
      </c>
      <c r="D24" s="104">
        <f>+_xlfn.XLOOKUP($A24,'R (s03)'!$B:$B,'R (s03)'!F:F,"Falta")</f>
        <v>1</v>
      </c>
      <c r="E24" s="500">
        <f>+_xlfn.XLOOKUP($A24,'R (s03)'!$B:$B,'R (s03)'!G:G,"Falta")</f>
        <v>0</v>
      </c>
      <c r="F24" s="105">
        <v>127</v>
      </c>
      <c r="G24" s="107">
        <v>126</v>
      </c>
      <c r="H24" s="115">
        <f>IF(SUMIFS(Tabla1[Avance_km],Tabla1[Ducto],$A24,Tabla1[nombre_actividad],H$1)=0,"",SUMIFS(Tabla1[Avance_km],Tabla1[Ducto],$A24,Tabla1[nombre_actividad],H$1))</f>
        <v>5.1999999999999998E-2</v>
      </c>
      <c r="I24" s="115">
        <f>IF(SUMIFS(Tabla1[Avance_km],Tabla1[Ducto],$A24,Tabla1[nombre_actividad],I$1)=0,"",SUMIFS(Tabla1[Avance_km],Tabla1[Ducto],$A24,Tabla1[nombre_actividad],I$1))</f>
        <v>5.1999999999999998E-2</v>
      </c>
      <c r="J24" s="115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37" t="s">
        <v>402</v>
      </c>
      <c r="L24" t="s">
        <v>237</v>
      </c>
    </row>
    <row r="25" spans="1:12" x14ac:dyDescent="0.3">
      <c r="A25" s="100" t="s">
        <v>239</v>
      </c>
      <c r="B25" s="103">
        <f>+_xlfn.XLOOKUP($A25,'R (s03)'!$B:$B,'R (s03)'!D:D,"Falta")</f>
        <v>1</v>
      </c>
      <c r="C25" s="104">
        <f>+_xlfn.XLOOKUP($A25,'R (s03)'!$B:$B,'R (s03)'!E:E,"Falta")</f>
        <v>1</v>
      </c>
      <c r="D25" s="104">
        <f>+_xlfn.XLOOKUP($A25,'R (s03)'!$B:$B,'R (s03)'!F:F,"Falta")</f>
        <v>1</v>
      </c>
      <c r="E25" s="104">
        <f>+_xlfn.XLOOKUP($A25,'R (s03)'!$B:$B,'R (s03)'!G:G,"Falta")</f>
        <v>1</v>
      </c>
      <c r="F25" s="105">
        <v>487</v>
      </c>
      <c r="G25" s="107">
        <v>479</v>
      </c>
      <c r="H25" s="115">
        <f>IF(SUMIFS(Tabla1[Avance_km],Tabla1[Ducto],$A25,Tabla1[nombre_actividad],H$1)=0,"",SUMIFS(Tabla1[Avance_km],Tabla1[Ducto],$A25,Tabla1[nombre_actividad],H$1))</f>
        <v>0.27800000000000002</v>
      </c>
      <c r="I25" s="115">
        <f>IF(SUMIFS(Tabla1[Avance_km],Tabla1[Ducto],$A25,Tabla1[nombre_actividad],I$1)=0,"",SUMIFS(Tabla1[Avance_km],Tabla1[Ducto],$A25,Tabla1[nombre_actividad],I$1))</f>
        <v>0.27800000000000002</v>
      </c>
      <c r="J25" s="115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6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2" t="s">
        <v>240</v>
      </c>
      <c r="B26" s="250">
        <f>+_xlfn.XLOOKUP($A26,'R (s03)'!$B:$B,'R (s03)'!D:D,"Falta")</f>
        <v>0</v>
      </c>
      <c r="C26" s="251">
        <f>+_xlfn.XLOOKUP($A26,'R (s03)'!$B:$B,'R (s03)'!E:E,"Falta")</f>
        <v>0</v>
      </c>
      <c r="D26" s="251">
        <f>+_xlfn.XLOOKUP($A26,'R (s03)'!$B:$B,'R (s03)'!F:F,"Falta")</f>
        <v>0</v>
      </c>
      <c r="E26" s="251">
        <f>+_xlfn.XLOOKUP($A26,'R (s03)'!$B:$B,'R (s03)'!G:G,"Falta")</f>
        <v>1</v>
      </c>
      <c r="F26" s="252"/>
      <c r="G26" s="253"/>
      <c r="H26" s="254" t="str">
        <f>IF(SUMIFS(Tabla1[Avance_km],Tabla1[Ducto],$A26,Tabla1[nombre_actividad],H$1)=0,"",SUMIFS(Tabla1[Avance_km],Tabla1[Ducto],$A26,Tabla1[nombre_actividad],H$1))</f>
        <v/>
      </c>
      <c r="I26" s="254" t="str">
        <f>IF(SUMIFS(Tabla1[Avance_km],Tabla1[Ducto],$A26,Tabla1[nombre_actividad],I$1)=0,"",SUMIFS(Tabla1[Avance_km],Tabla1[Ducto],$A26,Tabla1[nombre_actividad],I$1))</f>
        <v/>
      </c>
      <c r="J26" s="254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55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99" t="s">
        <v>241</v>
      </c>
      <c r="B27" s="103">
        <f>+_xlfn.XLOOKUP($A27,'R (s03)'!$B:$B,'R (s03)'!D:D,"Falta")</f>
        <v>1</v>
      </c>
      <c r="C27" s="104">
        <f>+_xlfn.XLOOKUP($A27,'R (s03)'!$B:$B,'R (s03)'!E:E,"Falta")</f>
        <v>1</v>
      </c>
      <c r="D27" s="104">
        <f>+_xlfn.XLOOKUP($A27,'R (s03)'!$B:$B,'R (s03)'!F:F,"Falta")</f>
        <v>1</v>
      </c>
      <c r="E27" s="104">
        <f>+_xlfn.XLOOKUP($A27,'R (s03)'!$B:$B,'R (s03)'!G:G,"Falta")</f>
        <v>1</v>
      </c>
      <c r="F27" s="105">
        <v>45</v>
      </c>
      <c r="G27" s="107">
        <v>44</v>
      </c>
      <c r="H27" s="115">
        <f>IF(SUMIFS(Tabla1[Avance_km],Tabla1[Ducto],$A27,Tabla1[nombre_actividad],H$1)=0,"",SUMIFS(Tabla1[Avance_km],Tabla1[Ducto],$A27,Tabla1[nombre_actividad],H$1))</f>
        <v>4.4999999999999998E-2</v>
      </c>
      <c r="I27" s="115">
        <f>IF(SUMIFS(Tabla1[Avance_km],Tabla1[Ducto],$A27,Tabla1[nombre_actividad],I$1)=0,"",SUMIFS(Tabla1[Avance_km],Tabla1[Ducto],$A27,Tabla1[nombre_actividad],I$1))</f>
        <v>4.4999999999999998E-2</v>
      </c>
      <c r="J27" s="115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6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99" t="s">
        <v>242</v>
      </c>
      <c r="B28" s="103">
        <f>+_xlfn.XLOOKUP($A28,'R (s03)'!$B:$B,'R (s03)'!D:D,"Falta")</f>
        <v>1</v>
      </c>
      <c r="C28" s="104">
        <f>+_xlfn.XLOOKUP($A28,'R (s03)'!$B:$B,'R (s03)'!E:E,"Falta")</f>
        <v>1</v>
      </c>
      <c r="D28" s="104">
        <f>+_xlfn.XLOOKUP($A28,'R (s03)'!$B:$B,'R (s03)'!F:F,"Falta")</f>
        <v>0</v>
      </c>
      <c r="E28" s="104">
        <f>+_xlfn.XLOOKUP($A28,'R (s03)'!$B:$B,'R (s03)'!G:G,"Falta")</f>
        <v>1</v>
      </c>
      <c r="F28" s="105">
        <v>62</v>
      </c>
      <c r="G28" s="107">
        <v>44</v>
      </c>
      <c r="H28" s="115">
        <f>IF(SUMIFS(Tabla1[Avance_km],Tabla1[Ducto],$A28,Tabla1[nombre_actividad],H$1)=0,"",SUMIFS(Tabla1[Avance_km],Tabla1[Ducto],$A28,Tabla1[nombre_actividad],H$1))</f>
        <v>6.2E-2</v>
      </c>
      <c r="I28" s="115">
        <f>IF(SUMIFS(Tabla1[Avance_km],Tabla1[Ducto],$A28,Tabla1[nombre_actividad],I$1)=0,"",SUMIFS(Tabla1[Avance_km],Tabla1[Ducto],$A28,Tabla1[nombre_actividad],I$1))</f>
        <v>6.2E-2</v>
      </c>
      <c r="J28" s="115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6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99" t="s">
        <v>243</v>
      </c>
      <c r="B29" s="103">
        <f>+_xlfn.XLOOKUP($A29,'R (s03)'!$B:$B,'R (s03)'!D:D,"Falta")</f>
        <v>1</v>
      </c>
      <c r="C29" s="104">
        <f>+_xlfn.XLOOKUP($A29,'R (s03)'!$B:$B,'R (s03)'!E:E,"Falta")</f>
        <v>1</v>
      </c>
      <c r="D29" s="104">
        <f>+_xlfn.XLOOKUP($A29,'R (s03)'!$B:$B,'R (s03)'!F:F,"Falta")</f>
        <v>1</v>
      </c>
      <c r="E29" s="185" t="str">
        <f>+_xlfn.XLOOKUP($A29,'R (s03)'!$B:$B,'R (s03)'!G:G,"Falta")</f>
        <v>ref GERRESHEIMER</v>
      </c>
      <c r="F29" s="105">
        <v>7</v>
      </c>
      <c r="G29" s="107">
        <v>7</v>
      </c>
      <c r="H29" s="115">
        <f>IF(SUMIFS(Tabla1[Avance_km],Tabla1[Ducto],$A29,Tabla1[nombre_actividad],H$1)=0,"",SUMIFS(Tabla1[Avance_km],Tabla1[Ducto],$A29,Tabla1[nombre_actividad],H$1))</f>
        <v>4.1000000000000002E-2</v>
      </c>
      <c r="I29" s="115">
        <f>IF(SUMIFS(Tabla1[Avance_km],Tabla1[Ducto],$A29,Tabla1[nombre_actividad],I$1)=0,"",SUMIFS(Tabla1[Avance_km],Tabla1[Ducto],$A29,Tabla1[nombre_actividad],I$1))</f>
        <v>4.1000000000000002E-2</v>
      </c>
      <c r="J29" s="115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37" t="s">
        <v>348</v>
      </c>
      <c r="L29" t="s">
        <v>243</v>
      </c>
    </row>
    <row r="30" spans="1:12" x14ac:dyDescent="0.3">
      <c r="A30" s="99" t="s">
        <v>244</v>
      </c>
      <c r="B30" s="103">
        <f>+_xlfn.XLOOKUP($A30,'R (s03)'!$B:$B,'R (s03)'!D:D,"Falta")</f>
        <v>1</v>
      </c>
      <c r="C30" s="104">
        <f>+_xlfn.XLOOKUP($A30,'R (s03)'!$B:$B,'R (s03)'!E:E,"Falta")</f>
        <v>1</v>
      </c>
      <c r="D30" s="104">
        <f>+_xlfn.XLOOKUP($A30,'R (s03)'!$B:$B,'R (s03)'!F:F,"Falta")</f>
        <v>1</v>
      </c>
      <c r="E30" s="104">
        <f>+_xlfn.XLOOKUP($A30,'R (s03)'!$B:$B,'R (s03)'!G:G,"Falta")</f>
        <v>1</v>
      </c>
      <c r="F30" s="105">
        <v>469</v>
      </c>
      <c r="G30" s="107">
        <v>440</v>
      </c>
      <c r="H30" s="115">
        <f>IF(SUMIFS(Tabla1[Avance_km],Tabla1[Ducto],$A30,Tabla1[nombre_actividad],H$1)=0,"",SUMIFS(Tabla1[Avance_km],Tabla1[Ducto],$A30,Tabla1[nombre_actividad],H$1))</f>
        <v>0.46300000000000002</v>
      </c>
      <c r="I30" s="115">
        <f>IF(SUMIFS(Tabla1[Avance_km],Tabla1[Ducto],$A30,Tabla1[nombre_actividad],I$1)=0,"",SUMIFS(Tabla1[Avance_km],Tabla1[Ducto],$A30,Tabla1[nombre_actividad],I$1))</f>
        <v>0.46899999999999997</v>
      </c>
      <c r="J30" s="115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6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99" t="s">
        <v>245</v>
      </c>
      <c r="B31" s="103">
        <f>+_xlfn.XLOOKUP($A31,'R (s03)'!$B:$B,'R (s03)'!D:D,"Falta")</f>
        <v>1</v>
      </c>
      <c r="C31" s="104">
        <f>+_xlfn.XLOOKUP($A31,'R (s03)'!$B:$B,'R (s03)'!E:E,"Falta")</f>
        <v>1</v>
      </c>
      <c r="D31" s="104">
        <f>+_xlfn.XLOOKUP($A31,'R (s03)'!$B:$B,'R (s03)'!F:F,"Falta")</f>
        <v>1</v>
      </c>
      <c r="E31" s="104">
        <f>+_xlfn.XLOOKUP($A31,'R (s03)'!$B:$B,'R (s03)'!G:G,"Falta")</f>
        <v>1</v>
      </c>
      <c r="F31" s="105">
        <v>93</v>
      </c>
      <c r="G31" s="107">
        <v>36</v>
      </c>
      <c r="H31" s="115">
        <f>IF(SUMIFS(Tabla1[Avance_km],Tabla1[Ducto],$A31,Tabla1[nombre_actividad],H$1)=0,"",SUMIFS(Tabla1[Avance_km],Tabla1[Ducto],$A31,Tabla1[nombre_actividad],H$1))</f>
        <v>9.9000000000000005E-2</v>
      </c>
      <c r="I31" s="115">
        <f>IF(SUMIFS(Tabla1[Avance_km],Tabla1[Ducto],$A31,Tabla1[nombre_actividad],I$1)=0,"",SUMIFS(Tabla1[Avance_km],Tabla1[Ducto],$A31,Tabla1[nombre_actividad],I$1))</f>
        <v>9.9000000000000005E-2</v>
      </c>
      <c r="J31" s="115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6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2" t="s">
        <v>246</v>
      </c>
      <c r="B32" s="250">
        <f>+_xlfn.XLOOKUP($A32,'R (s03)'!$B:$B,'R (s03)'!D:D,"Falta")</f>
        <v>0</v>
      </c>
      <c r="C32" s="251">
        <f>+_xlfn.XLOOKUP($A32,'R (s03)'!$B:$B,'R (s03)'!E:E,"Falta")</f>
        <v>0</v>
      </c>
      <c r="D32" s="251">
        <f>+_xlfn.XLOOKUP($A32,'R (s03)'!$B:$B,'R (s03)'!F:F,"Falta")</f>
        <v>0</v>
      </c>
      <c r="E32" s="251">
        <f>+_xlfn.XLOOKUP($A32,'R (s03)'!$B:$B,'R (s03)'!G:G,"Falta")</f>
        <v>1</v>
      </c>
      <c r="F32" s="252">
        <v>6</v>
      </c>
      <c r="G32" s="253">
        <v>6</v>
      </c>
      <c r="H32" s="254" t="str">
        <f>IF(SUMIFS(Tabla1[Avance_km],Tabla1[Ducto],$A32,Tabla1[nombre_actividad],H$1)=0,"",SUMIFS(Tabla1[Avance_km],Tabla1[Ducto],$A32,Tabla1[nombre_actividad],H$1))</f>
        <v/>
      </c>
      <c r="I32" s="254" t="str">
        <f>IF(SUMIFS(Tabla1[Avance_km],Tabla1[Ducto],$A32,Tabla1[nombre_actividad],I$1)=0,"",SUMIFS(Tabla1[Avance_km],Tabla1[Ducto],$A32,Tabla1[nombre_actividad],I$1))</f>
        <v/>
      </c>
      <c r="J32" s="254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55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99" t="s">
        <v>247</v>
      </c>
      <c r="B33" s="103">
        <f>+_xlfn.XLOOKUP($A33,'R (s03)'!$B:$B,'R (s03)'!D:D,"Falta")</f>
        <v>1</v>
      </c>
      <c r="C33" s="104">
        <f>+_xlfn.XLOOKUP($A33,'R (s03)'!$B:$B,'R (s03)'!E:E,"Falta")</f>
        <v>1</v>
      </c>
      <c r="D33" s="104">
        <f>+_xlfn.XLOOKUP($A33,'R (s03)'!$B:$B,'R (s03)'!F:F,"Falta")</f>
        <v>1</v>
      </c>
      <c r="E33" s="185" t="str">
        <f>+_xlfn.XLOOKUP($A33,'R (s03)'!$B:$B,'R (s03)'!G:G,"Falta")</f>
        <v>ref TREMEC</v>
      </c>
      <c r="F33" s="105">
        <v>7</v>
      </c>
      <c r="G33" s="107">
        <v>5</v>
      </c>
      <c r="H33" s="115">
        <f>IF(SUMIFS(Tabla1[Avance_km],Tabla1[Ducto],$A33,Tabla1[nombre_actividad],H$1)=0,"",SUMIFS(Tabla1[Avance_km],Tabla1[Ducto],$A33,Tabla1[nombre_actividad],H$1))</f>
        <v>8.0000000000000002E-3</v>
      </c>
      <c r="I33" s="115">
        <f>IF(SUMIFS(Tabla1[Avance_km],Tabla1[Ducto],$A33,Tabla1[nombre_actividad],I$1)=0,"",SUMIFS(Tabla1[Avance_km],Tabla1[Ducto],$A33,Tabla1[nombre_actividad],I$1))</f>
        <v>8.0000000000000002E-3</v>
      </c>
      <c r="J33" s="115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37" t="s">
        <v>349</v>
      </c>
      <c r="L33" t="s">
        <v>247</v>
      </c>
    </row>
    <row r="34" spans="1:12" x14ac:dyDescent="0.3">
      <c r="A34" s="99" t="s">
        <v>248</v>
      </c>
      <c r="B34" s="103">
        <f>+_xlfn.XLOOKUP($A34,'R (s03)'!$B:$B,'R (s03)'!D:D,"Falta")</f>
        <v>1</v>
      </c>
      <c r="C34" s="104">
        <f>+_xlfn.XLOOKUP($A34,'R (s03)'!$B:$B,'R (s03)'!E:E,"Falta")</f>
        <v>1</v>
      </c>
      <c r="D34" s="104">
        <f>+_xlfn.XLOOKUP($A34,'R (s03)'!$B:$B,'R (s03)'!F:F,"Falta")</f>
        <v>1</v>
      </c>
      <c r="E34" s="104">
        <f>+_xlfn.XLOOKUP($A34,'R (s03)'!$B:$B,'R (s03)'!G:G,"Falta")</f>
        <v>1</v>
      </c>
      <c r="F34" s="105">
        <v>8</v>
      </c>
      <c r="G34" s="107">
        <v>6</v>
      </c>
      <c r="H34" s="115">
        <f>IF(SUMIFS(Tabla1[Avance_km],Tabla1[Ducto],$A34,Tabla1[nombre_actividad],H$1)=0,"",SUMIFS(Tabla1[Avance_km],Tabla1[Ducto],$A34,Tabla1[nombre_actividad],H$1))</f>
        <v>6.0000000000000001E-3</v>
      </c>
      <c r="I34" s="115">
        <f>IF(SUMIFS(Tabla1[Avance_km],Tabla1[Ducto],$A34,Tabla1[nombre_actividad],I$1)=0,"",SUMIFS(Tabla1[Avance_km],Tabla1[Ducto],$A34,Tabla1[nombre_actividad],I$1))</f>
        <v>6.0000000000000001E-3</v>
      </c>
      <c r="J34" s="115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6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99" t="s">
        <v>249</v>
      </c>
      <c r="B35" s="103">
        <f>+_xlfn.XLOOKUP($A35,'R (s03)'!$B:$B,'R (s03)'!D:D,"Falta")</f>
        <v>1</v>
      </c>
      <c r="C35" s="104">
        <f>+_xlfn.XLOOKUP($A35,'R (s03)'!$B:$B,'R (s03)'!E:E,"Falta")</f>
        <v>1</v>
      </c>
      <c r="D35" s="104">
        <f>+_xlfn.XLOOKUP($A35,'R (s03)'!$B:$B,'R (s03)'!F:F,"Falta")</f>
        <v>1</v>
      </c>
      <c r="E35" s="104">
        <f>+_xlfn.XLOOKUP($A35,'R (s03)'!$B:$B,'R (s03)'!G:G,"Falta")</f>
        <v>1</v>
      </c>
      <c r="F35" s="105">
        <v>12</v>
      </c>
      <c r="G35" s="107">
        <v>12</v>
      </c>
      <c r="H35" s="115">
        <f>IF(SUMIFS(Tabla1[Avance_km],Tabla1[Ducto],$A35,Tabla1[nombre_actividad],H$1)=0,"",SUMIFS(Tabla1[Avance_km],Tabla1[Ducto],$A35,Tabla1[nombre_actividad],H$1))</f>
        <v>1.4999999999999999E-2</v>
      </c>
      <c r="I35" s="115">
        <f>IF(SUMIFS(Tabla1[Avance_km],Tabla1[Ducto],$A35,Tabla1[nombre_actividad],I$1)=0,"",SUMIFS(Tabla1[Avance_km],Tabla1[Ducto],$A35,Tabla1[nombre_actividad],I$1))</f>
        <v>1.2E-2</v>
      </c>
      <c r="J35" s="115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6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99" t="s">
        <v>250</v>
      </c>
      <c r="B36" s="103">
        <f>+_xlfn.XLOOKUP($A36,'R (s03)'!$B:$B,'R (s03)'!D:D,"Falta")</f>
        <v>1</v>
      </c>
      <c r="C36" s="104">
        <f>+_xlfn.XLOOKUP($A36,'R (s03)'!$B:$B,'R (s03)'!E:E,"Falta")</f>
        <v>1</v>
      </c>
      <c r="D36" s="104">
        <f>+_xlfn.XLOOKUP($A36,'R (s03)'!$B:$B,'R (s03)'!F:F,"Falta")</f>
        <v>1.0294117647058825</v>
      </c>
      <c r="E36" s="104">
        <f>+_xlfn.XLOOKUP($A36,'R (s03)'!$B:$B,'R (s03)'!G:G,"Falta")</f>
        <v>1</v>
      </c>
      <c r="F36" s="105">
        <v>850</v>
      </c>
      <c r="G36" s="107">
        <v>850</v>
      </c>
      <c r="H36" s="115">
        <f>IF(SUMIFS(Tabla1[Avance_km],Tabla1[Ducto],$A36,Tabla1[nombre_actividad],H$1)=0,"",SUMIFS(Tabla1[Avance_km],Tabla1[Ducto],$A36,Tabla1[nombre_actividad],H$1))</f>
        <v>0.85</v>
      </c>
      <c r="I36" s="115">
        <f>IF(SUMIFS(Tabla1[Avance_km],Tabla1[Ducto],$A36,Tabla1[nombre_actividad],I$1)=0,"",SUMIFS(Tabla1[Avance_km],Tabla1[Ducto],$A36,Tabla1[nombre_actividad],I$1))</f>
        <v>0.85</v>
      </c>
      <c r="J36" s="115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6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99" t="s">
        <v>251</v>
      </c>
      <c r="B37" s="103">
        <f>+_xlfn.XLOOKUP($A37,'R (s03)'!$B:$B,'R (s03)'!D:D,"Falta")</f>
        <v>1</v>
      </c>
      <c r="C37" s="104">
        <f>+_xlfn.XLOOKUP($A37,'R (s03)'!$B:$B,'R (s03)'!E:E,"Falta")</f>
        <v>1</v>
      </c>
      <c r="D37" s="104">
        <f>+_xlfn.XLOOKUP($A37,'R (s03)'!$B:$B,'R (s03)'!F:F,"Falta")</f>
        <v>1</v>
      </c>
      <c r="E37" s="104">
        <f>+_xlfn.XLOOKUP($A37,'R (s03)'!$B:$B,'R (s03)'!G:G,"Falta")</f>
        <v>1</v>
      </c>
      <c r="F37" s="105">
        <v>86</v>
      </c>
      <c r="G37" s="107">
        <v>310</v>
      </c>
      <c r="H37" s="115">
        <f>IF(SUMIFS(Tabla1[Avance_km],Tabla1[Ducto],$A37,Tabla1[nombre_actividad],H$1)=0,"",SUMIFS(Tabla1[Avance_km],Tabla1[Ducto],$A37,Tabla1[nombre_actividad],H$1))</f>
        <v>0.314</v>
      </c>
      <c r="I37" s="115">
        <f>IF(SUMIFS(Tabla1[Avance_km],Tabla1[Ducto],$A37,Tabla1[nombre_actividad],I$1)=0,"",SUMIFS(Tabla1[Avance_km],Tabla1[Ducto],$A37,Tabla1[nombre_actividad],I$1))</f>
        <v>0.38500000000000001</v>
      </c>
      <c r="J37" s="115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6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99" t="s">
        <v>252</v>
      </c>
      <c r="B38" s="103">
        <f>+_xlfn.XLOOKUP($A38,'R (s03)'!$B:$B,'R (s03)'!D:D,"Falta")</f>
        <v>1</v>
      </c>
      <c r="C38" s="104">
        <f>+_xlfn.XLOOKUP($A38,'R (s03)'!$B:$B,'R (s03)'!E:E,"Falta")</f>
        <v>1</v>
      </c>
      <c r="D38" s="104">
        <f>+_xlfn.XLOOKUP($A38,'R (s03)'!$B:$B,'R (s03)'!F:F,"Falta")</f>
        <v>1</v>
      </c>
      <c r="E38" s="104">
        <f>+_xlfn.XLOOKUP($A38,'R (s03)'!$B:$B,'R (s03)'!G:G,"Falta")</f>
        <v>1</v>
      </c>
      <c r="F38" s="105">
        <v>12.5</v>
      </c>
      <c r="G38" s="107">
        <v>12.5</v>
      </c>
      <c r="H38" s="115">
        <f>IF(SUMIFS(Tabla1[Avance_km],Tabla1[Ducto],$A38,Tabla1[nombre_actividad],H$1)=0,"",SUMIFS(Tabla1[Avance_km],Tabla1[Ducto],$A38,Tabla1[nombre_actividad],H$1))</f>
        <v>1.2999999999999999E-2</v>
      </c>
      <c r="I38" s="115">
        <f>IF(SUMIFS(Tabla1[Avance_km],Tabla1[Ducto],$A38,Tabla1[nombre_actividad],I$1)=0,"",SUMIFS(Tabla1[Avance_km],Tabla1[Ducto],$A38,Tabla1[nombre_actividad],I$1))</f>
        <v>1.2999999999999999E-2</v>
      </c>
      <c r="J38" s="115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6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99" t="s">
        <v>253</v>
      </c>
      <c r="B39" s="103">
        <f>+_xlfn.XLOOKUP($A39,'R (s03)'!$B:$B,'R (s03)'!D:D,"Falta")</f>
        <v>1</v>
      </c>
      <c r="C39" s="104">
        <f>+_xlfn.XLOOKUP($A39,'R (s03)'!$B:$B,'R (s03)'!E:E,"Falta")</f>
        <v>1</v>
      </c>
      <c r="D39" s="104">
        <f>+_xlfn.XLOOKUP($A39,'R (s03)'!$B:$B,'R (s03)'!F:F,"Falta")</f>
        <v>1</v>
      </c>
      <c r="E39" s="104">
        <f>+_xlfn.XLOOKUP($A39,'R (s03)'!$B:$B,'R (s03)'!G:G,"Falta")</f>
        <v>1</v>
      </c>
      <c r="F39" s="105">
        <v>1324</v>
      </c>
      <c r="G39" s="107">
        <v>1324</v>
      </c>
      <c r="H39" s="115">
        <f>IF(SUMIFS(Tabla1[Avance_km],Tabla1[Ducto],$A39,Tabla1[nombre_actividad],H$1)=0,"",SUMIFS(Tabla1[Avance_km],Tabla1[Ducto],$A39,Tabla1[nombre_actividad],H$1))</f>
        <v>1.3240000000000001</v>
      </c>
      <c r="I39" s="115">
        <f>IF(SUMIFS(Tabla1[Avance_km],Tabla1[Ducto],$A39,Tabla1[nombre_actividad],I$1)=0,"",SUMIFS(Tabla1[Avance_km],Tabla1[Ducto],$A39,Tabla1[nombre_actividad],I$1))</f>
        <v>1.3240000000000001</v>
      </c>
      <c r="J39" s="115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6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2" t="s">
        <v>254</v>
      </c>
      <c r="B40" s="250">
        <f>+_xlfn.XLOOKUP($A40,'R (s03)'!$B:$B,'R (s03)'!D:D,"Falta")</f>
        <v>0</v>
      </c>
      <c r="C40" s="251">
        <f>+_xlfn.XLOOKUP($A40,'R (s03)'!$B:$B,'R (s03)'!E:E,"Falta")</f>
        <v>0</v>
      </c>
      <c r="D40" s="251">
        <f>+_xlfn.XLOOKUP($A40,'R (s03)'!$B:$B,'R (s03)'!F:F,"Falta")</f>
        <v>0</v>
      </c>
      <c r="E40" s="251">
        <f>+_xlfn.XLOOKUP($A40,'R (s03)'!$B:$B,'R (s03)'!G:G,"Falta")</f>
        <v>1</v>
      </c>
      <c r="F40" s="252">
        <v>12</v>
      </c>
      <c r="G40" s="253">
        <v>12</v>
      </c>
      <c r="H40" s="254" t="str">
        <f>IF(SUMIFS(Tabla1[Avance_km],Tabla1[Ducto],$A40,Tabla1[nombre_actividad],H$1)=0,"",SUMIFS(Tabla1[Avance_km],Tabla1[Ducto],$A40,Tabla1[nombre_actividad],H$1))</f>
        <v/>
      </c>
      <c r="I40" s="254" t="str">
        <f>IF(SUMIFS(Tabla1[Avance_km],Tabla1[Ducto],$A40,Tabla1[nombre_actividad],I$1)=0,"",SUMIFS(Tabla1[Avance_km],Tabla1[Ducto],$A40,Tabla1[nombre_actividad],I$1))</f>
        <v/>
      </c>
      <c r="J40" s="254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55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99" t="s">
        <v>255</v>
      </c>
      <c r="B41" s="103">
        <f>+_xlfn.XLOOKUP($A41,'R (s03)'!$B:$B,'R (s03)'!D:D,"Falta")</f>
        <v>1</v>
      </c>
      <c r="C41" s="104">
        <f>+_xlfn.XLOOKUP($A41,'R (s03)'!$B:$B,'R (s03)'!E:E,"Falta")</f>
        <v>1</v>
      </c>
      <c r="D41" s="104">
        <f>+_xlfn.XLOOKUP($A41,'R (s03)'!$B:$B,'R (s03)'!F:F,"Falta")</f>
        <v>1</v>
      </c>
      <c r="E41" s="104">
        <f>+_xlfn.XLOOKUP($A41,'R (s03)'!$B:$B,'R (s03)'!G:G,"Falta")</f>
        <v>1</v>
      </c>
      <c r="F41" s="105">
        <v>275</v>
      </c>
      <c r="G41" s="107">
        <v>257</v>
      </c>
      <c r="H41" s="115">
        <f>IF(SUMIFS(Tabla1[Avance_km],Tabla1[Ducto],$A41,Tabla1[nombre_actividad],H$1)=0,"",SUMIFS(Tabla1[Avance_km],Tabla1[Ducto],$A41,Tabla1[nombre_actividad],H$1))</f>
        <v>0.27500000000000002</v>
      </c>
      <c r="I41" s="115">
        <f>IF(SUMIFS(Tabla1[Avance_km],Tabla1[Ducto],$A41,Tabla1[nombre_actividad],I$1)=0,"",SUMIFS(Tabla1[Avance_km],Tabla1[Ducto],$A41,Tabla1[nombre_actividad],I$1))</f>
        <v>0.27500000000000002</v>
      </c>
      <c r="J41" s="115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6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99" t="s">
        <v>346</v>
      </c>
      <c r="B42" s="103">
        <f>+_xlfn.XLOOKUP($A42,'R (s03)'!$B:$B,'R (s03)'!D:D,"Falta")</f>
        <v>1</v>
      </c>
      <c r="C42" s="104">
        <f>+_xlfn.XLOOKUP($A42,'R (s03)'!$B:$B,'R (s03)'!E:E,"Falta")</f>
        <v>1</v>
      </c>
      <c r="D42" s="104">
        <f>+_xlfn.XLOOKUP($A42,'R (s03)'!$B:$B,'R (s03)'!F:F,"Falta")</f>
        <v>1</v>
      </c>
      <c r="E42" s="104">
        <f>+_xlfn.XLOOKUP($A42,'R (s03)'!$B:$B,'R (s03)'!G:G,"Falta")</f>
        <v>1</v>
      </c>
      <c r="F42" s="105">
        <v>703</v>
      </c>
      <c r="G42" s="107">
        <v>694</v>
      </c>
      <c r="H42" s="115">
        <f>IF(SUMIFS(Tabla1[Avance_km],Tabla1[Ducto],$A42,Tabla1[nombre_actividad],H$1)=0,"",SUMIFS(Tabla1[Avance_km],Tabla1[Ducto],$A42,Tabla1[nombre_actividad],H$1))</f>
        <v>0.70299999999999996</v>
      </c>
      <c r="I42" s="115">
        <f>IF(SUMIFS(Tabla1[Avance_km],Tabla1[Ducto],$A42,Tabla1[nombre_actividad],I$1)=0,"",SUMIFS(Tabla1[Avance_km],Tabla1[Ducto],$A42,Tabla1[nombre_actividad],I$1))</f>
        <v>0.69199999999999995</v>
      </c>
      <c r="J42" s="115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6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2" t="s">
        <v>502</v>
      </c>
      <c r="B43" s="250">
        <f>+_xlfn.XLOOKUP($A43,'R (s03)'!$B:$B,'R (s03)'!D:D,"Falta")</f>
        <v>0</v>
      </c>
      <c r="C43" s="251">
        <f>+_xlfn.XLOOKUP($A43,'R (s03)'!$B:$B,'R (s03)'!E:E,"Falta")</f>
        <v>0</v>
      </c>
      <c r="D43" s="251">
        <f>+_xlfn.XLOOKUP($A43,'R (s03)'!$B:$B,'R (s03)'!F:F,"Falta")</f>
        <v>0</v>
      </c>
      <c r="E43" s="251" t="str">
        <f>+_xlfn.XLOOKUP($A43,'R (s03)'!$B:$B,'R (s03)'!G:G,"Falta")</f>
        <v>---</v>
      </c>
      <c r="F43" s="252"/>
      <c r="G43" s="253"/>
      <c r="H43" s="254" t="str">
        <f>IF(SUMIFS(Tabla1[Avance_km],Tabla1[Ducto],$A43,Tabla1[nombre_actividad],H$1)=0,"",SUMIFS(Tabla1[Avance_km],Tabla1[Ducto],$A43,Tabla1[nombre_actividad],H$1))</f>
        <v/>
      </c>
      <c r="I43" s="254" t="str">
        <f>IF(SUMIFS(Tabla1[Avance_km],Tabla1[Ducto],$A43,Tabla1[nombre_actividad],I$1)=0,"",SUMIFS(Tabla1[Avance_km],Tabla1[Ducto],$A43,Tabla1[nombre_actividad],I$1))</f>
        <v/>
      </c>
      <c r="J43" s="254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55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99" t="s">
        <v>504</v>
      </c>
      <c r="B44" s="103">
        <f>+_xlfn.XLOOKUP($A44,'R (s03)'!$B:$B,'R (s03)'!D:D,"Falta")</f>
        <v>1</v>
      </c>
      <c r="C44" s="104">
        <f>+_xlfn.XLOOKUP($A44,'R (s03)'!$B:$B,'R (s03)'!E:E,"Falta")</f>
        <v>1</v>
      </c>
      <c r="D44" s="104">
        <f>+_xlfn.XLOOKUP($A44,'R (s03)'!$B:$B,'R (s03)'!F:F,"Falta")</f>
        <v>1</v>
      </c>
      <c r="E44" s="104">
        <f>+_xlfn.XLOOKUP($A44,'R (s03)'!$B:$B,'R (s03)'!G:G,"Falta")</f>
        <v>0</v>
      </c>
      <c r="F44" s="105"/>
      <c r="G44" s="107"/>
      <c r="H44" s="115">
        <f>IF(SUMIFS(Tabla1[Avance_km],Tabla1[Ducto],$A44,Tabla1[nombre_actividad],H$1)=0,"",SUMIFS(Tabla1[Avance_km],Tabla1[Ducto],$A44,Tabla1[nombre_actividad],H$1))</f>
        <v>0.24299999999999999</v>
      </c>
      <c r="I44" s="115">
        <f>IF(SUMIFS(Tabla1[Avance_km],Tabla1[Ducto],$A44,Tabla1[nombre_actividad],I$1)=0,"",SUMIFS(Tabla1[Avance_km],Tabla1[Ducto],$A44,Tabla1[nombre_actividad],I$1))</f>
        <v>0.24299999999999999</v>
      </c>
      <c r="J44" s="115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6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99" t="s">
        <v>353</v>
      </c>
      <c r="B45" s="554"/>
      <c r="C45" s="104"/>
      <c r="D45" s="104"/>
      <c r="E45" s="104">
        <f>+_xlfn.XLOOKUP($A45,'R (s03)'!$B:$B,'R (s03)'!G:G,"Falta")</f>
        <v>1</v>
      </c>
      <c r="F45" s="184"/>
      <c r="G45" s="107"/>
      <c r="H45" s="115">
        <f>IF(SUMIFS(Tabla1[Avance_km],Tabla1[Ducto],$A45,Tabla1[nombre_actividad],H$1)=0,"",SUMIFS(Tabla1[Avance_km],Tabla1[Ducto],$A45,Tabla1[nombre_actividad],H$1))</f>
        <v>1.7999999999999999E-2</v>
      </c>
      <c r="I45" s="115">
        <f>IF(SUMIFS(Tabla1[Avance_km],Tabla1[Ducto],$A45,Tabla1[nombre_actividad],I$1)=0,"",SUMIFS(Tabla1[Avance_km],Tabla1[Ducto],$A45,Tabla1[nombre_actividad],I$1))</f>
        <v>1.7999999999999999E-2</v>
      </c>
      <c r="J45" s="115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6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76"/>
    </row>
    <row r="48" spans="1:12" x14ac:dyDescent="0.3">
      <c r="F48" s="107">
        <f t="shared" ref="F48:K48" si="0">SUM(F2:F45)</f>
        <v>44517</v>
      </c>
      <c r="G48" s="107">
        <f t="shared" si="0"/>
        <v>44429.5</v>
      </c>
      <c r="H48" s="126">
        <f t="shared" si="0"/>
        <v>45.013999999999996</v>
      </c>
      <c r="I48" s="126">
        <f t="shared" si="0"/>
        <v>44.519999999999996</v>
      </c>
      <c r="J48" s="126">
        <f t="shared" si="0"/>
        <v>45.671999999999997</v>
      </c>
      <c r="K48" s="127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22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5" t="s">
        <v>351</v>
      </c>
      <c r="B2" s="103">
        <f>+_xlfn.XLOOKUP($A2,'R (s04)'!B:B,'R (s04)'!D:D,"Falta")</f>
        <v>0.77736808378767353</v>
      </c>
      <c r="C2" s="104">
        <f>+_xlfn.XLOOKUP($A2,'R (s04)'!$B:$B,'R (s04)'!E:E,"Falta")</f>
        <v>0.69889592722153926</v>
      </c>
      <c r="D2" s="104" t="str">
        <f>+_xlfn.XLOOKUP($A2,'R (s04)'!$B:$B,'R (s04)'!F:F,"Falta")</f>
        <v>---</v>
      </c>
      <c r="E2" s="104" t="str">
        <f>+_xlfn.XLOOKUP($A2,'R (s04)'!$B:$B,'R (s04)'!G:G,"Falta")</f>
        <v>---</v>
      </c>
      <c r="F2" s="105">
        <v>874</v>
      </c>
      <c r="G2" s="107">
        <v>874</v>
      </c>
      <c r="H2" s="115">
        <f>IF(SUMIFS(Tabla1[Avance_km],Tabla1[Ducto],$A2,Tabla1[nombre_actividad],H$1)=0,"",SUMIFS(Tabla1[Avance_km],Tabla1[Ducto],$A2,Tabla1[nombre_actividad],H$1))</f>
        <v>37</v>
      </c>
      <c r="I2" s="115">
        <f>IF(SUMIFS(Tabla1[Avance_km],Tabla1[Ducto],$A2,Tabla1[nombre_actividad],I$1)=0,"",SUMIFS(Tabla1[Avance_km],Tabla1[Ducto],$A2,Tabla1[nombre_actividad],I$1))</f>
        <v>33.264999999999993</v>
      </c>
      <c r="J2" s="115" t="str">
        <f>IF(SUMIFS(Tabla1[Avance_km],Tabla1[Ducto],$A2,Tabla1[nombre_actividad],J$1,Tabla1[Avance_km],"&gt;0")=0,"",SUMIFS(Tabla1[Avance_km],Tabla1[Ducto],$A2,Tabla1[nombre_actividad],J$1,Tabla1[Avance_km],"&gt;0"))</f>
        <v/>
      </c>
      <c r="K2" s="116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75" t="s">
        <v>359</v>
      </c>
      <c r="B3" s="103">
        <f>+_xlfn.XLOOKUP($A3,'R (s04)'!B:B,'R (s04)'!D:D,"Falta")</f>
        <v>1</v>
      </c>
      <c r="C3" s="104">
        <f>+_xlfn.XLOOKUP($A3,'R (s04)'!$B:$B,'R (s04)'!E:E,"Falta")</f>
        <v>1</v>
      </c>
      <c r="D3" s="104">
        <f>+_xlfn.XLOOKUP($A3,'R (s04)'!$B:$B,'R (s04)'!F:F,"Falta")</f>
        <v>1</v>
      </c>
      <c r="E3" s="104">
        <f>+_xlfn.XLOOKUP($A3,'R (s04)'!$B:$B,'R (s04)'!G:G,"Falta")</f>
        <v>1</v>
      </c>
      <c r="F3" s="105">
        <v>874</v>
      </c>
      <c r="G3" s="107">
        <v>874</v>
      </c>
      <c r="H3" s="115">
        <f>IF(SUMIFS(Tabla1[Avance_km],Tabla1[Ducto],$A3,Tabla1[nombre_actividad],H$1)=0,"",SUMIFS(Tabla1[Avance_km],Tabla1[Ducto],$A3,Tabla1[nombre_actividad],H$1))</f>
        <v>0.878</v>
      </c>
      <c r="I3" s="115">
        <f>IF(SUMIFS(Tabla1[Avance_km],Tabla1[Ducto],$A3,Tabla1[nombre_actividad],I$1)=0,"",SUMIFS(Tabla1[Avance_km],Tabla1[Ducto],$A3,Tabla1[nombre_actividad],I$1))</f>
        <v>0.878</v>
      </c>
      <c r="J3" s="115">
        <f>IF(SUMIFS(Tabla1[Avance_km],Tabla1[Ducto],$A3,Tabla1[nombre_actividad],J$1,Tabla1[Avance_km],"&gt;0")=0,"",SUMIFS(Tabla1[Avance_km],Tabla1[Ducto],$A3,Tabla1[nombre_actividad],J$1,Tabla1[Avance_km],"&gt;0"))</f>
        <v>0.878</v>
      </c>
      <c r="K3" s="116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75" t="s">
        <v>264</v>
      </c>
      <c r="B4" s="103">
        <f>+_xlfn.XLOOKUP($A4,'R (s04)'!B:B,'R (s04)'!D:D,"Falta")</f>
        <v>1</v>
      </c>
      <c r="C4" s="104">
        <f>+_xlfn.XLOOKUP($A4,'R (s04)'!$B:$B,'R (s04)'!E:E,"Falta")</f>
        <v>1</v>
      </c>
      <c r="D4" s="104">
        <f>+_xlfn.XLOOKUP($A4,'R (s04)'!$B:$B,'R (s04)'!F:F,"Falta")</f>
        <v>1</v>
      </c>
      <c r="E4" s="104">
        <f>+_xlfn.XLOOKUP($A4,'R (s04)'!$B:$B,'R (s04)'!G:G,"Falta")</f>
        <v>1</v>
      </c>
      <c r="F4" s="105">
        <v>2077</v>
      </c>
      <c r="G4" s="107">
        <v>2077</v>
      </c>
      <c r="H4" s="115">
        <f>IF(SUMIFS(Tabla1[Avance_km],Tabla1[Ducto],$A4,Tabla1[nombre_actividad],H$1)=0,"",SUMIFS(Tabla1[Avance_km],Tabla1[Ducto],$A4,Tabla1[nombre_actividad],H$1))</f>
        <v>2.077</v>
      </c>
      <c r="I4" s="115">
        <f>IF(SUMIFS(Tabla1[Avance_km],Tabla1[Ducto],$A4,Tabla1[nombre_actividad],I$1)=0,"",SUMIFS(Tabla1[Avance_km],Tabla1[Ducto],$A4,Tabla1[nombre_actividad],I$1))</f>
        <v>2.077</v>
      </c>
      <c r="J4" s="115">
        <f>IF(SUMIFS(Tabla1[Avance_km],Tabla1[Ducto],$A4,Tabla1[nombre_actividad],J$1,Tabla1[Avance_km],"&gt;0")=0,"",SUMIFS(Tabla1[Avance_km],Tabla1[Ducto],$A4,Tabla1[nombre_actividad],J$1,Tabla1[Avance_km],"&gt;0"))</f>
        <v>2.077</v>
      </c>
      <c r="K4" s="116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75" t="s">
        <v>360</v>
      </c>
      <c r="B5" s="103">
        <f>+_xlfn.XLOOKUP($A5,'R (s04)'!B:B,'R (s04)'!D:D,"Falta")</f>
        <v>1</v>
      </c>
      <c r="C5" s="104">
        <f>+_xlfn.XLOOKUP($A5,'R (s04)'!$B:$B,'R (s04)'!E:E,"Falta")</f>
        <v>1</v>
      </c>
      <c r="D5" s="104">
        <f>+_xlfn.XLOOKUP($A5,'R (s04)'!$B:$B,'R (s04)'!F:F,"Falta")</f>
        <v>1</v>
      </c>
      <c r="E5" s="104">
        <f>+_xlfn.XLOOKUP($A5,'R (s04)'!$B:$B,'R (s04)'!G:G,"Falta")</f>
        <v>1</v>
      </c>
      <c r="F5" s="105">
        <v>158</v>
      </c>
      <c r="G5" s="107">
        <v>158</v>
      </c>
      <c r="H5" s="115">
        <f>IF(SUMIFS(Tabla1[Avance_km],Tabla1[Ducto],$A5,Tabla1[nombre_actividad],H$1)=0,"",SUMIFS(Tabla1[Avance_km],Tabla1[Ducto],$A5,Tabla1[nombre_actividad],H$1))</f>
        <v>0.16</v>
      </c>
      <c r="I5" s="115">
        <f>IF(SUMIFS(Tabla1[Avance_km],Tabla1[Ducto],$A5,Tabla1[nombre_actividad],I$1)=0,"",SUMIFS(Tabla1[Avance_km],Tabla1[Ducto],$A5,Tabla1[nombre_actividad],I$1))</f>
        <v>0.16</v>
      </c>
      <c r="J5" s="115">
        <f>IF(SUMIFS(Tabla1[Avance_km],Tabla1[Ducto],$A5,Tabla1[nombre_actividad],J$1,Tabla1[Avance_km],"&gt;0")=0,"",SUMIFS(Tabla1[Avance_km],Tabla1[Ducto],$A5,Tabla1[nombre_actividad],J$1,Tabla1[Avance_km],"&gt;0"))</f>
        <v>0.16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5" t="s">
        <v>361</v>
      </c>
      <c r="B6" s="103">
        <f>+_xlfn.XLOOKUP($A6,'R (s04)'!B:B,'R (s04)'!D:D,"Falta")</f>
        <v>1</v>
      </c>
      <c r="C6" s="104">
        <f>+_xlfn.XLOOKUP($A6,'R (s04)'!$B:$B,'R (s04)'!E:E,"Falta")</f>
        <v>1</v>
      </c>
      <c r="D6" s="104">
        <f>+_xlfn.XLOOKUP($A6,'R (s04)'!$B:$B,'R (s04)'!F:F,"Falta")</f>
        <v>1</v>
      </c>
      <c r="E6" s="104">
        <f>+_xlfn.XLOOKUP($A6,'R (s04)'!$B:$B,'R (s04)'!G:G,"Falta")</f>
        <v>1</v>
      </c>
      <c r="F6" s="105">
        <v>7</v>
      </c>
      <c r="G6" s="107">
        <v>7</v>
      </c>
      <c r="H6" s="115">
        <f>IF(SUMIFS(Tabla1[Avance_km],Tabla1[Ducto],$A6,Tabla1[nombre_actividad],H$1)=0,"",SUMIFS(Tabla1[Avance_km],Tabla1[Ducto],$A6,Tabla1[nombre_actividad],H$1))</f>
        <v>7.0000000000000001E-3</v>
      </c>
      <c r="I6" s="115">
        <f>IF(SUMIFS(Tabla1[Avance_km],Tabla1[Ducto],$A6,Tabla1[nombre_actividad],I$1)=0,"",SUMIFS(Tabla1[Avance_km],Tabla1[Ducto],$A6,Tabla1[nombre_actividad],I$1))</f>
        <v>7.0000000000000001E-3</v>
      </c>
      <c r="J6" s="115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6"/>
    </row>
    <row r="8" spans="1:12" x14ac:dyDescent="0.3">
      <c r="F8" s="107">
        <f>SUM(F2:F6)</f>
        <v>3990</v>
      </c>
      <c r="G8" s="107">
        <f>SUM(G2:G6)</f>
        <v>3990</v>
      </c>
      <c r="H8" s="126">
        <f t="shared" ref="H8:K8" si="0">SUM(H2:H2)</f>
        <v>37</v>
      </c>
      <c r="I8" s="126">
        <f t="shared" si="0"/>
        <v>33.264999999999993</v>
      </c>
      <c r="J8" s="126">
        <f t="shared" si="0"/>
        <v>0</v>
      </c>
      <c r="K8" s="127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21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5" t="s">
        <v>367</v>
      </c>
      <c r="B2" s="103">
        <f>+_xlfn.XLOOKUP($A2,'R (s06)'!$B:$B,'R (s06)'!D:D,"Falta")</f>
        <v>1</v>
      </c>
      <c r="C2" s="104">
        <f>+_xlfn.XLOOKUP($A2,'R (s06)'!$B:$B,'R (s06)'!E:E,"Falta")</f>
        <v>1</v>
      </c>
      <c r="D2" s="104">
        <f>+_xlfn.XLOOKUP($A2,'R (s06)'!$B:$B,'R (s06)'!F:F,"Falta")</f>
        <v>1</v>
      </c>
      <c r="E2" s="104">
        <f>+_xlfn.XLOOKUP($A2,'R (s06)'!$B:$B,'R (s06)'!G:G,"Falta")</f>
        <v>1</v>
      </c>
      <c r="F2" s="105">
        <v>3</v>
      </c>
      <c r="G2" s="107">
        <v>3</v>
      </c>
      <c r="H2" s="115">
        <f>IF(SUMIFS(Tabla1[Avance_km],Tabla1[Ducto],$A2,Tabla1[nombre_actividad],H$1)=0,"",SUMIFS(Tabla1[Avance_km],Tabla1[Ducto],$A2,Tabla1[nombre_actividad],H$1))</f>
        <v>3.0000000000000001E-3</v>
      </c>
      <c r="I2" s="115">
        <f>IF(SUMIFS(Tabla1[Avance_km],Tabla1[Ducto],$A2,Tabla1[nombre_actividad],I$1)=0,"",SUMIFS(Tabla1[Avance_km],Tabla1[Ducto],$A2,Tabla1[nombre_actividad],I$1))</f>
        <v>3.0000000000000001E-3</v>
      </c>
      <c r="J2" s="115">
        <f>IF(SUMIFS(Tabla1[Avance_km],Tabla1[Ducto],$A2,Tabla1[nombre_actividad],J$1)=0,"",SUMIFS(Tabla1[Avance_km],Tabla1[Ducto],$A2,Tabla1[nombre_actividad],J$1))</f>
        <v>3.0000000000000001E-3</v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75" t="s">
        <v>368</v>
      </c>
      <c r="B3" s="103">
        <f>+_xlfn.XLOOKUP($A3,'R (s06)'!$B:$B,'R (s06)'!D:D,"Falta")</f>
        <v>1</v>
      </c>
      <c r="C3" s="104">
        <f>+_xlfn.XLOOKUP($A3,'R (s06)'!$B:$B,'R (s06)'!E:E,"Falta")</f>
        <v>1</v>
      </c>
      <c r="D3" s="104">
        <f>+_xlfn.XLOOKUP($A3,'R (s06)'!$B:$B,'R (s06)'!F:F,"Falta")</f>
        <v>1</v>
      </c>
      <c r="E3" s="104">
        <f>+_xlfn.XLOOKUP($A3,'R (s06)'!$B:$B,'R (s06)'!G:G,"Falta")</f>
        <v>1</v>
      </c>
      <c r="F3" s="105">
        <v>97</v>
      </c>
      <c r="G3" s="107">
        <v>97</v>
      </c>
      <c r="H3" s="115">
        <f>IF(SUMIFS(Tabla1[Avance_km],Tabla1[Ducto],$A3,Tabla1[nombre_actividad],H$1)=0,"",SUMIFS(Tabla1[Avance_km],Tabla1[Ducto],$A3,Tabla1[nombre_actividad],H$1))</f>
        <v>9.7000000000000003E-2</v>
      </c>
      <c r="I3" s="115">
        <f>IF(SUMIFS(Tabla1[Avance_km],Tabla1[Ducto],$A3,Tabla1[nombre_actividad],I$1)=0,"",SUMIFS(Tabla1[Avance_km],Tabla1[Ducto],$A3,Tabla1[nombre_actividad],I$1))</f>
        <v>9.7000000000000003E-2</v>
      </c>
      <c r="J3" s="115">
        <f>IF(SUMIFS(Tabla1[Avance_km],Tabla1[Ducto],$A3,Tabla1[nombre_actividad],J$1)=0,"",SUMIFS(Tabla1[Avance_km],Tabla1[Ducto],$A3,Tabla1[nombre_actividad],J$1))</f>
        <v>9.7000000000000003E-2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75" t="s">
        <v>369</v>
      </c>
      <c r="B4" s="103">
        <f>+_xlfn.XLOOKUP($A4,'R (s06)'!$B:$B,'R (s06)'!D:D,"Falta")</f>
        <v>1</v>
      </c>
      <c r="C4" s="104">
        <f>+_xlfn.XLOOKUP($A4,'R (s06)'!$B:$B,'R (s06)'!E:E,"Falta")</f>
        <v>1</v>
      </c>
      <c r="D4" s="104">
        <f>+_xlfn.XLOOKUP($A4,'R (s06)'!$B:$B,'R (s06)'!F:F,"Falta")</f>
        <v>1</v>
      </c>
      <c r="E4" s="104">
        <f>+_xlfn.XLOOKUP($A4,'R (s06)'!$B:$B,'R (s06)'!G:G,"Falta")</f>
        <v>1</v>
      </c>
      <c r="F4" s="105">
        <v>7</v>
      </c>
      <c r="G4" s="107">
        <v>7</v>
      </c>
      <c r="H4" s="115">
        <f>IF(SUMIFS(Tabla1[Avance_km],Tabla1[Ducto],$A4,Tabla1[nombre_actividad],H$1)=0,"",SUMIFS(Tabla1[Avance_km],Tabla1[Ducto],$A4,Tabla1[nombre_actividad],H$1))</f>
        <v>7.0000000000000001E-3</v>
      </c>
      <c r="I4" s="115">
        <f>IF(SUMIFS(Tabla1[Avance_km],Tabla1[Ducto],$A4,Tabla1[nombre_actividad],I$1)=0,"",SUMIFS(Tabla1[Avance_km],Tabla1[Ducto],$A4,Tabla1[nombre_actividad],I$1))</f>
        <v>7.0000000000000001E-3</v>
      </c>
      <c r="J4" s="115">
        <f>IF(SUMIFS(Tabla1[Avance_km],Tabla1[Ducto],$A4,Tabla1[nombre_actividad],J$1)=0,"",SUMIFS(Tabla1[Avance_km],Tabla1[Ducto],$A4,Tabla1[nombre_actividad],J$1))</f>
        <v>7.0000000000000001E-3</v>
      </c>
      <c r="K4" s="116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75" t="s">
        <v>370</v>
      </c>
      <c r="B5" s="103">
        <f>+_xlfn.XLOOKUP($A5,'R (s06)'!$B:$B,'R (s06)'!D:D,"Falta")</f>
        <v>1</v>
      </c>
      <c r="C5" s="104">
        <f>+_xlfn.XLOOKUP($A5,'R (s06)'!$B:$B,'R (s06)'!E:E,"Falta")</f>
        <v>1</v>
      </c>
      <c r="D5" s="104">
        <f>+_xlfn.XLOOKUP($A5,'R (s06)'!$B:$B,'R (s06)'!F:F,"Falta")</f>
        <v>1</v>
      </c>
      <c r="E5" s="104">
        <f>+_xlfn.XLOOKUP($A5,'R (s06)'!$B:$B,'R (s06)'!G:G,"Falta")</f>
        <v>1</v>
      </c>
      <c r="F5" s="105">
        <v>15.5</v>
      </c>
      <c r="G5" s="107">
        <v>15.5</v>
      </c>
      <c r="H5" s="115">
        <f>IF(SUMIFS(Tabla1[Avance_km],Tabla1[Ducto],$A5,Tabla1[nombre_actividad],H$1)=0,"",SUMIFS(Tabla1[Avance_km],Tabla1[Ducto],$A5,Tabla1[nombre_actividad],H$1))</f>
        <v>1.6E-2</v>
      </c>
      <c r="I5" s="115">
        <f>IF(SUMIFS(Tabla1[Avance_km],Tabla1[Ducto],$A5,Tabla1[nombre_actividad],I$1)=0,"",SUMIFS(Tabla1[Avance_km],Tabla1[Ducto],$A5,Tabla1[nombre_actividad],I$1))</f>
        <v>1.6E-2</v>
      </c>
      <c r="J5" s="115">
        <f>IF(SUMIFS(Tabla1[Avance_km],Tabla1[Ducto],$A5,Tabla1[nombre_actividad],J$1)=0,"",SUMIFS(Tabla1[Avance_km],Tabla1[Ducto],$A5,Tabla1[nombre_actividad],J$1))</f>
        <v>1.6E-2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5" t="s">
        <v>371</v>
      </c>
      <c r="B6" s="103">
        <f>+_xlfn.XLOOKUP($A6,'R (s06)'!$B:$B,'R (s06)'!D:D,"Falta")</f>
        <v>1</v>
      </c>
      <c r="C6" s="104">
        <f>+_xlfn.XLOOKUP($A6,'R (s06)'!$B:$B,'R (s06)'!E:E,"Falta")</f>
        <v>1</v>
      </c>
      <c r="D6" s="104">
        <f>+_xlfn.XLOOKUP($A6,'R (s06)'!$B:$B,'R (s06)'!F:F,"Falta")</f>
        <v>1</v>
      </c>
      <c r="E6" s="104">
        <f>+_xlfn.XLOOKUP($A6,'R (s06)'!$B:$B,'R (s06)'!G:G,"Falta")</f>
        <v>1</v>
      </c>
      <c r="F6" s="105">
        <v>17</v>
      </c>
      <c r="G6" s="107">
        <v>17</v>
      </c>
      <c r="H6" s="115">
        <f>IF(SUMIFS(Tabla1[Avance_km],Tabla1[Ducto],$A6,Tabla1[nombre_actividad],H$1)=0,"",SUMIFS(Tabla1[Avance_km],Tabla1[Ducto],$A6,Tabla1[nombre_actividad],H$1))</f>
        <v>1.7000000000000001E-2</v>
      </c>
      <c r="I6" s="115">
        <f>IF(SUMIFS(Tabla1[Avance_km],Tabla1[Ducto],$A6,Tabla1[nombre_actividad],I$1)=0,"",SUMIFS(Tabla1[Avance_km],Tabla1[Ducto],$A6,Tabla1[nombre_actividad],I$1))</f>
        <v>1.7000000000000001E-2</v>
      </c>
      <c r="J6" s="115">
        <f>IF(SUMIFS(Tabla1[Avance_km],Tabla1[Ducto],$A6,Tabla1[nombre_actividad],J$1)=0,"",SUMIFS(Tabla1[Avance_km],Tabla1[Ducto],$A6,Tabla1[nombre_actividad],J$1))</f>
        <v>1.7000000000000001E-2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5" t="s">
        <v>372</v>
      </c>
      <c r="B7" s="103">
        <f>+_xlfn.XLOOKUP($A7,'R (s06)'!$B:$B,'R (s06)'!D:D,"Falta")</f>
        <v>1</v>
      </c>
      <c r="C7" s="104">
        <f>+_xlfn.XLOOKUP($A7,'R (s06)'!$B:$B,'R (s06)'!E:E,"Falta")</f>
        <v>1</v>
      </c>
      <c r="D7" s="104">
        <f>+_xlfn.XLOOKUP($A7,'R (s06)'!$B:$B,'R (s06)'!F:F,"Falta")</f>
        <v>1</v>
      </c>
      <c r="E7" s="104">
        <f>+_xlfn.XLOOKUP($A7,'R (s06)'!$B:$B,'R (s06)'!G:G,"Falta")</f>
        <v>1</v>
      </c>
      <c r="F7" s="105">
        <v>8</v>
      </c>
      <c r="G7" s="107">
        <v>8</v>
      </c>
      <c r="H7" s="115">
        <f>IF(SUMIFS(Tabla1[Avance_km],Tabla1[Ducto],$A7,Tabla1[nombre_actividad],H$1)=0,"",SUMIFS(Tabla1[Avance_km],Tabla1[Ducto],$A7,Tabla1[nombre_actividad],H$1))</f>
        <v>8.0000000000000002E-3</v>
      </c>
      <c r="I7" s="115">
        <f>IF(SUMIFS(Tabla1[Avance_km],Tabla1[Ducto],$A7,Tabla1[nombre_actividad],I$1)=0,"",SUMIFS(Tabla1[Avance_km],Tabla1[Ducto],$A7,Tabla1[nombre_actividad],I$1))</f>
        <v>8.0000000000000002E-3</v>
      </c>
      <c r="J7" s="115">
        <f>IF(SUMIFS(Tabla1[Avance_km],Tabla1[Ducto],$A7,Tabla1[nombre_actividad],J$1)=0,"",SUMIFS(Tabla1[Avance_km],Tabla1[Ducto],$A7,Tabla1[nombre_actividad],J$1))</f>
        <v>8.0000000000000002E-3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75" t="s">
        <v>373</v>
      </c>
      <c r="B8" s="103">
        <f>+_xlfn.XLOOKUP($A8,'R (s06)'!$B:$B,'R (s06)'!D:D,"Falta")</f>
        <v>1</v>
      </c>
      <c r="C8" s="104">
        <f>+_xlfn.XLOOKUP($A8,'R (s06)'!$B:$B,'R (s06)'!E:E,"Falta")</f>
        <v>1</v>
      </c>
      <c r="D8" s="104">
        <f>+_xlfn.XLOOKUP($A8,'R (s06)'!$B:$B,'R (s06)'!F:F,"Falta")</f>
        <v>1</v>
      </c>
      <c r="E8" s="104">
        <f>+_xlfn.XLOOKUP($A8,'R (s06)'!$B:$B,'R (s06)'!G:G,"Falta")</f>
        <v>1</v>
      </c>
      <c r="F8" s="105">
        <v>53</v>
      </c>
      <c r="G8" s="107">
        <v>53</v>
      </c>
      <c r="H8" s="115">
        <f>IF(SUMIFS(Tabla1[Avance_km],Tabla1[Ducto],$A8,Tabla1[nombre_actividad],H$1)=0,"",SUMIFS(Tabla1[Avance_km],Tabla1[Ducto],$A8,Tabla1[nombre_actividad],H$1))</f>
        <v>5.2999999999999999E-2</v>
      </c>
      <c r="I8" s="115">
        <f>IF(SUMIFS(Tabla1[Avance_km],Tabla1[Ducto],$A8,Tabla1[nombre_actividad],I$1)=0,"",SUMIFS(Tabla1[Avance_km],Tabla1[Ducto],$A8,Tabla1[nombre_actividad],I$1))</f>
        <v>5.2999999999999999E-2</v>
      </c>
      <c r="J8" s="115">
        <f>IF(SUMIFS(Tabla1[Avance_km],Tabla1[Ducto],$A8,Tabla1[nombre_actividad],J$1)=0,"",SUMIFS(Tabla1[Avance_km],Tabla1[Ducto],$A8,Tabla1[nombre_actividad],J$1))</f>
        <v>5.2999999999999999E-2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75" t="s">
        <v>374</v>
      </c>
      <c r="B9" s="103">
        <f>+_xlfn.XLOOKUP($A9,'R (s06)'!$B:$B,'R (s06)'!D:D,"Falta")</f>
        <v>1</v>
      </c>
      <c r="C9" s="104">
        <f>+_xlfn.XLOOKUP($A9,'R (s06)'!$B:$B,'R (s06)'!E:E,"Falta")</f>
        <v>1</v>
      </c>
      <c r="D9" s="104">
        <f>+_xlfn.XLOOKUP($A9,'R (s06)'!$B:$B,'R (s06)'!F:F,"Falta")</f>
        <v>1</v>
      </c>
      <c r="E9" s="104">
        <f>+_xlfn.XLOOKUP($A9,'R (s06)'!$B:$B,'R (s06)'!G:G,"Falta")</f>
        <v>1</v>
      </c>
      <c r="F9" s="105">
        <v>608</v>
      </c>
      <c r="G9" s="107">
        <v>608</v>
      </c>
      <c r="H9" s="115">
        <f>IF(SUMIFS(Tabla1[Avance_km],Tabla1[Ducto],$A9,Tabla1[nombre_actividad],H$1)=0,"",SUMIFS(Tabla1[Avance_km],Tabla1[Ducto],$A9,Tabla1[nombre_actividad],H$1))</f>
        <v>0.60799999999999998</v>
      </c>
      <c r="I9" s="115">
        <f>IF(SUMIFS(Tabla1[Avance_km],Tabla1[Ducto],$A9,Tabla1[nombre_actividad],I$1)=0,"",SUMIFS(Tabla1[Avance_km],Tabla1[Ducto],$A9,Tabla1[nombre_actividad],I$1))</f>
        <v>0.60799999999999998</v>
      </c>
      <c r="J9" s="115">
        <f>IF(SUMIFS(Tabla1[Avance_km],Tabla1[Ducto],$A9,Tabla1[nombre_actividad],J$1)=0,"",SUMIFS(Tabla1[Avance_km],Tabla1[Ducto],$A9,Tabla1[nombre_actividad],J$1))</f>
        <v>0.60799999999999998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75" t="s">
        <v>375</v>
      </c>
      <c r="B10" s="103">
        <f>+_xlfn.XLOOKUP($A10,'R (s06)'!$B:$B,'R (s06)'!D:D,"Falta")</f>
        <v>1</v>
      </c>
      <c r="C10" s="104">
        <f>+_xlfn.XLOOKUP($A10,'R (s06)'!$B:$B,'R (s06)'!E:E,"Falta")</f>
        <v>1</v>
      </c>
      <c r="D10" s="104">
        <f>+_xlfn.XLOOKUP($A10,'R (s06)'!$B:$B,'R (s06)'!F:F,"Falta")</f>
        <v>1</v>
      </c>
      <c r="E10" s="104">
        <f>+_xlfn.XLOOKUP($A10,'R (s06)'!$B:$B,'R (s06)'!G:G,"Falta")</f>
        <v>1</v>
      </c>
      <c r="F10" s="105">
        <v>170</v>
      </c>
      <c r="G10" s="107">
        <v>170</v>
      </c>
      <c r="H10" s="115">
        <f>IF(SUMIFS(Tabla1[Avance_km],Tabla1[Ducto],$A10,Tabla1[nombre_actividad],H$1)=0,"",SUMIFS(Tabla1[Avance_km],Tabla1[Ducto],$A10,Tabla1[nombre_actividad],H$1))</f>
        <v>0.17</v>
      </c>
      <c r="I10" s="115">
        <f>IF(SUMIFS(Tabla1[Avance_km],Tabla1[Ducto],$A10,Tabla1[nombre_actividad],I$1)=0,"",SUMIFS(Tabla1[Avance_km],Tabla1[Ducto],$A10,Tabla1[nombre_actividad],I$1))</f>
        <v>0.17</v>
      </c>
      <c r="J10" s="115">
        <f>IF(SUMIFS(Tabla1[Avance_km],Tabla1[Ducto],$A10,Tabla1[nombre_actividad],J$1)=0,"",SUMIFS(Tabla1[Avance_km],Tabla1[Ducto],$A10,Tabla1[nombre_actividad],J$1))</f>
        <v>0.17</v>
      </c>
      <c r="K10" s="116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75" t="s">
        <v>376</v>
      </c>
      <c r="B11" s="103">
        <f>+_xlfn.XLOOKUP($A11,'R (s06)'!$B:$B,'R (s06)'!D:D,"Falta")</f>
        <v>1</v>
      </c>
      <c r="C11" s="104">
        <f>+_xlfn.XLOOKUP($A11,'R (s06)'!$B:$B,'R (s06)'!E:E,"Falta")</f>
        <v>1</v>
      </c>
      <c r="D11" s="104">
        <f>+_xlfn.XLOOKUP($A11,'R (s06)'!$B:$B,'R (s06)'!F:F,"Falta")</f>
        <v>1</v>
      </c>
      <c r="E11" s="104">
        <f>+_xlfn.XLOOKUP($A11,'R (s06)'!$B:$B,'R (s06)'!G:G,"Falta")</f>
        <v>1</v>
      </c>
      <c r="F11" s="105">
        <v>13</v>
      </c>
      <c r="G11" s="107">
        <v>13</v>
      </c>
      <c r="H11" s="115">
        <f>IF(SUMIFS(Tabla1[Avance_km],Tabla1[Ducto],$A11,Tabla1[nombre_actividad],H$1)=0,"",SUMIFS(Tabla1[Avance_km],Tabla1[Ducto],$A11,Tabla1[nombre_actividad],H$1))</f>
        <v>1.2999999999999999E-2</v>
      </c>
      <c r="I11" s="115">
        <f>IF(SUMIFS(Tabla1[Avance_km],Tabla1[Ducto],$A11,Tabla1[nombre_actividad],I$1)=0,"",SUMIFS(Tabla1[Avance_km],Tabla1[Ducto],$A11,Tabla1[nombre_actividad],I$1))</f>
        <v>1.2999999999999999E-2</v>
      </c>
      <c r="J11" s="115">
        <f>IF(SUMIFS(Tabla1[Avance_km],Tabla1[Ducto],$A11,Tabla1[nombre_actividad],J$1)=0,"",SUMIFS(Tabla1[Avance_km],Tabla1[Ducto],$A11,Tabla1[nombre_actividad],J$1))</f>
        <v>1.2999999999999999E-2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75" t="s">
        <v>377</v>
      </c>
      <c r="B12" s="103">
        <f>+_xlfn.XLOOKUP($A12,'R (s06)'!$B:$B,'R (s06)'!D:D,"Falta")</f>
        <v>1.0001602820964899</v>
      </c>
      <c r="C12" s="104">
        <f>+_xlfn.XLOOKUP($A12,'R (s06)'!$B:$B,'R (s06)'!E:E,"Falta")</f>
        <v>1.0001602820964899</v>
      </c>
      <c r="D12" s="104">
        <f>+_xlfn.XLOOKUP($A12,'R (s06)'!$B:$B,'R (s06)'!F:F,"Falta")</f>
        <v>1.0001602820964899</v>
      </c>
      <c r="E12" s="104">
        <f>+_xlfn.XLOOKUP($A12,'R (s06)'!$B:$B,'R (s06)'!G:G,"Falta")</f>
        <v>1</v>
      </c>
      <c r="F12" s="105">
        <v>623.9</v>
      </c>
      <c r="G12" s="107">
        <v>623.9</v>
      </c>
      <c r="H12" s="115">
        <f>IF(SUMIFS(Tabla1[Avance_km],Tabla1[Ducto],$A12,Tabla1[nombre_actividad],H$1)=0,"",SUMIFS(Tabla1[Avance_km],Tabla1[Ducto],$A12,Tabla1[nombre_actividad],H$1))</f>
        <v>0.624</v>
      </c>
      <c r="I12" s="115">
        <f>IF(SUMIFS(Tabla1[Avance_km],Tabla1[Ducto],$A12,Tabla1[nombre_actividad],I$1)=0,"",SUMIFS(Tabla1[Avance_km],Tabla1[Ducto],$A12,Tabla1[nombre_actividad],I$1))</f>
        <v>0.624</v>
      </c>
      <c r="J12" s="115">
        <f>IF(SUMIFS(Tabla1[Avance_km],Tabla1[Ducto],$A12,Tabla1[nombre_actividad],J$1)=0,"",SUMIFS(Tabla1[Avance_km],Tabla1[Ducto],$A12,Tabla1[nombre_actividad],J$1))</f>
        <v>0.624</v>
      </c>
      <c r="K12" s="116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75" t="s">
        <v>378</v>
      </c>
      <c r="B13" s="103">
        <f>+_xlfn.XLOOKUP($A13,'R (s06)'!$B:$B,'R (s06)'!D:D,"Falta")</f>
        <v>1</v>
      </c>
      <c r="C13" s="104">
        <f>+_xlfn.XLOOKUP($A13,'R (s06)'!$B:$B,'R (s06)'!E:E,"Falta")</f>
        <v>1</v>
      </c>
      <c r="D13" s="104">
        <f>+_xlfn.XLOOKUP($A13,'R (s06)'!$B:$B,'R (s06)'!F:F,"Falta")</f>
        <v>1</v>
      </c>
      <c r="E13" s="104">
        <f>+_xlfn.XLOOKUP($A13,'R (s06)'!$B:$B,'R (s06)'!G:G,"Falta")</f>
        <v>1</v>
      </c>
      <c r="F13" s="105">
        <v>8.5</v>
      </c>
      <c r="G13" s="107">
        <v>8.5</v>
      </c>
      <c r="H13" s="115">
        <f>IF(SUMIFS(Tabla1[Avance_km],Tabla1[Ducto],$A13,Tabla1[nombre_actividad],H$1)=0,"",SUMIFS(Tabla1[Avance_km],Tabla1[Ducto],$A13,Tabla1[nombre_actividad],H$1))</f>
        <v>8.5000000000000006E-3</v>
      </c>
      <c r="I13" s="115">
        <f>IF(SUMIFS(Tabla1[Avance_km],Tabla1[Ducto],$A13,Tabla1[nombre_actividad],I$1)=0,"",SUMIFS(Tabla1[Avance_km],Tabla1[Ducto],$A13,Tabla1[nombre_actividad],I$1))</f>
        <v>8.5000000000000006E-3</v>
      </c>
      <c r="J13" s="115">
        <f>IF(SUMIFS(Tabla1[Avance_km],Tabla1[Ducto],$A13,Tabla1[nombre_actividad],J$1)=0,"",SUMIFS(Tabla1[Avance_km],Tabla1[Ducto],$A13,Tabla1[nombre_actividad],J$1))</f>
        <v>8.5000000000000006E-3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76"/>
    </row>
    <row r="15" spans="1:12" x14ac:dyDescent="0.3">
      <c r="F15" s="107">
        <f t="shared" ref="F15:K15" si="0">SUM(F2:F13)</f>
        <v>1623.9</v>
      </c>
      <c r="G15" s="107">
        <f t="shared" si="0"/>
        <v>1623.9</v>
      </c>
      <c r="H15" s="126">
        <f t="shared" si="0"/>
        <v>1.6245000000000001</v>
      </c>
      <c r="I15" s="126">
        <f t="shared" si="0"/>
        <v>1.6245000000000001</v>
      </c>
      <c r="J15" s="126">
        <f t="shared" si="0"/>
        <v>1.6245000000000001</v>
      </c>
      <c r="K15" s="127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20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98" t="s">
        <v>265</v>
      </c>
      <c r="B2" s="103">
        <f>+_xlfn.XLOOKUP($A2,'R (s07)'!$B:$B,'R (s07)'!D:D,"Falta")</f>
        <v>0</v>
      </c>
      <c r="C2" s="104">
        <f>+_xlfn.XLOOKUP($A2,'R (s07)'!$B:$B,'R (s07)'!E:E,"Falta")</f>
        <v>0</v>
      </c>
      <c r="D2" s="104">
        <f>+_xlfn.XLOOKUP($A2,'R (s07)'!$B:$B,'R (s07)'!F:F,"Falta")</f>
        <v>0</v>
      </c>
      <c r="E2" s="104">
        <f>+_xlfn.XLOOKUP($A2,'R (s07)'!$B:$B,'R (s07)'!G:G,"Falta")</f>
        <v>1</v>
      </c>
      <c r="F2" s="105">
        <f>IFERROR(_xlfn.XLOOKUP(A2,diario!D:D,diario!L:L,"")*1000,"")</f>
        <v>8</v>
      </c>
      <c r="G2" s="107">
        <v>8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99" t="s">
        <v>333</v>
      </c>
      <c r="B3" s="103">
        <f>+_xlfn.XLOOKUP($A3,'R (s07)'!$B:$B,'R (s07)'!D:D,"Falta")</f>
        <v>0</v>
      </c>
      <c r="C3" s="104">
        <f>+_xlfn.XLOOKUP($A3,'R (s07)'!$B:$B,'R (s07)'!E:E,"Falta")</f>
        <v>0</v>
      </c>
      <c r="D3" s="104">
        <f>+_xlfn.XLOOKUP($A3,'R (s07)'!$B:$B,'R (s07)'!F:F,"Falta")</f>
        <v>0</v>
      </c>
      <c r="E3" s="104">
        <f>+E2</f>
        <v>1</v>
      </c>
      <c r="F3" s="105">
        <f>IFERROR(_xlfn.XLOOKUP(A3,diario!D:D,diario!L:L,"")*1000,"")</f>
        <v>366</v>
      </c>
      <c r="G3" s="107">
        <v>366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334</v>
      </c>
      <c r="B4" s="103">
        <f>+_xlfn.XLOOKUP($A4,'R (s07)'!$B:$B,'R (s07)'!D:D,"Falta")</f>
        <v>0</v>
      </c>
      <c r="C4" s="104">
        <f>+_xlfn.XLOOKUP($A4,'R (s07)'!$B:$B,'R (s07)'!E:E,"Falta")</f>
        <v>0</v>
      </c>
      <c r="D4" s="104">
        <f>+_xlfn.XLOOKUP($A4,'R (s07)'!$B:$B,'R (s07)'!F:F,"Falta")</f>
        <v>0</v>
      </c>
      <c r="E4" s="104">
        <f>+E2</f>
        <v>1</v>
      </c>
      <c r="F4" s="105">
        <f>IFERROR(_xlfn.XLOOKUP(A4,diario!D:D,diario!L:L,"")*1000,"")</f>
        <v>1175</v>
      </c>
      <c r="G4" s="107">
        <v>1175</v>
      </c>
      <c r="H4" s="115" t="str">
        <f>IF(SUMIFS(Tabla1[Avance_km],Tabla1[Ducto],$A4,Tabla1[nombre_actividad],H$1)=0,"",SUMIFS(Tabla1[Avance_km],Tabla1[Ducto],$A4,Tabla1[nombre_actividad],H$1))</f>
        <v/>
      </c>
      <c r="I4" s="115" t="str">
        <f>IF(SUMIFS(Tabla1[Avance_km],Tabla1[Ducto],$A4,Tabla1[nombre_actividad],I$1)=0,"",SUMIFS(Tabla1[Avance_km],Tabla1[Ducto],$A4,Tabla1[nombre_actividad],I$1))</f>
        <v/>
      </c>
      <c r="J4" s="115" t="str">
        <f>IF(SUMIFS(Tabla1[Avance_km],Tabla1[Ducto],$A4,Tabla1[nombre_actividad],J$1)=0,"",SUMIFS(Tabla1[Avance_km],Tabla1[Ducto],$A4,Tabla1[nombre_actividad],J$1))</f>
        <v/>
      </c>
      <c r="K4" s="116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7">
        <f t="shared" ref="F6:K6" si="0">SUM(F2:F4)</f>
        <v>1549</v>
      </c>
      <c r="G6" s="107">
        <f t="shared" si="0"/>
        <v>1549</v>
      </c>
      <c r="H6" s="126">
        <f t="shared" si="0"/>
        <v>0</v>
      </c>
      <c r="I6" s="126">
        <f t="shared" si="0"/>
        <v>0</v>
      </c>
      <c r="J6" s="126">
        <f t="shared" si="0"/>
        <v>0</v>
      </c>
      <c r="K6" s="127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19" priority="1">
      <formula>IF(OR(B2="Falta",B2=0)=TRUE,TRUE,FALSE)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98" t="s">
        <v>266</v>
      </c>
      <c r="B2" s="103">
        <f>+_xlfn.XLOOKUP($A2,'R (s08)'!$B:$B,'R (s08)'!D:D,"Falta")</f>
        <v>0</v>
      </c>
      <c r="C2" s="104">
        <f>+_xlfn.XLOOKUP($A2,'R (s08)'!$B:$B,'R (s08)'!E:E,"Falta")</f>
        <v>0</v>
      </c>
      <c r="D2" s="104">
        <f>+_xlfn.XLOOKUP($A2,'R (s08)'!$B:$B,'R (s08)'!F:F,"Falta")</f>
        <v>0</v>
      </c>
      <c r="E2" s="104">
        <f>+_xlfn.XLOOKUP($A2,'R (s08)'!$B:$B,'R (s08)'!G:G,"Falta")</f>
        <v>1</v>
      </c>
      <c r="F2" s="105">
        <f>IFERROR(_xlfn.XLOOKUP(A2,diario!D:D,diario!L:L,"")*1000,"")</f>
        <v>3500</v>
      </c>
      <c r="G2" s="107">
        <v>3500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99" t="s">
        <v>336</v>
      </c>
      <c r="B3" s="103">
        <f>+_xlfn.XLOOKUP($A3,'R (s08)'!$B:$B,'R (s08)'!D:D,"Falta")</f>
        <v>0</v>
      </c>
      <c r="C3" s="104">
        <f>+_xlfn.XLOOKUP($A3,'R (s08)'!$B:$B,'R (s08)'!E:E,"Falta")</f>
        <v>0</v>
      </c>
      <c r="D3" s="104">
        <f>+_xlfn.XLOOKUP($A3,'R (s08)'!$B:$B,'R (s08)'!F:F,"Falta")</f>
        <v>0</v>
      </c>
      <c r="E3" s="104">
        <f>+_xlfn.XLOOKUP($A3,'R (s08)'!$B:$B,'R (s08)'!G:G,"Falta")</f>
        <v>1</v>
      </c>
      <c r="F3" s="105">
        <f>IFERROR(_xlfn.XLOOKUP(A3,diario!D:D,diario!L:L,"")*1000,"")</f>
        <v>24</v>
      </c>
      <c r="G3" s="107">
        <v>24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7">
        <f t="shared" ref="F5:K5" si="0">SUM(F2:F3)</f>
        <v>3524</v>
      </c>
      <c r="G5" s="107">
        <f t="shared" si="0"/>
        <v>3524</v>
      </c>
      <c r="H5" s="126">
        <f t="shared" si="0"/>
        <v>0</v>
      </c>
      <c r="I5" s="126">
        <f t="shared" si="0"/>
        <v>0</v>
      </c>
      <c r="J5" s="126">
        <f t="shared" si="0"/>
        <v>0</v>
      </c>
      <c r="K5" s="127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18" priority="1">
      <formula>IF(OR(B2="Falta",B2=0)=TRUE,TRUE,FALSE)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zoomScale="130" zoomScaleNormal="130" workbookViewId="0">
      <selection activeCell="A2" sqref="A2:C22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47" t="s">
        <v>261</v>
      </c>
      <c r="C2" s="46">
        <v>24000</v>
      </c>
      <c r="D2" s="47"/>
      <c r="E2" s="49"/>
      <c r="F2" s="337" t="s">
        <v>180</v>
      </c>
      <c r="G2" s="338">
        <f>+'Summary S01'!H43</f>
        <v>66.918000000000006</v>
      </c>
    </row>
    <row r="3" spans="1:7" x14ac:dyDescent="0.3">
      <c r="A3" s="45">
        <v>2</v>
      </c>
      <c r="B3" s="147" t="s">
        <v>217</v>
      </c>
      <c r="C3" s="46">
        <v>5872</v>
      </c>
      <c r="D3" s="47"/>
      <c r="F3" s="337" t="s">
        <v>181</v>
      </c>
      <c r="G3" s="338">
        <f>+'Summary S02'!H20</f>
        <v>32.987999999999992</v>
      </c>
    </row>
    <row r="4" spans="1:7" x14ac:dyDescent="0.3">
      <c r="A4" s="45">
        <v>3</v>
      </c>
      <c r="B4" s="147" t="s">
        <v>262</v>
      </c>
      <c r="C4" s="46">
        <v>5788</v>
      </c>
      <c r="D4" s="47"/>
      <c r="F4" s="337" t="s">
        <v>211</v>
      </c>
      <c r="G4" s="338">
        <f>+'Summary S03'!F48/1000</f>
        <v>44.517000000000003</v>
      </c>
    </row>
    <row r="5" spans="1:7" x14ac:dyDescent="0.3">
      <c r="A5" s="45">
        <v>4</v>
      </c>
      <c r="B5" s="147" t="s">
        <v>215</v>
      </c>
      <c r="C5" s="46">
        <v>1880</v>
      </c>
      <c r="D5" s="47"/>
      <c r="F5" s="337" t="s">
        <v>352</v>
      </c>
      <c r="G5" s="338">
        <f>+'Summary S04'!F8/1000</f>
        <v>3.99</v>
      </c>
    </row>
    <row r="6" spans="1:7" x14ac:dyDescent="0.3">
      <c r="A6" s="45">
        <v>5</v>
      </c>
      <c r="B6" s="147" t="s">
        <v>253</v>
      </c>
      <c r="C6" s="46">
        <v>1324</v>
      </c>
      <c r="D6" s="47"/>
      <c r="F6" s="337" t="s">
        <v>380</v>
      </c>
      <c r="G6" s="338">
        <f>+'Summary S06'!F15/1000</f>
        <v>1.6239000000000001</v>
      </c>
    </row>
    <row r="7" spans="1:7" x14ac:dyDescent="0.3">
      <c r="A7" s="45">
        <v>6</v>
      </c>
      <c r="B7" s="147" t="s">
        <v>263</v>
      </c>
      <c r="C7" s="46">
        <v>1100</v>
      </c>
      <c r="D7" s="47"/>
      <c r="F7" s="337" t="s">
        <v>272</v>
      </c>
      <c r="G7" s="338">
        <f>+'Summary S07'!F6/1000</f>
        <v>1.5489999999999999</v>
      </c>
    </row>
    <row r="8" spans="1:7" x14ac:dyDescent="0.3">
      <c r="A8" s="45">
        <v>7</v>
      </c>
      <c r="B8" s="147" t="s">
        <v>264</v>
      </c>
      <c r="C8" s="46">
        <v>2077</v>
      </c>
      <c r="D8" s="47"/>
      <c r="F8" s="337" t="s">
        <v>273</v>
      </c>
      <c r="G8" s="338">
        <f>+'Summary S08'!F5/1000</f>
        <v>3.524</v>
      </c>
    </row>
    <row r="9" spans="1:7" x14ac:dyDescent="0.3">
      <c r="A9" s="45">
        <v>8</v>
      </c>
      <c r="B9" s="162" t="s">
        <v>265</v>
      </c>
      <c r="C9" s="178">
        <v>1726</v>
      </c>
      <c r="D9" s="47"/>
      <c r="G9" s="397">
        <f>SUM(G2:G8)</f>
        <v>155.10990000000001</v>
      </c>
    </row>
    <row r="10" spans="1:7" x14ac:dyDescent="0.3">
      <c r="A10" s="45">
        <v>9</v>
      </c>
      <c r="B10" s="164" t="s">
        <v>266</v>
      </c>
      <c r="C10" s="178">
        <v>4300</v>
      </c>
      <c r="D10" s="47"/>
    </row>
    <row r="11" spans="1:7" x14ac:dyDescent="0.3">
      <c r="A11" s="45">
        <v>10</v>
      </c>
      <c r="B11" s="58" t="s">
        <v>267</v>
      </c>
      <c r="C11" s="178">
        <v>31540</v>
      </c>
      <c r="D11" s="47">
        <v>34675</v>
      </c>
      <c r="E11" s="48" t="s">
        <v>268</v>
      </c>
      <c r="F11" s="49"/>
      <c r="G11" s="48">
        <f ca="1">+Grafico!L36</f>
        <v>182.43749999999989</v>
      </c>
    </row>
    <row r="12" spans="1:7" x14ac:dyDescent="0.3">
      <c r="A12" s="45">
        <v>11</v>
      </c>
      <c r="B12" s="58" t="s">
        <v>17</v>
      </c>
      <c r="C12" s="178">
        <v>4216</v>
      </c>
      <c r="D12" s="47">
        <v>2171.3361420000001</v>
      </c>
      <c r="G12" s="48">
        <f>+'R (s04)'!K6/1000</f>
        <v>33.264999999999993</v>
      </c>
    </row>
    <row r="13" spans="1:7" x14ac:dyDescent="0.3">
      <c r="A13" s="45">
        <v>12</v>
      </c>
      <c r="B13" s="58" t="s">
        <v>51</v>
      </c>
      <c r="C13" s="178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78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78">
        <v>13035</v>
      </c>
      <c r="D15" s="47">
        <v>14945</v>
      </c>
      <c r="G15" s="448">
        <f ca="1">+G13/G9</f>
        <v>0.96172133435712281</v>
      </c>
    </row>
    <row r="16" spans="1:7" x14ac:dyDescent="0.3">
      <c r="A16" s="45">
        <v>15</v>
      </c>
      <c r="B16" s="58" t="s">
        <v>21</v>
      </c>
      <c r="C16" s="178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78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78">
        <v>1830</v>
      </c>
      <c r="D18" s="47">
        <v>1222</v>
      </c>
    </row>
    <row r="19" spans="1:7" x14ac:dyDescent="0.3">
      <c r="A19" s="45">
        <v>18</v>
      </c>
      <c r="B19" s="163" t="s">
        <v>270</v>
      </c>
      <c r="C19" s="178">
        <v>27648</v>
      </c>
      <c r="D19" s="47">
        <v>27648</v>
      </c>
    </row>
    <row r="20" spans="1:7" x14ac:dyDescent="0.3">
      <c r="A20" s="45">
        <v>19</v>
      </c>
      <c r="B20" s="163" t="s">
        <v>271</v>
      </c>
      <c r="C20" s="178">
        <v>1197</v>
      </c>
      <c r="D20" s="47">
        <v>1190</v>
      </c>
    </row>
    <row r="21" spans="1:7" x14ac:dyDescent="0.3">
      <c r="A21" s="45">
        <v>20</v>
      </c>
      <c r="B21" s="163" t="s">
        <v>23</v>
      </c>
      <c r="C21" s="178">
        <v>2144</v>
      </c>
      <c r="D21" s="47">
        <v>2185</v>
      </c>
    </row>
    <row r="22" spans="1:7" x14ac:dyDescent="0.3">
      <c r="A22" s="45">
        <v>21</v>
      </c>
      <c r="B22" s="163" t="s">
        <v>24</v>
      </c>
      <c r="C22" s="178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47"/>
  </cols>
  <sheetData>
    <row r="3" spans="2:6" ht="31.5" customHeight="1" x14ac:dyDescent="0.25">
      <c r="C3" s="492" t="s">
        <v>591</v>
      </c>
      <c r="D3" s="492" t="s">
        <v>592</v>
      </c>
      <c r="E3" s="492" t="s">
        <v>593</v>
      </c>
      <c r="F3" s="492" t="s">
        <v>594</v>
      </c>
    </row>
    <row r="4" spans="2:6" ht="34.5" customHeight="1" x14ac:dyDescent="0.25">
      <c r="B4" s="496">
        <v>46294</v>
      </c>
      <c r="C4" s="493" t="s">
        <v>595</v>
      </c>
      <c r="D4" s="494" t="s">
        <v>596</v>
      </c>
      <c r="E4" s="495" t="s">
        <v>597</v>
      </c>
      <c r="F4" s="555" t="s">
        <v>648</v>
      </c>
    </row>
    <row r="5" spans="2:6" ht="34.5" customHeight="1" x14ac:dyDescent="0.25">
      <c r="B5" s="496">
        <v>46294</v>
      </c>
      <c r="C5" s="493" t="s">
        <v>598</v>
      </c>
      <c r="D5" s="494" t="s">
        <v>599</v>
      </c>
      <c r="E5" s="495" t="s">
        <v>597</v>
      </c>
      <c r="F5" s="555" t="s">
        <v>648</v>
      </c>
    </row>
    <row r="6" spans="2:6" ht="34.5" customHeight="1" x14ac:dyDescent="0.25">
      <c r="B6" s="496">
        <v>46297</v>
      </c>
      <c r="C6" s="493" t="s">
        <v>600</v>
      </c>
      <c r="D6" s="494" t="s">
        <v>601</v>
      </c>
      <c r="E6" s="495" t="s">
        <v>602</v>
      </c>
      <c r="F6" s="555" t="s">
        <v>648</v>
      </c>
    </row>
    <row r="7" spans="2:6" ht="34.5" customHeight="1" x14ac:dyDescent="0.25">
      <c r="B7" s="496">
        <v>46296</v>
      </c>
      <c r="C7" s="493" t="s">
        <v>603</v>
      </c>
      <c r="D7" s="494" t="s">
        <v>604</v>
      </c>
      <c r="E7" s="495" t="s">
        <v>602</v>
      </c>
      <c r="F7" s="555" t="s">
        <v>648</v>
      </c>
    </row>
    <row r="8" spans="2:6" ht="34.5" customHeight="1" x14ac:dyDescent="0.25">
      <c r="B8" s="496">
        <v>46294</v>
      </c>
      <c r="C8" s="493" t="s">
        <v>605</v>
      </c>
      <c r="D8" s="494" t="s">
        <v>606</v>
      </c>
      <c r="E8" s="495" t="s">
        <v>602</v>
      </c>
      <c r="F8" s="555" t="s">
        <v>648</v>
      </c>
    </row>
    <row r="9" spans="2:6" ht="34.5" customHeight="1" x14ac:dyDescent="0.25">
      <c r="B9" s="496">
        <v>46296</v>
      </c>
      <c r="C9" s="493" t="s">
        <v>607</v>
      </c>
      <c r="D9" s="494" t="s">
        <v>608</v>
      </c>
      <c r="E9" s="495" t="s">
        <v>609</v>
      </c>
      <c r="F9" s="555" t="s">
        <v>648</v>
      </c>
    </row>
    <row r="10" spans="2:6" ht="34.5" customHeight="1" x14ac:dyDescent="0.25">
      <c r="B10" s="496">
        <v>46297</v>
      </c>
      <c r="C10" s="493" t="s">
        <v>610</v>
      </c>
      <c r="D10" s="494" t="s">
        <v>611</v>
      </c>
      <c r="E10" s="495" t="s">
        <v>609</v>
      </c>
      <c r="F10" s="555" t="s">
        <v>648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28" customFormat="1" ht="77.25" customHeight="1" x14ac:dyDescent="0.25">
      <c r="B1" s="320">
        <v>2532.81</v>
      </c>
      <c r="C1" s="320">
        <v>3250.01</v>
      </c>
      <c r="D1" s="320">
        <v>985.32</v>
      </c>
      <c r="E1" s="320">
        <v>1062.92</v>
      </c>
      <c r="F1" s="320">
        <v>1337.25</v>
      </c>
      <c r="G1" s="320">
        <v>1581.21</v>
      </c>
      <c r="H1" s="320">
        <v>14521.41</v>
      </c>
      <c r="I1" s="321">
        <v>13555.63</v>
      </c>
      <c r="J1" s="320">
        <v>13555.63</v>
      </c>
      <c r="K1" s="321">
        <v>13696.28</v>
      </c>
      <c r="L1" s="320">
        <v>4658</v>
      </c>
      <c r="M1" s="320">
        <v>2257.42</v>
      </c>
      <c r="N1" s="320">
        <v>3540.12</v>
      </c>
      <c r="O1" s="320">
        <v>2646.28</v>
      </c>
      <c r="P1" s="320">
        <v>1970.65</v>
      </c>
      <c r="Q1" s="320">
        <v>7585.99</v>
      </c>
      <c r="R1" s="320">
        <v>1765.59</v>
      </c>
      <c r="S1" s="320">
        <v>1934.59</v>
      </c>
      <c r="T1" s="320">
        <v>1960.59</v>
      </c>
      <c r="U1" s="320">
        <v>2220.59</v>
      </c>
      <c r="V1" s="320">
        <v>2220.59</v>
      </c>
      <c r="W1" s="320">
        <v>2090.59</v>
      </c>
      <c r="X1" s="320">
        <v>2090.59</v>
      </c>
      <c r="Y1" s="320">
        <v>656</v>
      </c>
      <c r="Z1" s="320">
        <v>4676</v>
      </c>
      <c r="AA1" s="320">
        <v>4124.2700000000004</v>
      </c>
      <c r="AB1" s="320">
        <v>5020.99</v>
      </c>
      <c r="AC1" s="320">
        <v>3652.99</v>
      </c>
      <c r="AD1" s="320">
        <v>3201.98</v>
      </c>
      <c r="AE1" s="320">
        <v>6840</v>
      </c>
      <c r="AF1" s="320">
        <v>2052</v>
      </c>
      <c r="AG1" s="320">
        <v>3420</v>
      </c>
      <c r="AH1" s="320">
        <v>4212.3599999999997</v>
      </c>
      <c r="AI1" s="320">
        <v>1368</v>
      </c>
      <c r="AJ1" s="320">
        <v>7244.35</v>
      </c>
      <c r="AK1" s="320">
        <v>6977.93</v>
      </c>
      <c r="AL1" s="320">
        <v>8275.99</v>
      </c>
      <c r="AM1" s="320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88">
        <v>3.1</v>
      </c>
      <c r="Q2" s="388">
        <v>3.2</v>
      </c>
      <c r="R2" s="388" t="s">
        <v>122</v>
      </c>
      <c r="S2" s="388" t="s">
        <v>124</v>
      </c>
      <c r="T2" s="388" t="s">
        <v>127</v>
      </c>
      <c r="U2" s="388" t="s">
        <v>129</v>
      </c>
      <c r="V2" s="388" t="s">
        <v>131</v>
      </c>
      <c r="W2" s="388" t="s">
        <v>133</v>
      </c>
      <c r="X2" s="388" t="s">
        <v>135</v>
      </c>
      <c r="Y2" s="388" t="s">
        <v>137</v>
      </c>
      <c r="Z2" s="388" t="s">
        <v>139</v>
      </c>
      <c r="AA2" s="388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38">
        <v>45901</v>
      </c>
      <c r="B3" s="227">
        <f>+SUMIFS(Tabla1[Avance_Med],Tabla1[Fecha],"&gt;="&amp;$A3,Tabla1[Fecha],"&lt;="&amp;EOMONTH($A3,0),Tabla1[Codigo_actividad],B$2)</f>
        <v>0</v>
      </c>
      <c r="C3" s="227">
        <f>+SUMIFS(Tabla1[Avance_Med],Tabla1[Fecha],"&gt;="&amp;$A3,Tabla1[Fecha],"&lt;="&amp;EOMONTH($A3,0),Tabla1[Codigo_actividad],C$2)</f>
        <v>0</v>
      </c>
      <c r="D3" s="227">
        <f>+SUMIFS(Tabla1[Avance_Med],Tabla1[Fecha],"&gt;="&amp;$A3,Tabla1[Fecha],"&lt;="&amp;EOMONTH($A3,0),Tabla1[Codigo_actividad],D$2)</f>
        <v>0</v>
      </c>
      <c r="E3" s="227">
        <f>+SUMIFS(Tabla1[Avance_Med],Tabla1[Fecha],"&gt;="&amp;$A3,Tabla1[Fecha],"&lt;="&amp;EOMONTH($A3,0),Tabla1[Codigo_actividad],E$2)</f>
        <v>0</v>
      </c>
      <c r="F3" s="227">
        <f>+SUMIFS(Tabla1[Avance_Med],Tabla1[Fecha],"&gt;="&amp;$A3,Tabla1[Fecha],"&lt;="&amp;EOMONTH($A3,0),Tabla1[Codigo_actividad],F$2)</f>
        <v>0</v>
      </c>
      <c r="G3" s="227">
        <f>+SUMIFS(Tabla1[Avance_Med],Tabla1[Fecha],"&gt;="&amp;$A3,Tabla1[Fecha],"&lt;="&amp;EOMONTH($A3,0),Tabla1[Codigo_actividad],G$2)</f>
        <v>0</v>
      </c>
      <c r="H3" s="227">
        <f>+SUMIFS(Tabla1[Avance_km],Tabla1[Fecha],"&gt;="&amp;$A3,Tabla1[Fecha],"&lt;="&amp;EOMONTH($A3,0),Tabla1[Codigo_actividad],H$2)</f>
        <v>0</v>
      </c>
      <c r="I3" s="227">
        <f>+SUMIFS(Tabla1[Avance_km],Tabla1[Fecha],"&gt;="&amp;$A3,Tabla1[Fecha],"&lt;="&amp;EOMONTH($A3,0),Tabla1[Codigo_actividad],I$2)</f>
        <v>0</v>
      </c>
      <c r="J3" s="227">
        <f>+SUMIFS(Tabla1[Avance_km],Tabla1[Fecha],"&gt;="&amp;$A3,Tabla1[Fecha],"&lt;="&amp;EOMONTH($A3,0),Tabla1[Codigo_actividad],J$2,Tabla1[Avance_km],"&gt;0")</f>
        <v>0</v>
      </c>
      <c r="K3" s="339">
        <f>+SUMIFS(Tabla1[Avance_km],Tabla1[Fecha],"&gt;="&amp;$A3,Tabla1[Fecha],"&lt;="&amp;EOMONTH($A3,0),Tabla1[Codigo_actividad],K$2)</f>
        <v>0</v>
      </c>
      <c r="L3" s="227">
        <f>+SUMIFS(Tabla1[Avance_Med],Tabla1[Fecha],"&gt;="&amp;$A3,Tabla1[Fecha],"&lt;="&amp;EOMONTH($A3,0),Tabla1[Codigo_actividad],L$2)</f>
        <v>0</v>
      </c>
      <c r="M3" s="227">
        <f>+SUMIFS(Tabla1[Avance_km],Tabla1[Fecha],"&gt;="&amp;$A3,Tabla1[Fecha],"&lt;="&amp;EOMONTH($A3,0),Tabla1[Codigo_actividad],M$2)</f>
        <v>0</v>
      </c>
      <c r="N3" s="227">
        <f>+SUMIFS(Tabla1[Avance_Med],Tabla1[Fecha],"&gt;="&amp;$A3,Tabla1[Fecha],"&lt;="&amp;EOMONTH($A3,0),Tabla1[Codigo_actividad],N$2)</f>
        <v>0</v>
      </c>
      <c r="O3" s="227">
        <f>+SUMIFS(Tabla1[Avance_Med],Tabla1[Fecha],"&gt;="&amp;$A3,Tabla1[Fecha],"&lt;="&amp;EOMONTH($A3,0),Tabla1[Codigo_actividad],O$2)</f>
        <v>0</v>
      </c>
      <c r="P3" s="227">
        <f>+SUMIFS(Tabla1[Avance_Med],Tabla1[Fecha],"&gt;="&amp;$A3,Tabla1[Fecha],"&lt;="&amp;EOMONTH($A3,0),Tabla1[Codigo_actividad],P$2)</f>
        <v>0</v>
      </c>
      <c r="Q3" s="227">
        <f>+SUMIFS(Tabla1[Avance_Med],Tabla1[Fecha],"&gt;="&amp;$A3,Tabla1[Fecha],"&lt;="&amp;EOMONTH($A3,0),Tabla1[Codigo_actividad],Q$2)</f>
        <v>0</v>
      </c>
      <c r="R3" s="227">
        <f>+SUMIFS(Tabla1[Avance_Med],Tabla1[Fecha],"&gt;="&amp;$A3,Tabla1[Fecha],"&lt;="&amp;EOMONTH($A3,0),Tabla1[Codigo_actividad],R$2)</f>
        <v>0</v>
      </c>
      <c r="S3" s="227">
        <f>+SUMIFS(Tabla1[Avance_Med],Tabla1[Fecha],"&gt;="&amp;$A3,Tabla1[Fecha],"&lt;="&amp;EOMONTH($A3,0),Tabla1[Codigo_actividad],S$2)</f>
        <v>0</v>
      </c>
      <c r="T3" s="227">
        <f>+SUMIFS(Tabla1[Avance_Med],Tabla1[Fecha],"&gt;="&amp;$A3,Tabla1[Fecha],"&lt;="&amp;EOMONTH($A3,0),Tabla1[Codigo_actividad],T$2)</f>
        <v>0</v>
      </c>
      <c r="U3" s="227">
        <f>+SUMIFS(Tabla1[Avance_Med],Tabla1[Fecha],"&gt;="&amp;$A3,Tabla1[Fecha],"&lt;="&amp;EOMONTH($A3,0),Tabla1[Codigo_actividad],U$2)</f>
        <v>0</v>
      </c>
      <c r="V3" s="227">
        <f>+SUMIFS(Tabla1[Avance_Med],Tabla1[Fecha],"&gt;="&amp;$A3,Tabla1[Fecha],"&lt;="&amp;EOMONTH($A3,0),Tabla1[Codigo_actividad],V$2)</f>
        <v>0</v>
      </c>
      <c r="W3" s="227">
        <f>+SUMIFS(Tabla1[Avance_Med],Tabla1[Fecha],"&gt;="&amp;$A3,Tabla1[Fecha],"&lt;="&amp;EOMONTH($A3,0),Tabla1[Codigo_actividad],W$2)</f>
        <v>0</v>
      </c>
      <c r="X3" s="227">
        <f>+SUMIFS(Tabla1[Avance_Med],Tabla1[Fecha],"&gt;="&amp;$A3,Tabla1[Fecha],"&lt;="&amp;EOMONTH($A3,0),Tabla1[Codigo_actividad],X$2)</f>
        <v>0</v>
      </c>
      <c r="Y3" s="227">
        <f>+SUMIFS(Tabla1[Avance_Med],Tabla1[Fecha],"&gt;="&amp;$A3,Tabla1[Fecha],"&lt;="&amp;EOMONTH($A3,0),Tabla1[Codigo_actividad],Y$2)</f>
        <v>0</v>
      </c>
      <c r="Z3" s="227">
        <f>+SUMIFS(Tabla1[Avance_Med],Tabla1[Fecha],"&gt;="&amp;$A3,Tabla1[Fecha],"&lt;="&amp;EOMONTH($A3,0),Tabla1[Codigo_actividad],Z$2)</f>
        <v>0</v>
      </c>
      <c r="AA3" s="227">
        <f>+SUMIFS(Tabla1[Avance_Med],Tabla1[Fecha],"&gt;="&amp;$A3,Tabla1[Fecha],"&lt;="&amp;EOMONTH($A3,0),Tabla1[Codigo_actividad],AA$2)</f>
        <v>0</v>
      </c>
      <c r="AB3" s="227">
        <f>+SUMIFS(Tabla1[Avance_Med],Tabla1[Fecha],"&gt;="&amp;$A3,Tabla1[Fecha],"&lt;="&amp;EOMONTH($A3,0),Tabla1[Codigo_actividad],AB$2)</f>
        <v>0</v>
      </c>
      <c r="AC3" s="227">
        <f>+SUMIFS(Tabla1[Avance_Med],Tabla1[Fecha],"&gt;="&amp;$A3,Tabla1[Fecha],"&lt;="&amp;EOMONTH($A3,0),Tabla1[Codigo_actividad],AC$2)</f>
        <v>0</v>
      </c>
      <c r="AD3" s="227">
        <f>+SUMIFS(Tabla1[Avance_Med],Tabla1[Fecha],"&gt;="&amp;$A3,Tabla1[Fecha],"&lt;="&amp;EOMONTH($A3,0),Tabla1[Codigo_actividad],AD$2)</f>
        <v>0</v>
      </c>
      <c r="AE3" s="227">
        <f>+SUMIFS(Tabla1[Avance_Med],Tabla1[Fecha],"&gt;="&amp;$A3,Tabla1[Fecha],"&lt;="&amp;EOMONTH($A3,0),Tabla1[Codigo_actividad],AE$2)</f>
        <v>0</v>
      </c>
      <c r="AF3" s="227">
        <f>+SUMIFS(Tabla1[Avance_Med],Tabla1[Fecha],"&gt;="&amp;$A3,Tabla1[Fecha],"&lt;="&amp;EOMONTH($A3,0),Tabla1[Codigo_actividad],AF$2)</f>
        <v>0</v>
      </c>
      <c r="AG3" s="227">
        <f>+SUMIFS(Tabla1[Avance_Med],Tabla1[Fecha],"&gt;="&amp;$A3,Tabla1[Fecha],"&lt;="&amp;EOMONTH($A3,0),Tabla1[Codigo_actividad],AG$2)</f>
        <v>0</v>
      </c>
      <c r="AH3" s="227">
        <f>+SUMIFS(Tabla1[Avance_Med],Tabla1[Fecha],"&gt;="&amp;$A3,Tabla1[Fecha],"&lt;="&amp;EOMONTH($A3,0),Tabla1[Codigo_actividad],AH$2)</f>
        <v>0</v>
      </c>
      <c r="AI3" s="227">
        <f>+SUMIFS(Tabla1[Avance_Med],Tabla1[Fecha],"&gt;="&amp;$A3,Tabla1[Fecha],"&lt;="&amp;EOMONTH($A3,0),Tabla1[Codigo_actividad],AI$2)</f>
        <v>0</v>
      </c>
      <c r="AJ3" s="227">
        <f>+SUMIFS(Tabla1[Avance_Med],Tabla1[Fecha],"&gt;="&amp;$A3,Tabla1[Fecha],"&lt;="&amp;EOMONTH($A3,0),Tabla1[Codigo_actividad],AJ$2)</f>
        <v>0</v>
      </c>
      <c r="AK3" s="227">
        <f>+SUMIFS(Tabla1[Avance_Med],Tabla1[Fecha],"&gt;="&amp;$A3,Tabla1[Fecha],"&lt;="&amp;EOMONTH($A3,0),Tabla1[Codigo_actividad],AK$2)</f>
        <v>0</v>
      </c>
      <c r="AL3" s="227">
        <f>+SUMIFS(Tabla1[Avance_Med],Tabla1[Fecha],"&gt;="&amp;$A3,Tabla1[Fecha],"&lt;="&amp;EOMONTH($A3,0),Tabla1[Codigo_actividad],AL$2)</f>
        <v>0</v>
      </c>
      <c r="AM3" s="227">
        <f>+SUMIFS(Tabla1[Avance_Med],Tabla1[Fecha],"&gt;="&amp;$A3,Tabla1[Fecha],"&lt;="&amp;EOMONTH($A3,0),Tabla1[Codigo_actividad],AM$2)</f>
        <v>0</v>
      </c>
      <c r="AN3" s="438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38">
        <v>45931</v>
      </c>
      <c r="B4" s="227">
        <f>+SUMIFS(Tabla1[Avance_Med],Tabla1[Fecha],"&gt;="&amp;$A4,Tabla1[Fecha],"&lt;="&amp;EOMONTH($A4,0),Tabla1[Codigo_actividad],B$2)</f>
        <v>0</v>
      </c>
      <c r="C4" s="227">
        <f>+SUMIFS(Tabla1[Avance_Med],Tabla1[Fecha],"&gt;="&amp;$A4,Tabla1[Fecha],"&lt;="&amp;EOMONTH($A4,0),Tabla1[Codigo_actividad],C$2)</f>
        <v>0</v>
      </c>
      <c r="D4" s="227">
        <f>+SUMIFS(Tabla1[Avance_Med],Tabla1[Fecha],"&gt;="&amp;$A4,Tabla1[Fecha],"&lt;="&amp;EOMONTH($A4,0),Tabla1[Codigo_actividad],D$2)</f>
        <v>0</v>
      </c>
      <c r="E4" s="227">
        <f>+SUMIFS(Tabla1[Avance_Med],Tabla1[Fecha],"&gt;="&amp;$A4,Tabla1[Fecha],"&lt;="&amp;EOMONTH($A4,0),Tabla1[Codigo_actividad],E$2)</f>
        <v>0</v>
      </c>
      <c r="F4" s="227">
        <f>+SUMIFS(Tabla1[Avance_Med],Tabla1[Fecha],"&gt;="&amp;$A4,Tabla1[Fecha],"&lt;="&amp;EOMONTH($A4,0),Tabla1[Codigo_actividad],F$2)</f>
        <v>0</v>
      </c>
      <c r="G4" s="227">
        <f>+SUMIFS(Tabla1[Avance_Med],Tabla1[Fecha],"&gt;="&amp;$A4,Tabla1[Fecha],"&lt;="&amp;EOMONTH($A4,0),Tabla1[Codigo_actividad],G$2)</f>
        <v>0</v>
      </c>
      <c r="H4" s="227">
        <f>+SUMIFS(Tabla1[Avance_km],Tabla1[Fecha],"&gt;="&amp;$A4,Tabla1[Fecha],"&lt;="&amp;EOMONTH($A4,0),Tabla1[Codigo_actividad],H$2)</f>
        <v>0</v>
      </c>
      <c r="I4" s="227">
        <f>+SUMIFS(Tabla1[Avance_km],Tabla1[Fecha],"&gt;="&amp;$A4,Tabla1[Fecha],"&lt;="&amp;EOMONTH($A4,0),Tabla1[Codigo_actividad],I$2)</f>
        <v>0</v>
      </c>
      <c r="J4" s="227">
        <f>+SUMIFS(Tabla1[Avance_km],Tabla1[Fecha],"&gt;="&amp;$A4,Tabla1[Fecha],"&lt;="&amp;EOMONTH($A4,0),Tabla1[Codigo_actividad],J$2,Tabla1[Avance_km],"&gt;0")</f>
        <v>0</v>
      </c>
      <c r="K4" s="339">
        <f>+SUMIFS(Tabla1[Avance_km],Tabla1[Fecha],"&gt;="&amp;$A4,Tabla1[Fecha],"&lt;="&amp;EOMONTH($A4,0),Tabla1[Codigo_actividad],K$2)</f>
        <v>0</v>
      </c>
      <c r="L4" s="227">
        <f>+SUMIFS(Tabla1[Avance_Med],Tabla1[Fecha],"&gt;="&amp;$A4,Tabla1[Fecha],"&lt;="&amp;EOMONTH($A4,0),Tabla1[Codigo_actividad],L$2)</f>
        <v>0</v>
      </c>
      <c r="M4" s="227">
        <f>+SUMIFS(Tabla1[Avance_km],Tabla1[Fecha],"&gt;="&amp;$A4,Tabla1[Fecha],"&lt;="&amp;EOMONTH($A4,0),Tabla1[Codigo_actividad],M$2)</f>
        <v>0</v>
      </c>
      <c r="N4" s="227">
        <f>+SUMIFS(Tabla1[Avance_Med],Tabla1[Fecha],"&gt;="&amp;$A4,Tabla1[Fecha],"&lt;="&amp;EOMONTH($A4,0),Tabla1[Codigo_actividad],N$2)</f>
        <v>0</v>
      </c>
      <c r="O4" s="227">
        <f>+SUMIFS(Tabla1[Avance_Med],Tabla1[Fecha],"&gt;="&amp;$A4,Tabla1[Fecha],"&lt;="&amp;EOMONTH($A4,0),Tabla1[Codigo_actividad],O$2)</f>
        <v>0</v>
      </c>
      <c r="P4" s="227">
        <f>+SUMIFS(Tabla1[Avance_Med],Tabla1[Fecha],"&gt;="&amp;$A4,Tabla1[Fecha],"&lt;="&amp;EOMONTH($A4,0),Tabla1[Codigo_actividad],P$2)</f>
        <v>0</v>
      </c>
      <c r="Q4" s="227">
        <f>+SUMIFS(Tabla1[Avance_Med],Tabla1[Fecha],"&gt;="&amp;$A4,Tabla1[Fecha],"&lt;="&amp;EOMONTH($A4,0),Tabla1[Codigo_actividad],Q$2)</f>
        <v>0</v>
      </c>
      <c r="R4" s="227">
        <f>+SUMIFS(Tabla1[Avance_Med],Tabla1[Fecha],"&gt;="&amp;$A4,Tabla1[Fecha],"&lt;="&amp;EOMONTH($A4,0),Tabla1[Codigo_actividad],R$2)</f>
        <v>0</v>
      </c>
      <c r="S4" s="227">
        <f>+SUMIFS(Tabla1[Avance_Med],Tabla1[Fecha],"&gt;="&amp;$A4,Tabla1[Fecha],"&lt;="&amp;EOMONTH($A4,0),Tabla1[Codigo_actividad],S$2)</f>
        <v>0</v>
      </c>
      <c r="T4" s="227">
        <f>+SUMIFS(Tabla1[Avance_Med],Tabla1[Fecha],"&gt;="&amp;$A4,Tabla1[Fecha],"&lt;="&amp;EOMONTH($A4,0),Tabla1[Codigo_actividad],T$2)</f>
        <v>0</v>
      </c>
      <c r="U4" s="227">
        <f>+SUMIFS(Tabla1[Avance_Med],Tabla1[Fecha],"&gt;="&amp;$A4,Tabla1[Fecha],"&lt;="&amp;EOMONTH($A4,0),Tabla1[Codigo_actividad],U$2)</f>
        <v>0</v>
      </c>
      <c r="V4" s="227">
        <f>+SUMIFS(Tabla1[Avance_Med],Tabla1[Fecha],"&gt;="&amp;$A4,Tabla1[Fecha],"&lt;="&amp;EOMONTH($A4,0),Tabla1[Codigo_actividad],V$2)</f>
        <v>0</v>
      </c>
      <c r="W4" s="227">
        <f>+SUMIFS(Tabla1[Avance_Med],Tabla1[Fecha],"&gt;="&amp;$A4,Tabla1[Fecha],"&lt;="&amp;EOMONTH($A4,0),Tabla1[Codigo_actividad],W$2)</f>
        <v>0</v>
      </c>
      <c r="X4" s="227">
        <f>+SUMIFS(Tabla1[Avance_Med],Tabla1[Fecha],"&gt;="&amp;$A4,Tabla1[Fecha],"&lt;="&amp;EOMONTH($A4,0),Tabla1[Codigo_actividad],X$2)</f>
        <v>0</v>
      </c>
      <c r="Y4" s="227">
        <f>+SUMIFS(Tabla1[Avance_Med],Tabla1[Fecha],"&gt;="&amp;$A4,Tabla1[Fecha],"&lt;="&amp;EOMONTH($A4,0),Tabla1[Codigo_actividad],Y$2)</f>
        <v>0</v>
      </c>
      <c r="Z4" s="227">
        <f>+SUMIFS(Tabla1[Avance_Med],Tabla1[Fecha],"&gt;="&amp;$A4,Tabla1[Fecha],"&lt;="&amp;EOMONTH($A4,0),Tabla1[Codigo_actividad],Z$2)</f>
        <v>0</v>
      </c>
      <c r="AA4" s="227">
        <f>+SUMIFS(Tabla1[Avance_Med],Tabla1[Fecha],"&gt;="&amp;$A4,Tabla1[Fecha],"&lt;="&amp;EOMONTH($A4,0),Tabla1[Codigo_actividad],AA$2)</f>
        <v>0</v>
      </c>
      <c r="AB4" s="227">
        <f>+SUMIFS(Tabla1[Avance_Med],Tabla1[Fecha],"&gt;="&amp;$A4,Tabla1[Fecha],"&lt;="&amp;EOMONTH($A4,0),Tabla1[Codigo_actividad],AB$2)</f>
        <v>0</v>
      </c>
      <c r="AC4" s="227">
        <f>+SUMIFS(Tabla1[Avance_Med],Tabla1[Fecha],"&gt;="&amp;$A4,Tabla1[Fecha],"&lt;="&amp;EOMONTH($A4,0),Tabla1[Codigo_actividad],AC$2)</f>
        <v>0</v>
      </c>
      <c r="AD4" s="227">
        <f>+SUMIFS(Tabla1[Avance_Med],Tabla1[Fecha],"&gt;="&amp;$A4,Tabla1[Fecha],"&lt;="&amp;EOMONTH($A4,0),Tabla1[Codigo_actividad],AD$2)</f>
        <v>0</v>
      </c>
      <c r="AE4" s="227">
        <f>+SUMIFS(Tabla1[Avance_Med],Tabla1[Fecha],"&gt;="&amp;$A4,Tabla1[Fecha],"&lt;="&amp;EOMONTH($A4,0),Tabla1[Codigo_actividad],AE$2)</f>
        <v>0</v>
      </c>
      <c r="AF4" s="227">
        <f>+SUMIFS(Tabla1[Avance_Med],Tabla1[Fecha],"&gt;="&amp;$A4,Tabla1[Fecha],"&lt;="&amp;EOMONTH($A4,0),Tabla1[Codigo_actividad],AF$2)</f>
        <v>0</v>
      </c>
      <c r="AG4" s="227">
        <f>+SUMIFS(Tabla1[Avance_Med],Tabla1[Fecha],"&gt;="&amp;$A4,Tabla1[Fecha],"&lt;="&amp;EOMONTH($A4,0),Tabla1[Codigo_actividad],AG$2)</f>
        <v>0</v>
      </c>
      <c r="AH4" s="227">
        <f>+SUMIFS(Tabla1[Avance_Med],Tabla1[Fecha],"&gt;="&amp;$A4,Tabla1[Fecha],"&lt;="&amp;EOMONTH($A4,0),Tabla1[Codigo_actividad],AH$2)</f>
        <v>0</v>
      </c>
      <c r="AI4" s="227">
        <f>+SUMIFS(Tabla1[Avance_Med],Tabla1[Fecha],"&gt;="&amp;$A4,Tabla1[Fecha],"&lt;="&amp;EOMONTH($A4,0),Tabla1[Codigo_actividad],AI$2)</f>
        <v>0</v>
      </c>
      <c r="AJ4" s="227">
        <f>+SUMIFS(Tabla1[Avance_Med],Tabla1[Fecha],"&gt;="&amp;$A4,Tabla1[Fecha],"&lt;="&amp;EOMONTH($A4,0),Tabla1[Codigo_actividad],AJ$2)</f>
        <v>0</v>
      </c>
      <c r="AK4" s="227">
        <f>+SUMIFS(Tabla1[Avance_Med],Tabla1[Fecha],"&gt;="&amp;$A4,Tabla1[Fecha],"&lt;="&amp;EOMONTH($A4,0),Tabla1[Codigo_actividad],AK$2)</f>
        <v>0</v>
      </c>
      <c r="AL4" s="227">
        <f>+SUMIFS(Tabla1[Avance_Med],Tabla1[Fecha],"&gt;="&amp;$A4,Tabla1[Fecha],"&lt;="&amp;EOMONTH($A4,0),Tabla1[Codigo_actividad],AL$2)</f>
        <v>0</v>
      </c>
      <c r="AM4" s="227">
        <f>+SUMIFS(Tabla1[Avance_Med],Tabla1[Fecha],"&gt;="&amp;$A4,Tabla1[Fecha],"&lt;="&amp;EOMONTH($A4,0),Tabla1[Codigo_actividad],AM$2)</f>
        <v>0</v>
      </c>
      <c r="AN4" s="438">
        <f>-[1]Dashboard!D62</f>
        <v>-131427.58128000001</v>
      </c>
      <c r="AP4" s="13">
        <f t="shared" si="0"/>
        <v>0</v>
      </c>
    </row>
    <row r="5" spans="1:42" x14ac:dyDescent="0.25">
      <c r="A5" s="238">
        <v>45962</v>
      </c>
      <c r="B5" s="227">
        <f>+SUMIFS(Tabla1[Avance_Med],Tabla1[Fecha],"&gt;="&amp;$A5,Tabla1[Fecha],"&lt;="&amp;EOMONTH($A5,0),Tabla1[Codigo_actividad],B$2)</f>
        <v>0</v>
      </c>
      <c r="C5" s="227">
        <f>+SUMIFS(Tabla1[Avance_Med],Tabla1[Fecha],"&gt;="&amp;$A5,Tabla1[Fecha],"&lt;="&amp;EOMONTH($A5,0),Tabla1[Codigo_actividad],C$2)</f>
        <v>0</v>
      </c>
      <c r="D5" s="227">
        <f>+SUMIFS(Tabla1[Avance_Med],Tabla1[Fecha],"&gt;="&amp;$A5,Tabla1[Fecha],"&lt;="&amp;EOMONTH($A5,0),Tabla1[Codigo_actividad],D$2)</f>
        <v>0</v>
      </c>
      <c r="E5" s="227">
        <f>+SUMIFS(Tabla1[Avance_Med],Tabla1[Fecha],"&gt;="&amp;$A5,Tabla1[Fecha],"&lt;="&amp;EOMONTH($A5,0),Tabla1[Codigo_actividad],E$2)</f>
        <v>0</v>
      </c>
      <c r="F5" s="227">
        <f>+SUMIFS(Tabla1[Avance_Med],Tabla1[Fecha],"&gt;="&amp;$A5,Tabla1[Fecha],"&lt;="&amp;EOMONTH($A5,0),Tabla1[Codigo_actividad],F$2)</f>
        <v>0</v>
      </c>
      <c r="G5" s="227">
        <f>+SUMIFS(Tabla1[Avance_Med],Tabla1[Fecha],"&gt;="&amp;$A5,Tabla1[Fecha],"&lt;="&amp;EOMONTH($A5,0),Tabla1[Codigo_actividad],G$2)</f>
        <v>0</v>
      </c>
      <c r="H5" s="227">
        <f>+SUMIFS(Tabla1[Avance_km],Tabla1[Fecha],"&gt;="&amp;$A5,Tabla1[Fecha],"&lt;="&amp;EOMONTH($A5,0),Tabla1[Codigo_actividad],H$2)</f>
        <v>31.548999999999999</v>
      </c>
      <c r="I5" s="227">
        <f>+SUMIFS(Tabla1[Avance_km],Tabla1[Fecha],"&gt;="&amp;$A5,Tabla1[Fecha],"&lt;="&amp;EOMONTH($A5,0),Tabla1[Codigo_actividad],I$2)</f>
        <v>0</v>
      </c>
      <c r="J5" s="227">
        <f>+SUMIFS(Tabla1[Avance_km],Tabla1[Fecha],"&gt;="&amp;$A5,Tabla1[Fecha],"&lt;="&amp;EOMONTH($A5,0),Tabla1[Codigo_actividad],J$2,Tabla1[Avance_km],"&gt;0")</f>
        <v>53.048999999999999</v>
      </c>
      <c r="K5" s="339">
        <f>+SUMIFS(Tabla1[Avance_km],Tabla1[Fecha],"&gt;="&amp;$A5,Tabla1[Fecha],"&lt;="&amp;EOMONTH($A5,0),Tabla1[Codigo_actividad],K$2)</f>
        <v>0</v>
      </c>
      <c r="L5" s="227">
        <f>+SUMIFS(Tabla1[Avance_Med],Tabla1[Fecha],"&gt;="&amp;$A5,Tabla1[Fecha],"&lt;="&amp;EOMONTH($A5,0),Tabla1[Codigo_actividad],L$2)</f>
        <v>98</v>
      </c>
      <c r="M5" s="227">
        <f>+SUMIFS(Tabla1[Avance_km],Tabla1[Fecha],"&gt;="&amp;$A5,Tabla1[Fecha],"&lt;="&amp;EOMONTH($A5,0),Tabla1[Codigo_actividad],M$2)</f>
        <v>72.02200000000002</v>
      </c>
      <c r="N5" s="227">
        <f>+SUMIFS(Tabla1[Avance_Med],Tabla1[Fecha],"&gt;="&amp;$A5,Tabla1[Fecha],"&lt;="&amp;EOMONTH($A5,0),Tabla1[Codigo_actividad],N$2)</f>
        <v>0</v>
      </c>
      <c r="O5" s="227">
        <f>+SUMIFS(Tabla1[Avance_Med],Tabla1[Fecha],"&gt;="&amp;$A5,Tabla1[Fecha],"&lt;="&amp;EOMONTH($A5,0),Tabla1[Codigo_actividad],O$2)</f>
        <v>0</v>
      </c>
      <c r="P5" s="227">
        <f>+SUMIFS(Tabla1[Avance_Med],Tabla1[Fecha],"&gt;="&amp;$A5,Tabla1[Fecha],"&lt;="&amp;EOMONTH($A5,0),Tabla1[Codigo_actividad],P$2)</f>
        <v>0</v>
      </c>
      <c r="Q5" s="227">
        <f>+SUMIFS(Tabla1[Avance_Med],Tabla1[Fecha],"&gt;="&amp;$A5,Tabla1[Fecha],"&lt;="&amp;EOMONTH($A5,0),Tabla1[Codigo_actividad],Q$2)</f>
        <v>0</v>
      </c>
      <c r="R5" s="227">
        <f>+SUMIFS(Tabla1[Avance_Med],Tabla1[Fecha],"&gt;="&amp;$A5,Tabla1[Fecha],"&lt;="&amp;EOMONTH($A5,0),Tabla1[Codigo_actividad],R$2)</f>
        <v>0</v>
      </c>
      <c r="S5" s="227">
        <f>+SUMIFS(Tabla1[Avance_Med],Tabla1[Fecha],"&gt;="&amp;$A5,Tabla1[Fecha],"&lt;="&amp;EOMONTH($A5,0),Tabla1[Codigo_actividad],S$2)</f>
        <v>0</v>
      </c>
      <c r="T5" s="227">
        <f>+SUMIFS(Tabla1[Avance_Med],Tabla1[Fecha],"&gt;="&amp;$A5,Tabla1[Fecha],"&lt;="&amp;EOMONTH($A5,0),Tabla1[Codigo_actividad],T$2)</f>
        <v>0</v>
      </c>
      <c r="U5" s="227">
        <f>+SUMIFS(Tabla1[Avance_Med],Tabla1[Fecha],"&gt;="&amp;$A5,Tabla1[Fecha],"&lt;="&amp;EOMONTH($A5,0),Tabla1[Codigo_actividad],U$2)</f>
        <v>0</v>
      </c>
      <c r="V5" s="227">
        <f>+SUMIFS(Tabla1[Avance_Med],Tabla1[Fecha],"&gt;="&amp;$A5,Tabla1[Fecha],"&lt;="&amp;EOMONTH($A5,0),Tabla1[Codigo_actividad],V$2)</f>
        <v>0</v>
      </c>
      <c r="W5" s="227">
        <f>+SUMIFS(Tabla1[Avance_Med],Tabla1[Fecha],"&gt;="&amp;$A5,Tabla1[Fecha],"&lt;="&amp;EOMONTH($A5,0),Tabla1[Codigo_actividad],W$2)</f>
        <v>0</v>
      </c>
      <c r="X5" s="227">
        <f>+SUMIFS(Tabla1[Avance_Med],Tabla1[Fecha],"&gt;="&amp;$A5,Tabla1[Fecha],"&lt;="&amp;EOMONTH($A5,0),Tabla1[Codigo_actividad],X$2)</f>
        <v>0</v>
      </c>
      <c r="Y5" s="227">
        <f>+SUMIFS(Tabla1[Avance_Med],Tabla1[Fecha],"&gt;="&amp;$A5,Tabla1[Fecha],"&lt;="&amp;EOMONTH($A5,0),Tabla1[Codigo_actividad],Y$2)</f>
        <v>0</v>
      </c>
      <c r="Z5" s="227">
        <f>+SUMIFS(Tabla1[Avance_Med],Tabla1[Fecha],"&gt;="&amp;$A5,Tabla1[Fecha],"&lt;="&amp;EOMONTH($A5,0),Tabla1[Codigo_actividad],Z$2)</f>
        <v>0</v>
      </c>
      <c r="AA5" s="227">
        <f>+SUMIFS(Tabla1[Avance_Med],Tabla1[Fecha],"&gt;="&amp;$A5,Tabla1[Fecha],"&lt;="&amp;EOMONTH($A5,0),Tabla1[Codigo_actividad],AA$2)</f>
        <v>0</v>
      </c>
      <c r="AB5" s="227">
        <f>+SUMIFS(Tabla1[Avance_Med],Tabla1[Fecha],"&gt;="&amp;$A5,Tabla1[Fecha],"&lt;="&amp;EOMONTH($A5,0),Tabla1[Codigo_actividad],AB$2)</f>
        <v>0</v>
      </c>
      <c r="AC5" s="227">
        <f>+SUMIFS(Tabla1[Avance_Med],Tabla1[Fecha],"&gt;="&amp;$A5,Tabla1[Fecha],"&lt;="&amp;EOMONTH($A5,0),Tabla1[Codigo_actividad],AC$2)</f>
        <v>0</v>
      </c>
      <c r="AD5" s="227">
        <f>+SUMIFS(Tabla1[Avance_Med],Tabla1[Fecha],"&gt;="&amp;$A5,Tabla1[Fecha],"&lt;="&amp;EOMONTH($A5,0),Tabla1[Codigo_actividad],AD$2)</f>
        <v>0</v>
      </c>
      <c r="AE5" s="227">
        <f>+SUMIFS(Tabla1[Avance_Med],Tabla1[Fecha],"&gt;="&amp;$A5,Tabla1[Fecha],"&lt;="&amp;EOMONTH($A5,0),Tabla1[Codigo_actividad],AE$2)</f>
        <v>0</v>
      </c>
      <c r="AF5" s="227">
        <f>+SUMIFS(Tabla1[Avance_Med],Tabla1[Fecha],"&gt;="&amp;$A5,Tabla1[Fecha],"&lt;="&amp;EOMONTH($A5,0),Tabla1[Codigo_actividad],AF$2)</f>
        <v>0</v>
      </c>
      <c r="AG5" s="227">
        <f>+SUMIFS(Tabla1[Avance_Med],Tabla1[Fecha],"&gt;="&amp;$A5,Tabla1[Fecha],"&lt;="&amp;EOMONTH($A5,0),Tabla1[Codigo_actividad],AG$2)</f>
        <v>0</v>
      </c>
      <c r="AH5" s="227">
        <f>+SUMIFS(Tabla1[Avance_Med],Tabla1[Fecha],"&gt;="&amp;$A5,Tabla1[Fecha],"&lt;="&amp;EOMONTH($A5,0),Tabla1[Codigo_actividad],AH$2)</f>
        <v>0</v>
      </c>
      <c r="AI5" s="227">
        <f>+SUMIFS(Tabla1[Avance_Med],Tabla1[Fecha],"&gt;="&amp;$A5,Tabla1[Fecha],"&lt;="&amp;EOMONTH($A5,0),Tabla1[Codigo_actividad],AI$2)</f>
        <v>0</v>
      </c>
      <c r="AJ5" s="227">
        <f>+SUMIFS(Tabla1[Avance_Med],Tabla1[Fecha],"&gt;="&amp;$A5,Tabla1[Fecha],"&lt;="&amp;EOMONTH($A5,0),Tabla1[Codigo_actividad],AJ$2)</f>
        <v>0</v>
      </c>
      <c r="AK5" s="227">
        <f>+SUMIFS(Tabla1[Avance_Med],Tabla1[Fecha],"&gt;="&amp;$A5,Tabla1[Fecha],"&lt;="&amp;EOMONTH($A5,0),Tabla1[Codigo_actividad],AK$2)</f>
        <v>0</v>
      </c>
      <c r="AL5" s="227">
        <f>+SUMIFS(Tabla1[Avance_Med],Tabla1[Fecha],"&gt;="&amp;$A5,Tabla1[Fecha],"&lt;="&amp;EOMONTH($A5,0),Tabla1[Codigo_actividad],AL$2)</f>
        <v>0</v>
      </c>
      <c r="AM5" s="227">
        <f>+SUMIFS(Tabla1[Avance_Med],Tabla1[Fecha],"&gt;="&amp;$A5,Tabla1[Fecha],"&lt;="&amp;EOMONTH($A5,0),Tabla1[Codigo_actividad],AM$2)</f>
        <v>0</v>
      </c>
      <c r="AN5" s="438">
        <f>-[1]Dashboard!D63</f>
        <v>-162389.24028</v>
      </c>
      <c r="AP5" s="13">
        <f t="shared" si="0"/>
        <v>1796316.4832000001</v>
      </c>
    </row>
    <row r="6" spans="1:42" x14ac:dyDescent="0.25">
      <c r="A6" s="238">
        <v>45992</v>
      </c>
      <c r="B6" s="227">
        <f>+SUMIFS(Tabla1[Avance_Med],Tabla1[Fecha],"&gt;="&amp;$A6,Tabla1[Fecha],"&lt;="&amp;EOMONTH($A6,0),Tabla1[Codigo_actividad],B$2)</f>
        <v>0</v>
      </c>
      <c r="C6" s="227">
        <f>+SUMIFS(Tabla1[Avance_Med],Tabla1[Fecha],"&gt;="&amp;$A6,Tabla1[Fecha],"&lt;="&amp;EOMONTH($A6,0),Tabla1[Codigo_actividad],C$2)</f>
        <v>0</v>
      </c>
      <c r="D6" s="227">
        <f>+SUMIFS(Tabla1[Avance_Med],Tabla1[Fecha],"&gt;="&amp;$A6,Tabla1[Fecha],"&lt;="&amp;EOMONTH($A6,0),Tabla1[Codigo_actividad],D$2)</f>
        <v>0</v>
      </c>
      <c r="E6" s="227">
        <f>+SUMIFS(Tabla1[Avance_Med],Tabla1[Fecha],"&gt;="&amp;$A6,Tabla1[Fecha],"&lt;="&amp;EOMONTH($A6,0),Tabla1[Codigo_actividad],E$2)</f>
        <v>0</v>
      </c>
      <c r="F6" s="227">
        <f>+SUMIFS(Tabla1[Avance_Med],Tabla1[Fecha],"&gt;="&amp;$A6,Tabla1[Fecha],"&lt;="&amp;EOMONTH($A6,0),Tabla1[Codigo_actividad],F$2)</f>
        <v>0</v>
      </c>
      <c r="G6" s="227">
        <f>+SUMIFS(Tabla1[Avance_Med],Tabla1[Fecha],"&gt;="&amp;$A6,Tabla1[Fecha],"&lt;="&amp;EOMONTH($A6,0),Tabla1[Codigo_actividad],G$2)</f>
        <v>0</v>
      </c>
      <c r="H6" s="227">
        <f>+SUMIFS(Tabla1[Avance_km],Tabla1[Fecha],"&gt;="&amp;$A6,Tabla1[Fecha],"&lt;="&amp;EOMONTH($A6,0),Tabla1[Codigo_actividad],H$2)</f>
        <v>31.517000000000003</v>
      </c>
      <c r="I6" s="227">
        <f>+SUMIFS(Tabla1[Avance_km],Tabla1[Fecha],"&gt;="&amp;$A6,Tabla1[Fecha],"&lt;="&amp;EOMONTH($A6,0),Tabla1[Codigo_actividad],I$2)</f>
        <v>0</v>
      </c>
      <c r="J6" s="227">
        <f>+SUMIFS(Tabla1[Avance_km],Tabla1[Fecha],"&gt;="&amp;$A6,Tabla1[Fecha],"&lt;="&amp;EOMONTH($A6,0),Tabla1[Codigo_actividad],J$2,Tabla1[Avance_km],"&gt;0")</f>
        <v>31.543999999999993</v>
      </c>
      <c r="K6" s="339">
        <f>+SUMIFS(Tabla1[Avance_km],Tabla1[Fecha],"&gt;="&amp;$A6,Tabla1[Fecha],"&lt;="&amp;EOMONTH($A6,0),Tabla1[Codigo_actividad],K$2)</f>
        <v>0</v>
      </c>
      <c r="L6" s="227">
        <f>+SUMIFS(Tabla1[Avance_Med],Tabla1[Fecha],"&gt;="&amp;$A6,Tabla1[Fecha],"&lt;="&amp;EOMONTH($A6,0),Tabla1[Codigo_actividad],L$2)</f>
        <v>130</v>
      </c>
      <c r="M6" s="227">
        <f>+SUMIFS(Tabla1[Avance_km],Tabla1[Fecha],"&gt;="&amp;$A6,Tabla1[Fecha],"&lt;="&amp;EOMONTH($A6,0),Tabla1[Codigo_actividad],M$2)</f>
        <v>21.183</v>
      </c>
      <c r="N6" s="227">
        <f>+SUMIFS(Tabla1[Avance_Med],Tabla1[Fecha],"&gt;="&amp;$A6,Tabla1[Fecha],"&lt;="&amp;EOMONTH($A6,0),Tabla1[Codigo_actividad],N$2)</f>
        <v>0</v>
      </c>
      <c r="O6" s="227">
        <f>+SUMIFS(Tabla1[Avance_Med],Tabla1[Fecha],"&gt;="&amp;$A6,Tabla1[Fecha],"&lt;="&amp;EOMONTH($A6,0),Tabla1[Codigo_actividad],O$2)</f>
        <v>0</v>
      </c>
      <c r="P6" s="227">
        <f>+SUMIFS(Tabla1[Avance_Med],Tabla1[Fecha],"&gt;="&amp;$A6,Tabla1[Fecha],"&lt;="&amp;EOMONTH($A6,0),Tabla1[Codigo_actividad],P$2)</f>
        <v>0</v>
      </c>
      <c r="Q6" s="227">
        <f>+SUMIFS(Tabla1[Avance_Med],Tabla1[Fecha],"&gt;="&amp;$A6,Tabla1[Fecha],"&lt;="&amp;EOMONTH($A6,0),Tabla1[Codigo_actividad],Q$2)</f>
        <v>0</v>
      </c>
      <c r="R6" s="227">
        <f>+SUMIFS(Tabla1[Avance_Med],Tabla1[Fecha],"&gt;="&amp;$A6,Tabla1[Fecha],"&lt;="&amp;EOMONTH($A6,0),Tabla1[Codigo_actividad],R$2)</f>
        <v>0</v>
      </c>
      <c r="S6" s="227">
        <f>+SUMIFS(Tabla1[Avance_Med],Tabla1[Fecha],"&gt;="&amp;$A6,Tabla1[Fecha],"&lt;="&amp;EOMONTH($A6,0),Tabla1[Codigo_actividad],S$2)</f>
        <v>0</v>
      </c>
      <c r="T6" s="227">
        <f>+SUMIFS(Tabla1[Avance_Med],Tabla1[Fecha],"&gt;="&amp;$A6,Tabla1[Fecha],"&lt;="&amp;EOMONTH($A6,0),Tabla1[Codigo_actividad],T$2)</f>
        <v>0</v>
      </c>
      <c r="U6" s="227">
        <f>+SUMIFS(Tabla1[Avance_Med],Tabla1[Fecha],"&gt;="&amp;$A6,Tabla1[Fecha],"&lt;="&amp;EOMONTH($A6,0),Tabla1[Codigo_actividad],U$2)</f>
        <v>0</v>
      </c>
      <c r="V6" s="227">
        <f>+SUMIFS(Tabla1[Avance_Med],Tabla1[Fecha],"&gt;="&amp;$A6,Tabla1[Fecha],"&lt;="&amp;EOMONTH($A6,0),Tabla1[Codigo_actividad],V$2)</f>
        <v>0</v>
      </c>
      <c r="W6" s="227">
        <f>+SUMIFS(Tabla1[Avance_Med],Tabla1[Fecha],"&gt;="&amp;$A6,Tabla1[Fecha],"&lt;="&amp;EOMONTH($A6,0),Tabla1[Codigo_actividad],W$2)</f>
        <v>0</v>
      </c>
      <c r="X6" s="227">
        <f>+SUMIFS(Tabla1[Avance_Med],Tabla1[Fecha],"&gt;="&amp;$A6,Tabla1[Fecha],"&lt;="&amp;EOMONTH($A6,0),Tabla1[Codigo_actividad],X$2)</f>
        <v>0</v>
      </c>
      <c r="Y6" s="227">
        <f>+SUMIFS(Tabla1[Avance_Med],Tabla1[Fecha],"&gt;="&amp;$A6,Tabla1[Fecha],"&lt;="&amp;EOMONTH($A6,0),Tabla1[Codigo_actividad],Y$2)</f>
        <v>0</v>
      </c>
      <c r="Z6" s="227">
        <f>+SUMIFS(Tabla1[Avance_Med],Tabla1[Fecha],"&gt;="&amp;$A6,Tabla1[Fecha],"&lt;="&amp;EOMONTH($A6,0),Tabla1[Codigo_actividad],Z$2)</f>
        <v>0</v>
      </c>
      <c r="AA6" s="227">
        <f>+SUMIFS(Tabla1[Avance_Med],Tabla1[Fecha],"&gt;="&amp;$A6,Tabla1[Fecha],"&lt;="&amp;EOMONTH($A6,0),Tabla1[Codigo_actividad],AA$2)</f>
        <v>0</v>
      </c>
      <c r="AB6" s="227">
        <f>+SUMIFS(Tabla1[Avance_Med],Tabla1[Fecha],"&gt;="&amp;$A6,Tabla1[Fecha],"&lt;="&amp;EOMONTH($A6,0),Tabla1[Codigo_actividad],AB$2)</f>
        <v>0</v>
      </c>
      <c r="AC6" s="227">
        <f>+SUMIFS(Tabla1[Avance_Med],Tabla1[Fecha],"&gt;="&amp;$A6,Tabla1[Fecha],"&lt;="&amp;EOMONTH($A6,0),Tabla1[Codigo_actividad],AC$2)</f>
        <v>0</v>
      </c>
      <c r="AD6" s="227">
        <f>+SUMIFS(Tabla1[Avance_Med],Tabla1[Fecha],"&gt;="&amp;$A6,Tabla1[Fecha],"&lt;="&amp;EOMONTH($A6,0),Tabla1[Codigo_actividad],AD$2)</f>
        <v>0</v>
      </c>
      <c r="AE6" s="227">
        <f>+SUMIFS(Tabla1[Avance_Med],Tabla1[Fecha],"&gt;="&amp;$A6,Tabla1[Fecha],"&lt;="&amp;EOMONTH($A6,0),Tabla1[Codigo_actividad],AE$2)</f>
        <v>0</v>
      </c>
      <c r="AF6" s="227">
        <f>+SUMIFS(Tabla1[Avance_Med],Tabla1[Fecha],"&gt;="&amp;$A6,Tabla1[Fecha],"&lt;="&amp;EOMONTH($A6,0),Tabla1[Codigo_actividad],AF$2)</f>
        <v>0</v>
      </c>
      <c r="AG6" s="227">
        <f>+SUMIFS(Tabla1[Avance_Med],Tabla1[Fecha],"&gt;="&amp;$A6,Tabla1[Fecha],"&lt;="&amp;EOMONTH($A6,0),Tabla1[Codigo_actividad],AG$2)</f>
        <v>0</v>
      </c>
      <c r="AH6" s="227">
        <f>+SUMIFS(Tabla1[Avance_Med],Tabla1[Fecha],"&gt;="&amp;$A6,Tabla1[Fecha],"&lt;="&amp;EOMONTH($A6,0),Tabla1[Codigo_actividad],AH$2)</f>
        <v>0</v>
      </c>
      <c r="AI6" s="227">
        <f>+SUMIFS(Tabla1[Avance_Med],Tabla1[Fecha],"&gt;="&amp;$A6,Tabla1[Fecha],"&lt;="&amp;EOMONTH($A6,0),Tabla1[Codigo_actividad],AI$2)</f>
        <v>0</v>
      </c>
      <c r="AJ6" s="227">
        <f>+SUMIFS(Tabla1[Avance_Med],Tabla1[Fecha],"&gt;="&amp;$A6,Tabla1[Fecha],"&lt;="&amp;EOMONTH($A6,0),Tabla1[Codigo_actividad],AJ$2)</f>
        <v>0</v>
      </c>
      <c r="AK6" s="227">
        <f>+SUMIFS(Tabla1[Avance_Med],Tabla1[Fecha],"&gt;="&amp;$A6,Tabla1[Fecha],"&lt;="&amp;EOMONTH($A6,0),Tabla1[Codigo_actividad],AK$2)</f>
        <v>0</v>
      </c>
      <c r="AL6" s="227">
        <f>+SUMIFS(Tabla1[Avance_Med],Tabla1[Fecha],"&gt;="&amp;$A6,Tabla1[Fecha],"&lt;="&amp;EOMONTH($A6,0),Tabla1[Codigo_actividad],AL$2)</f>
        <v>0</v>
      </c>
      <c r="AM6" s="227">
        <f>+SUMIFS(Tabla1[Avance_Med],Tabla1[Fecha],"&gt;="&amp;$A6,Tabla1[Fecha],"&lt;="&amp;EOMONTH($A6,0),Tabla1[Codigo_actividad],AM$2)</f>
        <v>0</v>
      </c>
      <c r="AN6" s="438">
        <f>-[1]Dashboard!D64</f>
        <v>-2103203.6595120002</v>
      </c>
      <c r="AP6" s="13">
        <f t="shared" si="0"/>
        <v>1538628.9995499998</v>
      </c>
    </row>
    <row r="7" spans="1:42" x14ac:dyDescent="0.25">
      <c r="A7" s="238">
        <v>46023</v>
      </c>
      <c r="B7" s="227">
        <f>+SUMIFS(Tabla1[Avance_Med],Tabla1[Fecha],"&gt;="&amp;$A7,Tabla1[Fecha],"&lt;="&amp;EOMONTH($A7,0),Tabla1[Codigo_actividad],B$2)</f>
        <v>0</v>
      </c>
      <c r="C7" s="227">
        <f>+SUMIFS(Tabla1[Avance_Med],Tabla1[Fecha],"&gt;="&amp;$A7,Tabla1[Fecha],"&lt;="&amp;EOMONTH($A7,0),Tabla1[Codigo_actividad],C$2)</f>
        <v>0</v>
      </c>
      <c r="D7" s="227">
        <f>+SUMIFS(Tabla1[Avance_Med],Tabla1[Fecha],"&gt;="&amp;$A7,Tabla1[Fecha],"&lt;="&amp;EOMONTH($A7,0),Tabla1[Codigo_actividad],D$2)</f>
        <v>0</v>
      </c>
      <c r="E7" s="227">
        <f>+SUMIFS(Tabla1[Avance_Med],Tabla1[Fecha],"&gt;="&amp;$A7,Tabla1[Fecha],"&lt;="&amp;EOMONTH($A7,0),Tabla1[Codigo_actividad],E$2)</f>
        <v>0</v>
      </c>
      <c r="F7" s="227">
        <f>+SUMIFS(Tabla1[Avance_Med],Tabla1[Fecha],"&gt;="&amp;$A7,Tabla1[Fecha],"&lt;="&amp;EOMONTH($A7,0),Tabla1[Codigo_actividad],F$2)</f>
        <v>0</v>
      </c>
      <c r="G7" s="227">
        <f>+SUMIFS(Tabla1[Avance_Med],Tabla1[Fecha],"&gt;="&amp;$A7,Tabla1[Fecha],"&lt;="&amp;EOMONTH($A7,0),Tabla1[Codigo_actividad],G$2)</f>
        <v>0</v>
      </c>
      <c r="H7" s="227">
        <f>+SUMIFS(Tabla1[Avance_km],Tabla1[Fecha],"&gt;="&amp;$A7,Tabla1[Fecha],"&lt;="&amp;EOMONTH($A7,0),Tabla1[Codigo_actividad],H$2)</f>
        <v>36.840000000000011</v>
      </c>
      <c r="I7" s="227">
        <f>+SUMIFS(Tabla1[Avance_km],Tabla1[Fecha],"&gt;="&amp;$A7,Tabla1[Fecha],"&lt;="&amp;EOMONTH($A7,0),Tabla1[Codigo_actividad],I$2)</f>
        <v>0</v>
      </c>
      <c r="J7" s="227">
        <f>+SUMIFS(Tabla1[Avance_km],Tabla1[Fecha],"&gt;="&amp;$A7,Tabla1[Fecha],"&lt;="&amp;EOMONTH($A7,0),Tabla1[Codigo_actividad],J$2,Tabla1[Avance_km],"&gt;0")</f>
        <v>15.313000000000004</v>
      </c>
      <c r="K7" s="339">
        <f>+SUMIFS(Tabla1[Avance_km],Tabla1[Fecha],"&gt;="&amp;$A7,Tabla1[Fecha],"&lt;="&amp;EOMONTH($A7,0),Tabla1[Codigo_actividad],K$2)</f>
        <v>0</v>
      </c>
      <c r="L7" s="227">
        <f>+SUMIFS(Tabla1[Avance_Med],Tabla1[Fecha],"&gt;="&amp;$A7,Tabla1[Fecha],"&lt;="&amp;EOMONTH($A7,0),Tabla1[Codigo_actividad],L$2)</f>
        <v>130</v>
      </c>
      <c r="M7" s="227">
        <f>+SUMIFS(Tabla1[Avance_km],Tabla1[Fecha],"&gt;="&amp;$A7,Tabla1[Fecha],"&lt;="&amp;EOMONTH($A7,0),Tabla1[Codigo_actividad],M$2)</f>
        <v>6.7009999999999996</v>
      </c>
      <c r="N7" s="227">
        <f>+SUMIFS(Tabla1[Avance_Med],Tabla1[Fecha],"&gt;="&amp;$A7,Tabla1[Fecha],"&lt;="&amp;EOMONTH($A7,0),Tabla1[Codigo_actividad],N$2)</f>
        <v>0</v>
      </c>
      <c r="O7" s="227">
        <f>+SUMIFS(Tabla1[Avance_Med],Tabla1[Fecha],"&gt;="&amp;$A7,Tabla1[Fecha],"&lt;="&amp;EOMONTH($A7,0),Tabla1[Codigo_actividad],O$2)</f>
        <v>0</v>
      </c>
      <c r="P7" s="227">
        <f>+SUMIFS(Tabla1[Avance_Med],Tabla1[Fecha],"&gt;="&amp;$A7,Tabla1[Fecha],"&lt;="&amp;EOMONTH($A7,0),Tabla1[Codigo_actividad],P$2)</f>
        <v>0</v>
      </c>
      <c r="Q7" s="227">
        <f>+SUMIFS(Tabla1[Avance_Med],Tabla1[Fecha],"&gt;="&amp;$A7,Tabla1[Fecha],"&lt;="&amp;EOMONTH($A7,0),Tabla1[Codigo_actividad],Q$2)</f>
        <v>0</v>
      </c>
      <c r="R7" s="227">
        <f>+SUMIFS(Tabla1[Avance_Med],Tabla1[Fecha],"&gt;="&amp;$A7,Tabla1[Fecha],"&lt;="&amp;EOMONTH($A7,0),Tabla1[Codigo_actividad],R$2)</f>
        <v>0</v>
      </c>
      <c r="S7" s="227">
        <f>+SUMIFS(Tabla1[Avance_Med],Tabla1[Fecha],"&gt;="&amp;$A7,Tabla1[Fecha],"&lt;="&amp;EOMONTH($A7,0),Tabla1[Codigo_actividad],S$2)</f>
        <v>0</v>
      </c>
      <c r="T7" s="227">
        <f>+SUMIFS(Tabla1[Avance_Med],Tabla1[Fecha],"&gt;="&amp;$A7,Tabla1[Fecha],"&lt;="&amp;EOMONTH($A7,0),Tabla1[Codigo_actividad],T$2)</f>
        <v>0</v>
      </c>
      <c r="U7" s="227">
        <f>+SUMIFS(Tabla1[Avance_Med],Tabla1[Fecha],"&gt;="&amp;$A7,Tabla1[Fecha],"&lt;="&amp;EOMONTH($A7,0),Tabla1[Codigo_actividad],U$2)</f>
        <v>0</v>
      </c>
      <c r="V7" s="227">
        <f>+SUMIFS(Tabla1[Avance_Med],Tabla1[Fecha],"&gt;="&amp;$A7,Tabla1[Fecha],"&lt;="&amp;EOMONTH($A7,0),Tabla1[Codigo_actividad],V$2)</f>
        <v>0</v>
      </c>
      <c r="W7" s="227">
        <f>+SUMIFS(Tabla1[Avance_Med],Tabla1[Fecha],"&gt;="&amp;$A7,Tabla1[Fecha],"&lt;="&amp;EOMONTH($A7,0),Tabla1[Codigo_actividad],W$2)</f>
        <v>0</v>
      </c>
      <c r="X7" s="227">
        <f>+SUMIFS(Tabla1[Avance_Med],Tabla1[Fecha],"&gt;="&amp;$A7,Tabla1[Fecha],"&lt;="&amp;EOMONTH($A7,0),Tabla1[Codigo_actividad],X$2)</f>
        <v>0</v>
      </c>
      <c r="Y7" s="227">
        <f>+SUMIFS(Tabla1[Avance_Med],Tabla1[Fecha],"&gt;="&amp;$A7,Tabla1[Fecha],"&lt;="&amp;EOMONTH($A7,0),Tabla1[Codigo_actividad],Y$2)</f>
        <v>0</v>
      </c>
      <c r="Z7" s="227">
        <f>+SUMIFS(Tabla1[Avance_Med],Tabla1[Fecha],"&gt;="&amp;$A7,Tabla1[Fecha],"&lt;="&amp;EOMONTH($A7,0),Tabla1[Codigo_actividad],Z$2)</f>
        <v>0</v>
      </c>
      <c r="AA7" s="227">
        <f>+SUMIFS(Tabla1[Avance_Med],Tabla1[Fecha],"&gt;="&amp;$A7,Tabla1[Fecha],"&lt;="&amp;EOMONTH($A7,0),Tabla1[Codigo_actividad],AA$2)</f>
        <v>0</v>
      </c>
      <c r="AB7" s="227">
        <f>+SUMIFS(Tabla1[Avance_Med],Tabla1[Fecha],"&gt;="&amp;$A7,Tabla1[Fecha],"&lt;="&amp;EOMONTH($A7,0),Tabla1[Codigo_actividad],AB$2)</f>
        <v>0</v>
      </c>
      <c r="AC7" s="227">
        <f>+SUMIFS(Tabla1[Avance_Med],Tabla1[Fecha],"&gt;="&amp;$A7,Tabla1[Fecha],"&lt;="&amp;EOMONTH($A7,0),Tabla1[Codigo_actividad],AC$2)</f>
        <v>0</v>
      </c>
      <c r="AD7" s="227">
        <f>+SUMIFS(Tabla1[Avance_Med],Tabla1[Fecha],"&gt;="&amp;$A7,Tabla1[Fecha],"&lt;="&amp;EOMONTH($A7,0),Tabla1[Codigo_actividad],AD$2)</f>
        <v>0</v>
      </c>
      <c r="AE7" s="227">
        <f>+SUMIFS(Tabla1[Avance_Med],Tabla1[Fecha],"&gt;="&amp;$A7,Tabla1[Fecha],"&lt;="&amp;EOMONTH($A7,0),Tabla1[Codigo_actividad],AE$2)</f>
        <v>0</v>
      </c>
      <c r="AF7" s="227">
        <f>+SUMIFS(Tabla1[Avance_Med],Tabla1[Fecha],"&gt;="&amp;$A7,Tabla1[Fecha],"&lt;="&amp;EOMONTH($A7,0),Tabla1[Codigo_actividad],AF$2)</f>
        <v>0</v>
      </c>
      <c r="AG7" s="227">
        <f>+SUMIFS(Tabla1[Avance_Med],Tabla1[Fecha],"&gt;="&amp;$A7,Tabla1[Fecha],"&lt;="&amp;EOMONTH($A7,0),Tabla1[Codigo_actividad],AG$2)</f>
        <v>0</v>
      </c>
      <c r="AH7" s="227">
        <f>+SUMIFS(Tabla1[Avance_Med],Tabla1[Fecha],"&gt;="&amp;$A7,Tabla1[Fecha],"&lt;="&amp;EOMONTH($A7,0),Tabla1[Codigo_actividad],AH$2)</f>
        <v>0</v>
      </c>
      <c r="AI7" s="227">
        <f>+SUMIFS(Tabla1[Avance_Med],Tabla1[Fecha],"&gt;="&amp;$A7,Tabla1[Fecha],"&lt;="&amp;EOMONTH($A7,0),Tabla1[Codigo_actividad],AI$2)</f>
        <v>0</v>
      </c>
      <c r="AJ7" s="227">
        <f>+SUMIFS(Tabla1[Avance_Med],Tabla1[Fecha],"&gt;="&amp;$A7,Tabla1[Fecha],"&lt;="&amp;EOMONTH($A7,0),Tabla1[Codigo_actividad],AJ$2)</f>
        <v>0</v>
      </c>
      <c r="AK7" s="227">
        <f>+SUMIFS(Tabla1[Avance_Med],Tabla1[Fecha],"&gt;="&amp;$A7,Tabla1[Fecha],"&lt;="&amp;EOMONTH($A7,0),Tabla1[Codigo_actividad],AK$2)</f>
        <v>0</v>
      </c>
      <c r="AL7" s="227">
        <f>+SUMIFS(Tabla1[Avance_Med],Tabla1[Fecha],"&gt;="&amp;$A7,Tabla1[Fecha],"&lt;="&amp;EOMONTH($A7,0),Tabla1[Codigo_actividad],AL$2)</f>
        <v>0</v>
      </c>
      <c r="AM7" s="227">
        <f>+SUMIFS(Tabla1[Avance_Med],Tabla1[Fecha],"&gt;="&amp;$A7,Tabla1[Fecha],"&lt;="&amp;EOMONTH($A7,0),Tabla1[Codigo_actividad],AM$2)</f>
        <v>0</v>
      </c>
      <c r="AN7" s="438">
        <f>-[1]Dashboard!D65</f>
        <v>-284577.85708800005</v>
      </c>
      <c r="AP7" s="13">
        <f t="shared" si="0"/>
        <v>1363213.0780100003</v>
      </c>
    </row>
    <row r="8" spans="1:42" x14ac:dyDescent="0.25">
      <c r="A8" s="238">
        <v>46054</v>
      </c>
      <c r="B8" s="227">
        <f>+SUMIFS(Tabla1[Avance_Med],Tabla1[Fecha],"&gt;="&amp;$A8,Tabla1[Fecha],"&lt;="&amp;EOMONTH($A8,0),Tabla1[Codigo_actividad],B$2)</f>
        <v>0</v>
      </c>
      <c r="C8" s="227">
        <f>+SUMIFS(Tabla1[Avance_Med],Tabla1[Fecha],"&gt;="&amp;$A8,Tabla1[Fecha],"&lt;="&amp;EOMONTH($A8,0),Tabla1[Codigo_actividad],C$2)</f>
        <v>0</v>
      </c>
      <c r="D8" s="227">
        <f>+SUMIFS(Tabla1[Avance_Med],Tabla1[Fecha],"&gt;="&amp;$A8,Tabla1[Fecha],"&lt;="&amp;EOMONTH($A8,0),Tabla1[Codigo_actividad],D$2)</f>
        <v>0</v>
      </c>
      <c r="E8" s="227">
        <f>+SUMIFS(Tabla1[Avance_Med],Tabla1[Fecha],"&gt;="&amp;$A8,Tabla1[Fecha],"&lt;="&amp;EOMONTH($A8,0),Tabla1[Codigo_actividad],E$2)</f>
        <v>0</v>
      </c>
      <c r="F8" s="227">
        <f>+SUMIFS(Tabla1[Avance_Med],Tabla1[Fecha],"&gt;="&amp;$A8,Tabla1[Fecha],"&lt;="&amp;EOMONTH($A8,0),Tabla1[Codigo_actividad],F$2)</f>
        <v>0</v>
      </c>
      <c r="G8" s="227">
        <f>+SUMIFS(Tabla1[Avance_Med],Tabla1[Fecha],"&gt;="&amp;$A8,Tabla1[Fecha],"&lt;="&amp;EOMONTH($A8,0),Tabla1[Codigo_actividad],G$2)</f>
        <v>0</v>
      </c>
      <c r="H8" s="227">
        <f>+SUMIFS(Tabla1[Avance_km],Tabla1[Fecha],"&gt;="&amp;$A8,Tabla1[Fecha],"&lt;="&amp;EOMONTH($A8,0),Tabla1[Codigo_actividad],H$2)</f>
        <v>0</v>
      </c>
      <c r="I8" s="227">
        <f>+SUMIFS(Tabla1[Avance_km],Tabla1[Fecha],"&gt;="&amp;$A8,Tabla1[Fecha],"&lt;="&amp;EOMONTH($A8,0),Tabla1[Codigo_actividad],I$2)</f>
        <v>0</v>
      </c>
      <c r="J8" s="227">
        <f>+SUMIFS(Tabla1[Avance_km],Tabla1[Fecha],"&gt;="&amp;$A8,Tabla1[Fecha],"&lt;="&amp;EOMONTH($A8,0),Tabla1[Codigo_actividad],J$2,Tabla1[Avance_km],"&gt;0")</f>
        <v>0</v>
      </c>
      <c r="K8" s="339">
        <f>+SUMIFS(Tabla1[Avance_km],Tabla1[Fecha],"&gt;="&amp;$A8,Tabla1[Fecha],"&lt;="&amp;EOMONTH($A8,0),Tabla1[Codigo_actividad],K$2)</f>
        <v>0</v>
      </c>
      <c r="L8" s="227">
        <f>+SUMIFS(Tabla1[Avance_Med],Tabla1[Fecha],"&gt;="&amp;$A8,Tabla1[Fecha],"&lt;="&amp;EOMONTH($A8,0),Tabla1[Codigo_actividad],L$2)</f>
        <v>18</v>
      </c>
      <c r="M8" s="227">
        <f>+SUMIFS(Tabla1[Avance_km],Tabla1[Fecha],"&gt;="&amp;$A8,Tabla1[Fecha],"&lt;="&amp;EOMONTH($A8,0),Tabla1[Codigo_actividad],M$2)</f>
        <v>0</v>
      </c>
      <c r="N8" s="227">
        <f>+SUMIFS(Tabla1[Avance_Med],Tabla1[Fecha],"&gt;="&amp;$A8,Tabla1[Fecha],"&lt;="&amp;EOMONTH($A8,0),Tabla1[Codigo_actividad],N$2)</f>
        <v>0</v>
      </c>
      <c r="O8" s="227">
        <f>+SUMIFS(Tabla1[Avance_Med],Tabla1[Fecha],"&gt;="&amp;$A8,Tabla1[Fecha],"&lt;="&amp;EOMONTH($A8,0),Tabla1[Codigo_actividad],O$2)</f>
        <v>0</v>
      </c>
      <c r="P8" s="227">
        <f>+SUMIFS(Tabla1[Avance_Med],Tabla1[Fecha],"&gt;="&amp;$A8,Tabla1[Fecha],"&lt;="&amp;EOMONTH($A8,0),Tabla1[Codigo_actividad],P$2)</f>
        <v>0</v>
      </c>
      <c r="Q8" s="227">
        <f>+SUMIFS(Tabla1[Avance_Med],Tabla1[Fecha],"&gt;="&amp;$A8,Tabla1[Fecha],"&lt;="&amp;EOMONTH($A8,0),Tabla1[Codigo_actividad],Q$2)</f>
        <v>0</v>
      </c>
      <c r="R8" s="227">
        <f>+SUMIFS(Tabla1[Avance_Med],Tabla1[Fecha],"&gt;="&amp;$A8,Tabla1[Fecha],"&lt;="&amp;EOMONTH($A8,0),Tabla1[Codigo_actividad],R$2)</f>
        <v>0</v>
      </c>
      <c r="S8" s="227">
        <f>+SUMIFS(Tabla1[Avance_Med],Tabla1[Fecha],"&gt;="&amp;$A8,Tabla1[Fecha],"&lt;="&amp;EOMONTH($A8,0),Tabla1[Codigo_actividad],S$2)</f>
        <v>0</v>
      </c>
      <c r="T8" s="227">
        <f>+SUMIFS(Tabla1[Avance_Med],Tabla1[Fecha],"&gt;="&amp;$A8,Tabla1[Fecha],"&lt;="&amp;EOMONTH($A8,0),Tabla1[Codigo_actividad],T$2)</f>
        <v>0</v>
      </c>
      <c r="U8" s="227">
        <f>+SUMIFS(Tabla1[Avance_Med],Tabla1[Fecha],"&gt;="&amp;$A8,Tabla1[Fecha],"&lt;="&amp;EOMONTH($A8,0),Tabla1[Codigo_actividad],U$2)</f>
        <v>0</v>
      </c>
      <c r="V8" s="227">
        <f>+SUMIFS(Tabla1[Avance_Med],Tabla1[Fecha],"&gt;="&amp;$A8,Tabla1[Fecha],"&lt;="&amp;EOMONTH($A8,0),Tabla1[Codigo_actividad],V$2)</f>
        <v>0</v>
      </c>
      <c r="W8" s="227">
        <f>+SUMIFS(Tabla1[Avance_Med],Tabla1[Fecha],"&gt;="&amp;$A8,Tabla1[Fecha],"&lt;="&amp;EOMONTH($A8,0),Tabla1[Codigo_actividad],W$2)</f>
        <v>0</v>
      </c>
      <c r="X8" s="227">
        <f>+SUMIFS(Tabla1[Avance_Med],Tabla1[Fecha],"&gt;="&amp;$A8,Tabla1[Fecha],"&lt;="&amp;EOMONTH($A8,0),Tabla1[Codigo_actividad],X$2)</f>
        <v>0</v>
      </c>
      <c r="Y8" s="227">
        <f>+SUMIFS(Tabla1[Avance_Med],Tabla1[Fecha],"&gt;="&amp;$A8,Tabla1[Fecha],"&lt;="&amp;EOMONTH($A8,0),Tabla1[Codigo_actividad],Y$2)</f>
        <v>0</v>
      </c>
      <c r="Z8" s="227">
        <f>+SUMIFS(Tabla1[Avance_Med],Tabla1[Fecha],"&gt;="&amp;$A8,Tabla1[Fecha],"&lt;="&amp;EOMONTH($A8,0),Tabla1[Codigo_actividad],Z$2)</f>
        <v>0</v>
      </c>
      <c r="AA8" s="227">
        <f>+SUMIFS(Tabla1[Avance_Med],Tabla1[Fecha],"&gt;="&amp;$A8,Tabla1[Fecha],"&lt;="&amp;EOMONTH($A8,0),Tabla1[Codigo_actividad],AA$2)</f>
        <v>0</v>
      </c>
      <c r="AB8" s="227">
        <f>+SUMIFS(Tabla1[Avance_Med],Tabla1[Fecha],"&gt;="&amp;$A8,Tabla1[Fecha],"&lt;="&amp;EOMONTH($A8,0),Tabla1[Codigo_actividad],AB$2)</f>
        <v>0</v>
      </c>
      <c r="AC8" s="227">
        <f>+SUMIFS(Tabla1[Avance_Med],Tabla1[Fecha],"&gt;="&amp;$A8,Tabla1[Fecha],"&lt;="&amp;EOMONTH($A8,0),Tabla1[Codigo_actividad],AC$2)</f>
        <v>0</v>
      </c>
      <c r="AD8" s="227">
        <f>+SUMIFS(Tabla1[Avance_Med],Tabla1[Fecha],"&gt;="&amp;$A8,Tabla1[Fecha],"&lt;="&amp;EOMONTH($A8,0),Tabla1[Codigo_actividad],AD$2)</f>
        <v>0</v>
      </c>
      <c r="AE8" s="227">
        <f>+SUMIFS(Tabla1[Avance_Med],Tabla1[Fecha],"&gt;="&amp;$A8,Tabla1[Fecha],"&lt;="&amp;EOMONTH($A8,0),Tabla1[Codigo_actividad],AE$2)</f>
        <v>0</v>
      </c>
      <c r="AF8" s="227">
        <f>+SUMIFS(Tabla1[Avance_Med],Tabla1[Fecha],"&gt;="&amp;$A8,Tabla1[Fecha],"&lt;="&amp;EOMONTH($A8,0),Tabla1[Codigo_actividad],AF$2)</f>
        <v>0</v>
      </c>
      <c r="AG8" s="227">
        <f>+SUMIFS(Tabla1[Avance_Med],Tabla1[Fecha],"&gt;="&amp;$A8,Tabla1[Fecha],"&lt;="&amp;EOMONTH($A8,0),Tabla1[Codigo_actividad],AG$2)</f>
        <v>0</v>
      </c>
      <c r="AH8" s="227">
        <f>+SUMIFS(Tabla1[Avance_Med],Tabla1[Fecha],"&gt;="&amp;$A8,Tabla1[Fecha],"&lt;="&amp;EOMONTH($A8,0),Tabla1[Codigo_actividad],AH$2)</f>
        <v>0</v>
      </c>
      <c r="AI8" s="227">
        <f>+SUMIFS(Tabla1[Avance_Med],Tabla1[Fecha],"&gt;="&amp;$A8,Tabla1[Fecha],"&lt;="&amp;EOMONTH($A8,0),Tabla1[Codigo_actividad],AI$2)</f>
        <v>0</v>
      </c>
      <c r="AJ8" s="227">
        <f>+SUMIFS(Tabla1[Avance_Med],Tabla1[Fecha],"&gt;="&amp;$A8,Tabla1[Fecha],"&lt;="&amp;EOMONTH($A8,0),Tabla1[Codigo_actividad],AJ$2)</f>
        <v>0</v>
      </c>
      <c r="AK8" s="227">
        <f>+SUMIFS(Tabla1[Avance_Med],Tabla1[Fecha],"&gt;="&amp;$A8,Tabla1[Fecha],"&lt;="&amp;EOMONTH($A8,0),Tabla1[Codigo_actividad],AK$2)</f>
        <v>0</v>
      </c>
      <c r="AL8" s="227">
        <f>+SUMIFS(Tabla1[Avance_Med],Tabla1[Fecha],"&gt;="&amp;$A8,Tabla1[Fecha],"&lt;="&amp;EOMONTH($A8,0),Tabla1[Codigo_actividad],AL$2)</f>
        <v>0</v>
      </c>
      <c r="AM8" s="227">
        <f>+SUMIFS(Tabla1[Avance_Med],Tabla1[Fecha],"&gt;="&amp;$A8,Tabla1[Fecha],"&lt;="&amp;EOMONTH($A8,0),Tabla1[Codigo_actividad],AM$2)</f>
        <v>0</v>
      </c>
      <c r="AN8" s="438">
        <f>-[1]Dashboard!D66</f>
        <v>-4104758.7796800006</v>
      </c>
      <c r="AP8" s="13">
        <f t="shared" si="0"/>
        <v>83844</v>
      </c>
    </row>
    <row r="9" spans="1:42" x14ac:dyDescent="0.25">
      <c r="A9" s="238">
        <v>46082</v>
      </c>
      <c r="B9" s="227">
        <f>+SUMIFS(Tabla1[Avance_Med],Tabla1[Fecha],"&gt;="&amp;$A9,Tabla1[Fecha],"&lt;="&amp;EOMONTH($A9,0),Tabla1[Codigo_actividad],B$2)</f>
        <v>99</v>
      </c>
      <c r="C9" s="227">
        <f>+SUMIFS(Tabla1[Avance_Med],Tabla1[Fecha],"&gt;="&amp;$A9,Tabla1[Fecha],"&lt;="&amp;EOMONTH($A9,0),Tabla1[Codigo_actividad],C$2)</f>
        <v>99</v>
      </c>
      <c r="D9" s="227">
        <f>+SUMIFS(Tabla1[Avance_Med],Tabla1[Fecha],"&gt;="&amp;$A9,Tabla1[Fecha],"&lt;="&amp;EOMONTH($A9,0),Tabla1[Codigo_actividad],D$2)</f>
        <v>99</v>
      </c>
      <c r="E9" s="227">
        <f>+SUMIFS(Tabla1[Avance_Med],Tabla1[Fecha],"&gt;="&amp;$A9,Tabla1[Fecha],"&lt;="&amp;EOMONTH($A9,0),Tabla1[Codigo_actividad],E$2)</f>
        <v>99</v>
      </c>
      <c r="F9" s="227">
        <f>+SUMIFS(Tabla1[Avance_Med],Tabla1[Fecha],"&gt;="&amp;$A9,Tabla1[Fecha],"&lt;="&amp;EOMONTH($A9,0),Tabla1[Codigo_actividad],F$2)</f>
        <v>99</v>
      </c>
      <c r="G9" s="227">
        <f>+SUMIFS(Tabla1[Avance_Med],Tabla1[Fecha],"&gt;="&amp;$A9,Tabla1[Fecha],"&lt;="&amp;EOMONTH($A9,0),Tabla1[Codigo_actividad],G$2)</f>
        <v>99</v>
      </c>
      <c r="H9" s="227">
        <f>+SUMIFS(Tabla1[Avance_km],Tabla1[Fecha],"&gt;="&amp;$A9,Tabla1[Fecha],"&lt;="&amp;EOMONTH($A9,0),Tabla1[Codigo_actividad],H$2)</f>
        <v>0</v>
      </c>
      <c r="I9" s="227">
        <f>+SUMIFS(Tabla1[Avance_km],Tabla1[Fecha],"&gt;="&amp;$A9,Tabla1[Fecha],"&lt;="&amp;EOMONTH($A9,0),Tabla1[Codigo_actividad],I$2)</f>
        <v>0</v>
      </c>
      <c r="J9" s="227">
        <f>+SUMIFS(Tabla1[Avance_km],Tabla1[Fecha],"&gt;="&amp;$A9,Tabla1[Fecha],"&lt;="&amp;EOMONTH($A9,0),Tabla1[Codigo_actividad],J$2,Tabla1[Avance_km],"&gt;0")</f>
        <v>0</v>
      </c>
      <c r="K9" s="339">
        <f>+SUMIFS(Tabla1[Avance_km],Tabla1[Fecha],"&gt;="&amp;$A9,Tabla1[Fecha],"&lt;="&amp;EOMONTH($A9,0),Tabla1[Codigo_actividad],K$2)</f>
        <v>0</v>
      </c>
      <c r="L9" s="227">
        <f>+SUMIFS(Tabla1[Avance_Med],Tabla1[Fecha],"&gt;="&amp;$A9,Tabla1[Fecha],"&lt;="&amp;EOMONTH($A9,0),Tabla1[Codigo_actividad],L$2)</f>
        <v>0</v>
      </c>
      <c r="M9" s="227">
        <f>+SUMIFS(Tabla1[Avance_km],Tabla1[Fecha],"&gt;="&amp;$A9,Tabla1[Fecha],"&lt;="&amp;EOMONTH($A9,0),Tabla1[Codigo_actividad],M$2)</f>
        <v>3.6</v>
      </c>
      <c r="N9" s="227">
        <f>+SUMIFS(Tabla1[Avance_Med],Tabla1[Fecha],"&gt;="&amp;$A9,Tabla1[Fecha],"&lt;="&amp;EOMONTH($A9,0),Tabla1[Codigo_actividad],N$2)</f>
        <v>54</v>
      </c>
      <c r="O9" s="227">
        <f>+SUMIFS(Tabla1[Avance_Med],Tabla1[Fecha],"&gt;="&amp;$A9,Tabla1[Fecha],"&lt;="&amp;EOMONTH($A9,0),Tabla1[Codigo_actividad],O$2)</f>
        <v>54</v>
      </c>
      <c r="P9" s="227">
        <f>+SUMIFS(Tabla1[Avance_Med],Tabla1[Fecha],"&gt;="&amp;$A9,Tabla1[Fecha],"&lt;="&amp;EOMONTH($A9,0),Tabla1[Codigo_actividad],P$2)</f>
        <v>54</v>
      </c>
      <c r="Q9" s="227">
        <f>+SUMIFS(Tabla1[Avance_Med],Tabla1[Fecha],"&gt;="&amp;$A9,Tabla1[Fecha],"&lt;="&amp;EOMONTH($A9,0),Tabla1[Codigo_actividad],Q$2)</f>
        <v>0</v>
      </c>
      <c r="R9" s="227">
        <f>+SUMIFS(Tabla1[Avance_Med],Tabla1[Fecha],"&gt;="&amp;$A9,Tabla1[Fecha],"&lt;="&amp;EOMONTH($A9,0),Tabla1[Codigo_actividad],R$2)</f>
        <v>0</v>
      </c>
      <c r="S9" s="227">
        <f>+SUMIFS(Tabla1[Avance_Med],Tabla1[Fecha],"&gt;="&amp;$A9,Tabla1[Fecha],"&lt;="&amp;EOMONTH($A9,0),Tabla1[Codigo_actividad],S$2)</f>
        <v>0</v>
      </c>
      <c r="T9" s="227">
        <f>+SUMIFS(Tabla1[Avance_Med],Tabla1[Fecha],"&gt;="&amp;$A9,Tabla1[Fecha],"&lt;="&amp;EOMONTH($A9,0),Tabla1[Codigo_actividad],T$2)</f>
        <v>0</v>
      </c>
      <c r="U9" s="227">
        <f>+SUMIFS(Tabla1[Avance_Med],Tabla1[Fecha],"&gt;="&amp;$A9,Tabla1[Fecha],"&lt;="&amp;EOMONTH($A9,0),Tabla1[Codigo_actividad],U$2)</f>
        <v>0</v>
      </c>
      <c r="V9" s="227">
        <f>+SUMIFS(Tabla1[Avance_Med],Tabla1[Fecha],"&gt;="&amp;$A9,Tabla1[Fecha],"&lt;="&amp;EOMONTH($A9,0),Tabla1[Codigo_actividad],V$2)</f>
        <v>0</v>
      </c>
      <c r="W9" s="227">
        <f>+SUMIFS(Tabla1[Avance_Med],Tabla1[Fecha],"&gt;="&amp;$A9,Tabla1[Fecha],"&lt;="&amp;EOMONTH($A9,0),Tabla1[Codigo_actividad],W$2)</f>
        <v>0</v>
      </c>
      <c r="X9" s="227">
        <f>+SUMIFS(Tabla1[Avance_Med],Tabla1[Fecha],"&gt;="&amp;$A9,Tabla1[Fecha],"&lt;="&amp;EOMONTH($A9,0),Tabla1[Codigo_actividad],X$2)</f>
        <v>0</v>
      </c>
      <c r="Y9" s="227">
        <f>+SUMIFS(Tabla1[Avance_Med],Tabla1[Fecha],"&gt;="&amp;$A9,Tabla1[Fecha],"&lt;="&amp;EOMONTH($A9,0),Tabla1[Codigo_actividad],Y$2)</f>
        <v>0</v>
      </c>
      <c r="Z9" s="227">
        <f>+SUMIFS(Tabla1[Avance_Med],Tabla1[Fecha],"&gt;="&amp;$A9,Tabla1[Fecha],"&lt;="&amp;EOMONTH($A9,0),Tabla1[Codigo_actividad],Z$2)</f>
        <v>0</v>
      </c>
      <c r="AA9" s="227">
        <f>+SUMIFS(Tabla1[Avance_Med],Tabla1[Fecha],"&gt;="&amp;$A9,Tabla1[Fecha],"&lt;="&amp;EOMONTH($A9,0),Tabla1[Codigo_actividad],AA$2)</f>
        <v>0</v>
      </c>
      <c r="AB9" s="227">
        <f>+SUMIFS(Tabla1[Avance_Med],Tabla1[Fecha],"&gt;="&amp;$A9,Tabla1[Fecha],"&lt;="&amp;EOMONTH($A9,0),Tabla1[Codigo_actividad],AB$2)</f>
        <v>0</v>
      </c>
      <c r="AC9" s="227">
        <f>+SUMIFS(Tabla1[Avance_Med],Tabla1[Fecha],"&gt;="&amp;$A9,Tabla1[Fecha],"&lt;="&amp;EOMONTH($A9,0),Tabla1[Codigo_actividad],AC$2)</f>
        <v>0</v>
      </c>
      <c r="AD9" s="227">
        <f>+SUMIFS(Tabla1[Avance_Med],Tabla1[Fecha],"&gt;="&amp;$A9,Tabla1[Fecha],"&lt;="&amp;EOMONTH($A9,0),Tabla1[Codigo_actividad],AD$2)</f>
        <v>0</v>
      </c>
      <c r="AE9" s="227">
        <f>+SUMIFS(Tabla1[Avance_Med],Tabla1[Fecha],"&gt;="&amp;$A9,Tabla1[Fecha],"&lt;="&amp;EOMONTH($A9,0),Tabla1[Codigo_actividad],AE$2)</f>
        <v>0</v>
      </c>
      <c r="AF9" s="227">
        <f>+SUMIFS(Tabla1[Avance_Med],Tabla1[Fecha],"&gt;="&amp;$A9,Tabla1[Fecha],"&lt;="&amp;EOMONTH($A9,0),Tabla1[Codigo_actividad],AF$2)</f>
        <v>0</v>
      </c>
      <c r="AG9" s="227">
        <f>+SUMIFS(Tabla1[Avance_Med],Tabla1[Fecha],"&gt;="&amp;$A9,Tabla1[Fecha],"&lt;="&amp;EOMONTH($A9,0),Tabla1[Codigo_actividad],AG$2)</f>
        <v>0</v>
      </c>
      <c r="AH9" s="227">
        <f>+SUMIFS(Tabla1[Avance_Med],Tabla1[Fecha],"&gt;="&amp;$A9,Tabla1[Fecha],"&lt;="&amp;EOMONTH($A9,0),Tabla1[Codigo_actividad],AH$2)</f>
        <v>0</v>
      </c>
      <c r="AI9" s="227">
        <f>+SUMIFS(Tabla1[Avance_Med],Tabla1[Fecha],"&gt;="&amp;$A9,Tabla1[Fecha],"&lt;="&amp;EOMONTH($A9,0),Tabla1[Codigo_actividad],AI$2)</f>
        <v>0</v>
      </c>
      <c r="AJ9" s="227">
        <f>+SUMIFS(Tabla1[Avance_Med],Tabla1[Fecha],"&gt;="&amp;$A9,Tabla1[Fecha],"&lt;="&amp;EOMONTH($A9,0),Tabla1[Codigo_actividad],AJ$2)</f>
        <v>0</v>
      </c>
      <c r="AK9" s="227">
        <f>+SUMIFS(Tabla1[Avance_Med],Tabla1[Fecha],"&gt;="&amp;$A9,Tabla1[Fecha],"&lt;="&amp;EOMONTH($A9,0),Tabla1[Codigo_actividad],AK$2)</f>
        <v>0</v>
      </c>
      <c r="AL9" s="227">
        <f>+SUMIFS(Tabla1[Avance_Med],Tabla1[Fecha],"&gt;="&amp;$A9,Tabla1[Fecha],"&lt;="&amp;EOMONTH($A9,0),Tabla1[Codigo_actividad],AL$2)</f>
        <v>0</v>
      </c>
      <c r="AM9" s="227">
        <f>+SUMIFS(Tabla1[Avance_Med],Tabla1[Fecha],"&gt;="&amp;$A9,Tabla1[Fecha],"&lt;="&amp;EOMONTH($A9,0),Tabla1[Codigo_actividad],AM$2)</f>
        <v>0</v>
      </c>
      <c r="AN9" s="438">
        <f>-[1]Dashboard!D67</f>
        <v>-85730.795280000006</v>
      </c>
      <c r="AP9" s="13">
        <f t="shared" si="0"/>
        <v>1406394.7920000001</v>
      </c>
    </row>
    <row r="10" spans="1:42" x14ac:dyDescent="0.25">
      <c r="A10" s="238">
        <v>46113</v>
      </c>
      <c r="B10" s="227">
        <f>+SUMIFS(Tabla1[Avance_Med],Tabla1[Fecha],"&gt;="&amp;$A10,Tabla1[Fecha],"&lt;="&amp;EOMONTH($A10,0),Tabla1[Codigo_actividad],B$2)</f>
        <v>17</v>
      </c>
      <c r="C10" s="227">
        <f>+SUMIFS(Tabla1[Avance_Med],Tabla1[Fecha],"&gt;="&amp;$A10,Tabla1[Fecha],"&lt;="&amp;EOMONTH($A10,0),Tabla1[Codigo_actividad],C$2)</f>
        <v>17</v>
      </c>
      <c r="D10" s="227">
        <f>+SUMIFS(Tabla1[Avance_Med],Tabla1[Fecha],"&gt;="&amp;$A10,Tabla1[Fecha],"&lt;="&amp;EOMONTH($A10,0),Tabla1[Codigo_actividad],D$2)</f>
        <v>17</v>
      </c>
      <c r="E10" s="227">
        <f>+SUMIFS(Tabla1[Avance_Med],Tabla1[Fecha],"&gt;="&amp;$A10,Tabla1[Fecha],"&lt;="&amp;EOMONTH($A10,0),Tabla1[Codigo_actividad],E$2)</f>
        <v>17</v>
      </c>
      <c r="F10" s="227">
        <f>+SUMIFS(Tabla1[Avance_Med],Tabla1[Fecha],"&gt;="&amp;$A10,Tabla1[Fecha],"&lt;="&amp;EOMONTH($A10,0),Tabla1[Codigo_actividad],F$2)</f>
        <v>17</v>
      </c>
      <c r="G10" s="227">
        <f>+SUMIFS(Tabla1[Avance_Med],Tabla1[Fecha],"&gt;="&amp;$A10,Tabla1[Fecha],"&lt;="&amp;EOMONTH($A10,0),Tabla1[Codigo_actividad],G$2)</f>
        <v>17</v>
      </c>
      <c r="H10" s="227">
        <f>+SUMIFS(Tabla1[Avance_km],Tabla1[Fecha],"&gt;="&amp;$A10,Tabla1[Fecha],"&lt;="&amp;EOMONTH($A10,0),Tabla1[Codigo_actividad],H$2)</f>
        <v>0</v>
      </c>
      <c r="I10" s="227">
        <f>+SUMIFS(Tabla1[Avance_km],Tabla1[Fecha],"&gt;="&amp;$A10,Tabla1[Fecha],"&lt;="&amp;EOMONTH($A10,0),Tabla1[Codigo_actividad],I$2)</f>
        <v>0</v>
      </c>
      <c r="J10" s="227">
        <f>+SUMIFS(Tabla1[Avance_km],Tabla1[Fecha],"&gt;="&amp;$A10,Tabla1[Fecha],"&lt;="&amp;EOMONTH($A10,0),Tabla1[Codigo_actividad],J$2,Tabla1[Avance_km],"&gt;0")</f>
        <v>5.9550000000000001</v>
      </c>
      <c r="K10" s="339">
        <f>+SUMIFS(Tabla1[Avance_km],Tabla1[Fecha],"&gt;="&amp;$A10,Tabla1[Fecha],"&lt;="&amp;EOMONTH($A10,0),Tabla1[Codigo_actividad],K$2)</f>
        <v>0</v>
      </c>
      <c r="L10" s="227">
        <f>+SUMIFS(Tabla1[Avance_Med],Tabla1[Fecha],"&gt;="&amp;$A10,Tabla1[Fecha],"&lt;="&amp;EOMONTH($A10,0),Tabla1[Codigo_actividad],L$2)</f>
        <v>0</v>
      </c>
      <c r="M10" s="227">
        <f>+SUMIFS(Tabla1[Avance_km],Tabla1[Fecha],"&gt;="&amp;$A10,Tabla1[Fecha],"&lt;="&amp;EOMONTH($A10,0),Tabla1[Codigo_actividad],M$2)</f>
        <v>21.635999999999999</v>
      </c>
      <c r="N10" s="227">
        <f>+SUMIFS(Tabla1[Avance_Med],Tabla1[Fecha],"&gt;="&amp;$A10,Tabla1[Fecha],"&lt;="&amp;EOMONTH($A10,0),Tabla1[Codigo_actividad],N$2)</f>
        <v>0</v>
      </c>
      <c r="O10" s="227">
        <f>+SUMIFS(Tabla1[Avance_Med],Tabla1[Fecha],"&gt;="&amp;$A10,Tabla1[Fecha],"&lt;="&amp;EOMONTH($A10,0),Tabla1[Codigo_actividad],O$2)</f>
        <v>0</v>
      </c>
      <c r="P10" s="227">
        <f>+SUMIFS(Tabla1[Avance_Med],Tabla1[Fecha],"&gt;="&amp;$A10,Tabla1[Fecha],"&lt;="&amp;EOMONTH($A10,0),Tabla1[Codigo_actividad],P$2)</f>
        <v>0</v>
      </c>
      <c r="Q10" s="227">
        <f>+SUMIFS(Tabla1[Avance_Med],Tabla1[Fecha],"&gt;="&amp;$A10,Tabla1[Fecha],"&lt;="&amp;EOMONTH($A10,0),Tabla1[Codigo_actividad],Q$2)</f>
        <v>0</v>
      </c>
      <c r="R10" s="227">
        <f>+SUMIFS(Tabla1[Avance_Med],Tabla1[Fecha],"&gt;="&amp;$A10,Tabla1[Fecha],"&lt;="&amp;EOMONTH($A10,0),Tabla1[Codigo_actividad],R$2)</f>
        <v>0</v>
      </c>
      <c r="S10" s="227">
        <f>+SUMIFS(Tabla1[Avance_Med],Tabla1[Fecha],"&gt;="&amp;$A10,Tabla1[Fecha],"&lt;="&amp;EOMONTH($A10,0),Tabla1[Codigo_actividad],S$2)</f>
        <v>0</v>
      </c>
      <c r="T10" s="227">
        <f>+SUMIFS(Tabla1[Avance_Med],Tabla1[Fecha],"&gt;="&amp;$A10,Tabla1[Fecha],"&lt;="&amp;EOMONTH($A10,0),Tabla1[Codigo_actividad],T$2)</f>
        <v>0</v>
      </c>
      <c r="U10" s="227">
        <f>+SUMIFS(Tabla1[Avance_Med],Tabla1[Fecha],"&gt;="&amp;$A10,Tabla1[Fecha],"&lt;="&amp;EOMONTH($A10,0),Tabla1[Codigo_actividad],U$2)</f>
        <v>0</v>
      </c>
      <c r="V10" s="227">
        <f>+SUMIFS(Tabla1[Avance_Med],Tabla1[Fecha],"&gt;="&amp;$A10,Tabla1[Fecha],"&lt;="&amp;EOMONTH($A10,0),Tabla1[Codigo_actividad],V$2)</f>
        <v>0</v>
      </c>
      <c r="W10" s="227">
        <f>+SUMIFS(Tabla1[Avance_Med],Tabla1[Fecha],"&gt;="&amp;$A10,Tabla1[Fecha],"&lt;="&amp;EOMONTH($A10,0),Tabla1[Codigo_actividad],W$2)</f>
        <v>0</v>
      </c>
      <c r="X10" s="227">
        <f>+SUMIFS(Tabla1[Avance_Med],Tabla1[Fecha],"&gt;="&amp;$A10,Tabla1[Fecha],"&lt;="&amp;EOMONTH($A10,0),Tabla1[Codigo_actividad],X$2)</f>
        <v>0</v>
      </c>
      <c r="Y10" s="227">
        <f>+SUMIFS(Tabla1[Avance_Med],Tabla1[Fecha],"&gt;="&amp;$A10,Tabla1[Fecha],"&lt;="&amp;EOMONTH($A10,0),Tabla1[Codigo_actividad],Y$2)</f>
        <v>0</v>
      </c>
      <c r="Z10" s="227">
        <f>+SUMIFS(Tabla1[Avance_Med],Tabla1[Fecha],"&gt;="&amp;$A10,Tabla1[Fecha],"&lt;="&amp;EOMONTH($A10,0),Tabla1[Codigo_actividad],Z$2)</f>
        <v>0</v>
      </c>
      <c r="AA10" s="227">
        <f>+SUMIFS(Tabla1[Avance_Med],Tabla1[Fecha],"&gt;="&amp;$A10,Tabla1[Fecha],"&lt;="&amp;EOMONTH($A10,0),Tabla1[Codigo_actividad],AA$2)</f>
        <v>0</v>
      </c>
      <c r="AB10" s="227">
        <f>+SUMIFS(Tabla1[Avance_Med],Tabla1[Fecha],"&gt;="&amp;$A10,Tabla1[Fecha],"&lt;="&amp;EOMONTH($A10,0),Tabla1[Codigo_actividad],AB$2)</f>
        <v>0</v>
      </c>
      <c r="AC10" s="227">
        <f>+SUMIFS(Tabla1[Avance_Med],Tabla1[Fecha],"&gt;="&amp;$A10,Tabla1[Fecha],"&lt;="&amp;EOMONTH($A10,0),Tabla1[Codigo_actividad],AC$2)</f>
        <v>0</v>
      </c>
      <c r="AD10" s="227">
        <f>+SUMIFS(Tabla1[Avance_Med],Tabla1[Fecha],"&gt;="&amp;$A10,Tabla1[Fecha],"&lt;="&amp;EOMONTH($A10,0),Tabla1[Codigo_actividad],AD$2)</f>
        <v>0</v>
      </c>
      <c r="AE10" s="227">
        <f>+SUMIFS(Tabla1[Avance_Med],Tabla1[Fecha],"&gt;="&amp;$A10,Tabla1[Fecha],"&lt;="&amp;EOMONTH($A10,0),Tabla1[Codigo_actividad],AE$2)</f>
        <v>0</v>
      </c>
      <c r="AF10" s="227">
        <f>+SUMIFS(Tabla1[Avance_Med],Tabla1[Fecha],"&gt;="&amp;$A10,Tabla1[Fecha],"&lt;="&amp;EOMONTH($A10,0),Tabla1[Codigo_actividad],AF$2)</f>
        <v>0</v>
      </c>
      <c r="AG10" s="227">
        <f>+SUMIFS(Tabla1[Avance_Med],Tabla1[Fecha],"&gt;="&amp;$A10,Tabla1[Fecha],"&lt;="&amp;EOMONTH($A10,0),Tabla1[Codigo_actividad],AG$2)</f>
        <v>0</v>
      </c>
      <c r="AH10" s="227">
        <f>+SUMIFS(Tabla1[Avance_Med],Tabla1[Fecha],"&gt;="&amp;$A10,Tabla1[Fecha],"&lt;="&amp;EOMONTH($A10,0),Tabla1[Codigo_actividad],AH$2)</f>
        <v>0</v>
      </c>
      <c r="AI10" s="227">
        <f>+SUMIFS(Tabla1[Avance_Med],Tabla1[Fecha],"&gt;="&amp;$A10,Tabla1[Fecha],"&lt;="&amp;EOMONTH($A10,0),Tabla1[Codigo_actividad],AI$2)</f>
        <v>0</v>
      </c>
      <c r="AJ10" s="227">
        <f>+SUMIFS(Tabla1[Avance_Med],Tabla1[Fecha],"&gt;="&amp;$A10,Tabla1[Fecha],"&lt;="&amp;EOMONTH($A10,0),Tabla1[Codigo_actividad],AJ$2)</f>
        <v>0</v>
      </c>
      <c r="AK10" s="227">
        <f>+SUMIFS(Tabla1[Avance_Med],Tabla1[Fecha],"&gt;="&amp;$A10,Tabla1[Fecha],"&lt;="&amp;EOMONTH($A10,0),Tabla1[Codigo_actividad],AK$2)</f>
        <v>0</v>
      </c>
      <c r="AL10" s="227">
        <f>+SUMIFS(Tabla1[Avance_Med],Tabla1[Fecha],"&gt;="&amp;$A10,Tabla1[Fecha],"&lt;="&amp;EOMONTH($A10,0),Tabla1[Codigo_actividad],AL$2)</f>
        <v>0</v>
      </c>
      <c r="AM10" s="227">
        <f>+SUMIFS(Tabla1[Avance_Med],Tabla1[Fecha],"&gt;="&amp;$A10,Tabla1[Fecha],"&lt;="&amp;EOMONTH($A10,0),Tabla1[Codigo_actividad],AM$2)</f>
        <v>0</v>
      </c>
      <c r="AN10" s="438">
        <f>-[1]Dashboard!D68</f>
        <v>-85734.352079999997</v>
      </c>
      <c r="AP10" s="13">
        <f t="shared" si="0"/>
        <v>312307.15577000007</v>
      </c>
    </row>
    <row r="11" spans="1:42" x14ac:dyDescent="0.25">
      <c r="A11" s="238">
        <v>46143</v>
      </c>
      <c r="B11" s="227">
        <f>+SUMIFS(Tabla1[Avance_Med],Tabla1[Fecha],"&gt;="&amp;$A11,Tabla1[Fecha],"&lt;="&amp;EOMONTH($A11,0),Tabla1[Codigo_actividad],B$2)</f>
        <v>0</v>
      </c>
      <c r="C11" s="227">
        <f>+SUMIFS(Tabla1[Avance_Med],Tabla1[Fecha],"&gt;="&amp;$A11,Tabla1[Fecha],"&lt;="&amp;EOMONTH($A11,0),Tabla1[Codigo_actividad],C$2)</f>
        <v>0</v>
      </c>
      <c r="D11" s="227">
        <f>+SUMIFS(Tabla1[Avance_Med],Tabla1[Fecha],"&gt;="&amp;$A11,Tabla1[Fecha],"&lt;="&amp;EOMONTH($A11,0),Tabla1[Codigo_actividad],D$2)</f>
        <v>0</v>
      </c>
      <c r="E11" s="227">
        <f>+SUMIFS(Tabla1[Avance_Med],Tabla1[Fecha],"&gt;="&amp;$A11,Tabla1[Fecha],"&lt;="&amp;EOMONTH($A11,0),Tabla1[Codigo_actividad],E$2)</f>
        <v>0</v>
      </c>
      <c r="F11" s="227">
        <f>+SUMIFS(Tabla1[Avance_Med],Tabla1[Fecha],"&gt;="&amp;$A11,Tabla1[Fecha],"&lt;="&amp;EOMONTH($A11,0),Tabla1[Codigo_actividad],F$2)</f>
        <v>0</v>
      </c>
      <c r="G11" s="227">
        <f>+SUMIFS(Tabla1[Avance_Med],Tabla1[Fecha],"&gt;="&amp;$A11,Tabla1[Fecha],"&lt;="&amp;EOMONTH($A11,0),Tabla1[Codigo_actividad],G$2)</f>
        <v>0</v>
      </c>
      <c r="H11" s="227">
        <f>+SUMIFS(Tabla1[Avance_km],Tabla1[Fecha],"&gt;="&amp;$A11,Tabla1[Fecha],"&lt;="&amp;EOMONTH($A11,0),Tabla1[Codigo_actividad],H$2)</f>
        <v>11.253</v>
      </c>
      <c r="I11" s="227">
        <f>+SUMIFS(Tabla1[Avance_km],Tabla1[Fecha],"&gt;="&amp;$A11,Tabla1[Fecha],"&lt;="&amp;EOMONTH($A11,0),Tabla1[Codigo_actividad],I$2)</f>
        <v>0</v>
      </c>
      <c r="J11" s="227">
        <f>+SUMIFS(Tabla1[Avance_km],Tabla1[Fecha],"&gt;="&amp;$A11,Tabla1[Fecha],"&lt;="&amp;EOMONTH($A11,0),Tabla1[Codigo_actividad],J$2,Tabla1[Avance_km],"&gt;0")</f>
        <v>19.906000000000002</v>
      </c>
      <c r="K11" s="339">
        <f>+SUMIFS(Tabla1[Avance_km],Tabla1[Fecha],"&gt;="&amp;$A11,Tabla1[Fecha],"&lt;="&amp;EOMONTH($A11,0),Tabla1[Codigo_actividad],K$2)</f>
        <v>0</v>
      </c>
      <c r="L11" s="227">
        <f>+SUMIFS(Tabla1[Avance_Med],Tabla1[Fecha],"&gt;="&amp;$A11,Tabla1[Fecha],"&lt;="&amp;EOMONTH($A11,0),Tabla1[Codigo_actividad],L$2)</f>
        <v>0</v>
      </c>
      <c r="M11" s="227">
        <f>+SUMIFS(Tabla1[Avance_km],Tabla1[Fecha],"&gt;="&amp;$A11,Tabla1[Fecha],"&lt;="&amp;EOMONTH($A11,0),Tabla1[Codigo_actividad],M$2)</f>
        <v>3.6269999999999998</v>
      </c>
      <c r="N11" s="227">
        <f>+SUMIFS(Tabla1[Avance_Med],Tabla1[Fecha],"&gt;="&amp;$A11,Tabla1[Fecha],"&lt;="&amp;EOMONTH($A11,0),Tabla1[Codigo_actividad],N$2)</f>
        <v>0</v>
      </c>
      <c r="O11" s="227">
        <f>+SUMIFS(Tabla1[Avance_Med],Tabla1[Fecha],"&gt;="&amp;$A11,Tabla1[Fecha],"&lt;="&amp;EOMONTH($A11,0),Tabla1[Codigo_actividad],O$2)</f>
        <v>0</v>
      </c>
      <c r="P11" s="227">
        <f>+SUMIFS(Tabla1[Avance_Med],Tabla1[Fecha],"&gt;="&amp;$A11,Tabla1[Fecha],"&lt;="&amp;EOMONTH($A11,0),Tabla1[Codigo_actividad],P$2)</f>
        <v>0</v>
      </c>
      <c r="Q11" s="227">
        <f>+SUMIFS(Tabla1[Avance_Med],Tabla1[Fecha],"&gt;="&amp;$A11,Tabla1[Fecha],"&lt;="&amp;EOMONTH($A11,0),Tabla1[Codigo_actividad],Q$2)</f>
        <v>0</v>
      </c>
      <c r="R11" s="227">
        <f>+SUMIFS(Tabla1[Avance_Med],Tabla1[Fecha],"&gt;="&amp;$A11,Tabla1[Fecha],"&lt;="&amp;EOMONTH($A11,0),Tabla1[Codigo_actividad],R$2)</f>
        <v>0</v>
      </c>
      <c r="S11" s="227">
        <f>+SUMIFS(Tabla1[Avance_Med],Tabla1[Fecha],"&gt;="&amp;$A11,Tabla1[Fecha],"&lt;="&amp;EOMONTH($A11,0),Tabla1[Codigo_actividad],S$2)</f>
        <v>0</v>
      </c>
      <c r="T11" s="227">
        <f>+SUMIFS(Tabla1[Avance_Med],Tabla1[Fecha],"&gt;="&amp;$A11,Tabla1[Fecha],"&lt;="&amp;EOMONTH($A11,0),Tabla1[Codigo_actividad],T$2)</f>
        <v>0</v>
      </c>
      <c r="U11" s="227">
        <f>+SUMIFS(Tabla1[Avance_Med],Tabla1[Fecha],"&gt;="&amp;$A11,Tabla1[Fecha],"&lt;="&amp;EOMONTH($A11,0),Tabla1[Codigo_actividad],U$2)</f>
        <v>0</v>
      </c>
      <c r="V11" s="227">
        <f>+SUMIFS(Tabla1[Avance_Med],Tabla1[Fecha],"&gt;="&amp;$A11,Tabla1[Fecha],"&lt;="&amp;EOMONTH($A11,0),Tabla1[Codigo_actividad],V$2)</f>
        <v>0</v>
      </c>
      <c r="W11" s="227">
        <f>+SUMIFS(Tabla1[Avance_Med],Tabla1[Fecha],"&gt;="&amp;$A11,Tabla1[Fecha],"&lt;="&amp;EOMONTH($A11,0),Tabla1[Codigo_actividad],W$2)</f>
        <v>0</v>
      </c>
      <c r="X11" s="227">
        <f>+SUMIFS(Tabla1[Avance_Med],Tabla1[Fecha],"&gt;="&amp;$A11,Tabla1[Fecha],"&lt;="&amp;EOMONTH($A11,0),Tabla1[Codigo_actividad],X$2)</f>
        <v>0</v>
      </c>
      <c r="Y11" s="227">
        <f>+SUMIFS(Tabla1[Avance_Med],Tabla1[Fecha],"&gt;="&amp;$A11,Tabla1[Fecha],"&lt;="&amp;EOMONTH($A11,0),Tabla1[Codigo_actividad],Y$2)</f>
        <v>0</v>
      </c>
      <c r="Z11" s="227">
        <f>+SUMIFS(Tabla1[Avance_Med],Tabla1[Fecha],"&gt;="&amp;$A11,Tabla1[Fecha],"&lt;="&amp;EOMONTH($A11,0),Tabla1[Codigo_actividad],Z$2)</f>
        <v>0</v>
      </c>
      <c r="AA11" s="227">
        <f>+SUMIFS(Tabla1[Avance_Med],Tabla1[Fecha],"&gt;="&amp;$A11,Tabla1[Fecha],"&lt;="&amp;EOMONTH($A11,0),Tabla1[Codigo_actividad],AA$2)</f>
        <v>0</v>
      </c>
      <c r="AB11" s="227">
        <f>+SUMIFS(Tabla1[Avance_Med],Tabla1[Fecha],"&gt;="&amp;$A11,Tabla1[Fecha],"&lt;="&amp;EOMONTH($A11,0),Tabla1[Codigo_actividad],AB$2)</f>
        <v>0</v>
      </c>
      <c r="AC11" s="227">
        <f>+SUMIFS(Tabla1[Avance_Med],Tabla1[Fecha],"&gt;="&amp;$A11,Tabla1[Fecha],"&lt;="&amp;EOMONTH($A11,0),Tabla1[Codigo_actividad],AC$2)</f>
        <v>0</v>
      </c>
      <c r="AD11" s="227">
        <f>+SUMIFS(Tabla1[Avance_Med],Tabla1[Fecha],"&gt;="&amp;$A11,Tabla1[Fecha],"&lt;="&amp;EOMONTH($A11,0),Tabla1[Codigo_actividad],AD$2)</f>
        <v>0</v>
      </c>
      <c r="AE11" s="227">
        <f>+SUMIFS(Tabla1[Avance_Med],Tabla1[Fecha],"&gt;="&amp;$A11,Tabla1[Fecha],"&lt;="&amp;EOMONTH($A11,0),Tabla1[Codigo_actividad],AE$2)</f>
        <v>0</v>
      </c>
      <c r="AF11" s="227">
        <f>+SUMIFS(Tabla1[Avance_Med],Tabla1[Fecha],"&gt;="&amp;$A11,Tabla1[Fecha],"&lt;="&amp;EOMONTH($A11,0),Tabla1[Codigo_actividad],AF$2)</f>
        <v>0</v>
      </c>
      <c r="AG11" s="227">
        <f>+SUMIFS(Tabla1[Avance_Med],Tabla1[Fecha],"&gt;="&amp;$A11,Tabla1[Fecha],"&lt;="&amp;EOMONTH($A11,0),Tabla1[Codigo_actividad],AG$2)</f>
        <v>0</v>
      </c>
      <c r="AH11" s="227">
        <f>+SUMIFS(Tabla1[Avance_Med],Tabla1[Fecha],"&gt;="&amp;$A11,Tabla1[Fecha],"&lt;="&amp;EOMONTH($A11,0),Tabla1[Codigo_actividad],AH$2)</f>
        <v>0</v>
      </c>
      <c r="AI11" s="227">
        <f>+SUMIFS(Tabla1[Avance_Med],Tabla1[Fecha],"&gt;="&amp;$A11,Tabla1[Fecha],"&lt;="&amp;EOMONTH($A11,0),Tabla1[Codigo_actividad],AI$2)</f>
        <v>0</v>
      </c>
      <c r="AJ11" s="227">
        <f>+SUMIFS(Tabla1[Avance_Med],Tabla1[Fecha],"&gt;="&amp;$A11,Tabla1[Fecha],"&lt;="&amp;EOMONTH($A11,0),Tabla1[Codigo_actividad],AJ$2)</f>
        <v>0</v>
      </c>
      <c r="AK11" s="227">
        <f>+SUMIFS(Tabla1[Avance_Med],Tabla1[Fecha],"&gt;="&amp;$A11,Tabla1[Fecha],"&lt;="&amp;EOMONTH($A11,0),Tabla1[Codigo_actividad],AK$2)</f>
        <v>0</v>
      </c>
      <c r="AL11" s="227">
        <f>+SUMIFS(Tabla1[Avance_Med],Tabla1[Fecha],"&gt;="&amp;$A11,Tabla1[Fecha],"&lt;="&amp;EOMONTH($A11,0),Tabla1[Codigo_actividad],AL$2)</f>
        <v>0</v>
      </c>
      <c r="AM11" s="227">
        <f>+SUMIFS(Tabla1[Avance_Med],Tabla1[Fecha],"&gt;="&amp;$A11,Tabla1[Fecha],"&lt;="&amp;EOMONTH($A11,0),Tabla1[Codigo_actividad],AM$2)</f>
        <v>0</v>
      </c>
      <c r="AN11" s="438">
        <f>-[1]Dashboard!D69</f>
        <v>-85734.352079999997</v>
      </c>
      <c r="AP11" s="13">
        <f t="shared" si="0"/>
        <v>441435.45984999998</v>
      </c>
    </row>
    <row r="12" spans="1:42" x14ac:dyDescent="0.25">
      <c r="A12" s="238">
        <v>46174</v>
      </c>
      <c r="B12" s="227">
        <f>+SUMIFS(Tabla1[Avance_Med],Tabla1[Fecha],"&gt;="&amp;$A12,Tabla1[Fecha],"&lt;="&amp;EOMONTH($A12,0),Tabla1[Codigo_actividad],B$2)</f>
        <v>0</v>
      </c>
      <c r="C12" s="227">
        <f>+SUMIFS(Tabla1[Avance_Med],Tabla1[Fecha],"&gt;="&amp;$A12,Tabla1[Fecha],"&lt;="&amp;EOMONTH($A12,0),Tabla1[Codigo_actividad],C$2)</f>
        <v>0</v>
      </c>
      <c r="D12" s="227">
        <f>+SUMIFS(Tabla1[Avance_Med],Tabla1[Fecha],"&gt;="&amp;$A12,Tabla1[Fecha],"&lt;="&amp;EOMONTH($A12,0),Tabla1[Codigo_actividad],D$2)</f>
        <v>0</v>
      </c>
      <c r="E12" s="227">
        <f>+SUMIFS(Tabla1[Avance_Med],Tabla1[Fecha],"&gt;="&amp;$A12,Tabla1[Fecha],"&lt;="&amp;EOMONTH($A12,0),Tabla1[Codigo_actividad],E$2)</f>
        <v>0</v>
      </c>
      <c r="F12" s="227">
        <f>+SUMIFS(Tabla1[Avance_Med],Tabla1[Fecha],"&gt;="&amp;$A12,Tabla1[Fecha],"&lt;="&amp;EOMONTH($A12,0),Tabla1[Codigo_actividad],F$2)</f>
        <v>0</v>
      </c>
      <c r="G12" s="227">
        <f>+SUMIFS(Tabla1[Avance_Med],Tabla1[Fecha],"&gt;="&amp;$A12,Tabla1[Fecha],"&lt;="&amp;EOMONTH($A12,0),Tabla1[Codigo_actividad],G$2)</f>
        <v>0</v>
      </c>
      <c r="H12" s="227">
        <f>+SUMIFS(Tabla1[Avance_km],Tabla1[Fecha],"&gt;="&amp;$A12,Tabla1[Fecha],"&lt;="&amp;EOMONTH($A12,0),Tabla1[Codigo_actividad],H$2)</f>
        <v>20.328000000000003</v>
      </c>
      <c r="I12" s="227">
        <f>+SUMIFS(Tabla1[Avance_km],Tabla1[Fecha],"&gt;="&amp;$A12,Tabla1[Fecha],"&lt;="&amp;EOMONTH($A12,0),Tabla1[Codigo_actividad],I$2)</f>
        <v>0</v>
      </c>
      <c r="J12" s="227">
        <f>+SUMIFS(Tabla1[Avance_km],Tabla1[Fecha],"&gt;="&amp;$A12,Tabla1[Fecha],"&lt;="&amp;EOMONTH($A12,0),Tabla1[Codigo_actividad],J$2,Tabla1[Avance_km],"&gt;0")</f>
        <v>0</v>
      </c>
      <c r="K12" s="339">
        <f>+SUMIFS(Tabla1[Avance_km],Tabla1[Fecha],"&gt;="&amp;$A12,Tabla1[Fecha],"&lt;="&amp;EOMONTH($A12,0),Tabla1[Codigo_actividad],K$2)</f>
        <v>0</v>
      </c>
      <c r="L12" s="227">
        <f>+SUMIFS(Tabla1[Avance_Med],Tabla1[Fecha],"&gt;="&amp;$A12,Tabla1[Fecha],"&lt;="&amp;EOMONTH($A12,0),Tabla1[Codigo_actividad],L$2)</f>
        <v>0</v>
      </c>
      <c r="M12" s="227">
        <f>+SUMIFS(Tabla1[Avance_km],Tabla1[Fecha],"&gt;="&amp;$A12,Tabla1[Fecha],"&lt;="&amp;EOMONTH($A12,0),Tabla1[Codigo_actividad],M$2)</f>
        <v>5.4169999999999998</v>
      </c>
      <c r="N12" s="227">
        <f>+SUMIFS(Tabla1[Avance_Med],Tabla1[Fecha],"&gt;="&amp;$A12,Tabla1[Fecha],"&lt;="&amp;EOMONTH($A12,0),Tabla1[Codigo_actividad],N$2)</f>
        <v>0</v>
      </c>
      <c r="O12" s="227">
        <f>+SUMIFS(Tabla1[Avance_Med],Tabla1[Fecha],"&gt;="&amp;$A12,Tabla1[Fecha],"&lt;="&amp;EOMONTH($A12,0),Tabla1[Codigo_actividad],O$2)</f>
        <v>0</v>
      </c>
      <c r="P12" s="227">
        <f>+SUMIFS(Tabla1[Avance_Med],Tabla1[Fecha],"&gt;="&amp;$A12,Tabla1[Fecha],"&lt;="&amp;EOMONTH($A12,0),Tabla1[Codigo_actividad],P$2)</f>
        <v>0</v>
      </c>
      <c r="Q12" s="227">
        <f>+SUMIFS(Tabla1[Avance_Med],Tabla1[Fecha],"&gt;="&amp;$A12,Tabla1[Fecha],"&lt;="&amp;EOMONTH($A12,0),Tabla1[Codigo_actividad],Q$2)</f>
        <v>0</v>
      </c>
      <c r="R12" s="227">
        <f>+SUMIFS(Tabla1[Avance_Med],Tabla1[Fecha],"&gt;="&amp;$A12,Tabla1[Fecha],"&lt;="&amp;EOMONTH($A12,0),Tabla1[Codigo_actividad],R$2)</f>
        <v>0</v>
      </c>
      <c r="S12" s="227">
        <f>+SUMIFS(Tabla1[Avance_Med],Tabla1[Fecha],"&gt;="&amp;$A12,Tabla1[Fecha],"&lt;="&amp;EOMONTH($A12,0),Tabla1[Codigo_actividad],S$2)</f>
        <v>0</v>
      </c>
      <c r="T12" s="227">
        <f>+SUMIFS(Tabla1[Avance_Med],Tabla1[Fecha],"&gt;="&amp;$A12,Tabla1[Fecha],"&lt;="&amp;EOMONTH($A12,0),Tabla1[Codigo_actividad],T$2)</f>
        <v>0</v>
      </c>
      <c r="U12" s="227">
        <f>+SUMIFS(Tabla1[Avance_Med],Tabla1[Fecha],"&gt;="&amp;$A12,Tabla1[Fecha],"&lt;="&amp;EOMONTH($A12,0),Tabla1[Codigo_actividad],U$2)</f>
        <v>0</v>
      </c>
      <c r="V12" s="227">
        <f>+SUMIFS(Tabla1[Avance_Med],Tabla1[Fecha],"&gt;="&amp;$A12,Tabla1[Fecha],"&lt;="&amp;EOMONTH($A12,0),Tabla1[Codigo_actividad],V$2)</f>
        <v>0</v>
      </c>
      <c r="W12" s="227">
        <f>+SUMIFS(Tabla1[Avance_Med],Tabla1[Fecha],"&gt;="&amp;$A12,Tabla1[Fecha],"&lt;="&amp;EOMONTH($A12,0),Tabla1[Codigo_actividad],W$2)</f>
        <v>0</v>
      </c>
      <c r="X12" s="227">
        <f>+SUMIFS(Tabla1[Avance_Med],Tabla1[Fecha],"&gt;="&amp;$A12,Tabla1[Fecha],"&lt;="&amp;EOMONTH($A12,0),Tabla1[Codigo_actividad],X$2)</f>
        <v>0</v>
      </c>
      <c r="Y12" s="227">
        <f>+SUMIFS(Tabla1[Avance_Med],Tabla1[Fecha],"&gt;="&amp;$A12,Tabla1[Fecha],"&lt;="&amp;EOMONTH($A12,0),Tabla1[Codigo_actividad],Y$2)</f>
        <v>0</v>
      </c>
      <c r="Z12" s="227">
        <f>+SUMIFS(Tabla1[Avance_Med],Tabla1[Fecha],"&gt;="&amp;$A12,Tabla1[Fecha],"&lt;="&amp;EOMONTH($A12,0),Tabla1[Codigo_actividad],Z$2)</f>
        <v>0</v>
      </c>
      <c r="AA12" s="227">
        <f>+SUMIFS(Tabla1[Avance_Med],Tabla1[Fecha],"&gt;="&amp;$A12,Tabla1[Fecha],"&lt;="&amp;EOMONTH($A12,0),Tabla1[Codigo_actividad],AA$2)</f>
        <v>0</v>
      </c>
      <c r="AB12" s="227">
        <f>+SUMIFS(Tabla1[Avance_Med],Tabla1[Fecha],"&gt;="&amp;$A12,Tabla1[Fecha],"&lt;="&amp;EOMONTH($A12,0),Tabla1[Codigo_actividad],AB$2)</f>
        <v>0</v>
      </c>
      <c r="AC12" s="227">
        <f>+SUMIFS(Tabla1[Avance_Med],Tabla1[Fecha],"&gt;="&amp;$A12,Tabla1[Fecha],"&lt;="&amp;EOMONTH($A12,0),Tabla1[Codigo_actividad],AC$2)</f>
        <v>0</v>
      </c>
      <c r="AD12" s="227">
        <f>+SUMIFS(Tabla1[Avance_Med],Tabla1[Fecha],"&gt;="&amp;$A12,Tabla1[Fecha],"&lt;="&amp;EOMONTH($A12,0),Tabla1[Codigo_actividad],AD$2)</f>
        <v>0</v>
      </c>
      <c r="AE12" s="227">
        <f>+SUMIFS(Tabla1[Avance_Med],Tabla1[Fecha],"&gt;="&amp;$A12,Tabla1[Fecha],"&lt;="&amp;EOMONTH($A12,0),Tabla1[Codigo_actividad],AE$2)</f>
        <v>0</v>
      </c>
      <c r="AF12" s="227">
        <f>+SUMIFS(Tabla1[Avance_Med],Tabla1[Fecha],"&gt;="&amp;$A12,Tabla1[Fecha],"&lt;="&amp;EOMONTH($A12,0),Tabla1[Codigo_actividad],AF$2)</f>
        <v>0</v>
      </c>
      <c r="AG12" s="227">
        <f>+SUMIFS(Tabla1[Avance_Med],Tabla1[Fecha],"&gt;="&amp;$A12,Tabla1[Fecha],"&lt;="&amp;EOMONTH($A12,0),Tabla1[Codigo_actividad],AG$2)</f>
        <v>0</v>
      </c>
      <c r="AH12" s="227">
        <f>+SUMIFS(Tabla1[Avance_Med],Tabla1[Fecha],"&gt;="&amp;$A12,Tabla1[Fecha],"&lt;="&amp;EOMONTH($A12,0),Tabla1[Codigo_actividad],AH$2)</f>
        <v>0</v>
      </c>
      <c r="AI12" s="227">
        <f>+SUMIFS(Tabla1[Avance_Med],Tabla1[Fecha],"&gt;="&amp;$A12,Tabla1[Fecha],"&lt;="&amp;EOMONTH($A12,0),Tabla1[Codigo_actividad],AI$2)</f>
        <v>0</v>
      </c>
      <c r="AJ12" s="227">
        <f>+SUMIFS(Tabla1[Avance_Med],Tabla1[Fecha],"&gt;="&amp;$A12,Tabla1[Fecha],"&lt;="&amp;EOMONTH($A12,0),Tabla1[Codigo_actividad],AJ$2)</f>
        <v>0</v>
      </c>
      <c r="AK12" s="227">
        <f>+SUMIFS(Tabla1[Avance_Med],Tabla1[Fecha],"&gt;="&amp;$A12,Tabla1[Fecha],"&lt;="&amp;EOMONTH($A12,0),Tabla1[Codigo_actividad],AK$2)</f>
        <v>0</v>
      </c>
      <c r="AL12" s="227">
        <f>+SUMIFS(Tabla1[Avance_Med],Tabla1[Fecha],"&gt;="&amp;$A12,Tabla1[Fecha],"&lt;="&amp;EOMONTH($A12,0),Tabla1[Codigo_actividad],AL$2)</f>
        <v>0</v>
      </c>
      <c r="AM12" s="227">
        <f>+SUMIFS(Tabla1[Avance_Med],Tabla1[Fecha],"&gt;="&amp;$A12,Tabla1[Fecha],"&lt;="&amp;EOMONTH($A12,0),Tabla1[Codigo_actividad],AM$2)</f>
        <v>0</v>
      </c>
      <c r="AN12" s="438">
        <f>-[1]Dashboard!D70</f>
        <v>-102830.79528000001</v>
      </c>
      <c r="AP12" s="13">
        <f t="shared" si="0"/>
        <v>307419.66662000003</v>
      </c>
    </row>
    <row r="13" spans="1:42" x14ac:dyDescent="0.25">
      <c r="A13" s="238">
        <v>46204</v>
      </c>
      <c r="B13" s="227">
        <f>+SUMIFS(Tabla1[Avance_Med],Tabla1[Fecha],"&gt;="&amp;$A13,Tabla1[Fecha],"&lt;="&amp;EOMONTH($A13,0),Tabla1[Codigo_actividad],B$2)</f>
        <v>0</v>
      </c>
      <c r="C13" s="227">
        <f>+SUMIFS(Tabla1[Avance_Med],Tabla1[Fecha],"&gt;="&amp;$A13,Tabla1[Fecha],"&lt;="&amp;EOMONTH($A13,0),Tabla1[Codigo_actividad],C$2)</f>
        <v>0</v>
      </c>
      <c r="D13" s="227">
        <f>+SUMIFS(Tabla1[Avance_Med],Tabla1[Fecha],"&gt;="&amp;$A13,Tabla1[Fecha],"&lt;="&amp;EOMONTH($A13,0),Tabla1[Codigo_actividad],D$2)</f>
        <v>0</v>
      </c>
      <c r="E13" s="227">
        <f>+SUMIFS(Tabla1[Avance_Med],Tabla1[Fecha],"&gt;="&amp;$A13,Tabla1[Fecha],"&lt;="&amp;EOMONTH($A13,0),Tabla1[Codigo_actividad],E$2)</f>
        <v>0</v>
      </c>
      <c r="F13" s="227">
        <f>+SUMIFS(Tabla1[Avance_Med],Tabla1[Fecha],"&gt;="&amp;$A13,Tabla1[Fecha],"&lt;="&amp;EOMONTH($A13,0),Tabla1[Codigo_actividad],F$2)</f>
        <v>0</v>
      </c>
      <c r="G13" s="227">
        <f>+SUMIFS(Tabla1[Avance_Med],Tabla1[Fecha],"&gt;="&amp;$A13,Tabla1[Fecha],"&lt;="&amp;EOMONTH($A13,0),Tabla1[Codigo_actividad],G$2)</f>
        <v>0</v>
      </c>
      <c r="H13" s="227">
        <f>+SUMIFS(Tabla1[Avance_km],Tabla1[Fecha],"&gt;="&amp;$A13,Tabla1[Fecha],"&lt;="&amp;EOMONTH($A13,0),Tabla1[Codigo_actividad],H$2)</f>
        <v>13.568</v>
      </c>
      <c r="I13" s="227">
        <f>+SUMIFS(Tabla1[Avance_km],Tabla1[Fecha],"&gt;="&amp;$A13,Tabla1[Fecha],"&lt;="&amp;EOMONTH($A13,0),Tabla1[Codigo_actividad],I$2)</f>
        <v>0</v>
      </c>
      <c r="J13" s="227">
        <f>+SUMIFS(Tabla1[Avance_km],Tabla1[Fecha],"&gt;="&amp;$A13,Tabla1[Fecha],"&lt;="&amp;EOMONTH($A13,0),Tabla1[Codigo_actividad],J$2,Tabla1[Avance_km],"&gt;0")</f>
        <v>10.538</v>
      </c>
      <c r="K13" s="339">
        <f>+SUMIFS(Tabla1[Avance_km],Tabla1[Fecha],"&gt;="&amp;$A13,Tabla1[Fecha],"&lt;="&amp;EOMONTH($A13,0),Tabla1[Codigo_actividad],K$2)</f>
        <v>0</v>
      </c>
      <c r="L13" s="227">
        <f>+SUMIFS(Tabla1[Avance_Med],Tabla1[Fecha],"&gt;="&amp;$A13,Tabla1[Fecha],"&lt;="&amp;EOMONTH($A13,0),Tabla1[Codigo_actividad],L$2)</f>
        <v>0</v>
      </c>
      <c r="M13" s="227">
        <f>+SUMIFS(Tabla1[Avance_km],Tabla1[Fecha],"&gt;="&amp;$A13,Tabla1[Fecha],"&lt;="&amp;EOMONTH($A13,0),Tabla1[Codigo_actividad],M$2)</f>
        <v>13.835000000000001</v>
      </c>
      <c r="N13" s="227">
        <f>+SUMIFS(Tabla1[Avance_Med],Tabla1[Fecha],"&gt;="&amp;$A13,Tabla1[Fecha],"&lt;="&amp;EOMONTH($A13,0),Tabla1[Codigo_actividad],N$2)</f>
        <v>0</v>
      </c>
      <c r="O13" s="227">
        <f>+SUMIFS(Tabla1[Avance_Med],Tabla1[Fecha],"&gt;="&amp;$A13,Tabla1[Fecha],"&lt;="&amp;EOMONTH($A13,0),Tabla1[Codigo_actividad],O$2)</f>
        <v>0</v>
      </c>
      <c r="P13" s="227">
        <f>+SUMIFS(Tabla1[Avance_Med],Tabla1[Fecha],"&gt;="&amp;$A13,Tabla1[Fecha],"&lt;="&amp;EOMONTH($A13,0),Tabla1[Codigo_actividad],P$2)</f>
        <v>0</v>
      </c>
      <c r="Q13" s="227">
        <f>+SUMIFS(Tabla1[Avance_Med],Tabla1[Fecha],"&gt;="&amp;$A13,Tabla1[Fecha],"&lt;="&amp;EOMONTH($A13,0),Tabla1[Codigo_actividad],Q$2)</f>
        <v>0</v>
      </c>
      <c r="R13" s="227">
        <f>+SUMIFS(Tabla1[Avance_Med],Tabla1[Fecha],"&gt;="&amp;$A13,Tabla1[Fecha],"&lt;="&amp;EOMONTH($A13,0),Tabla1[Codigo_actividad],R$2)</f>
        <v>0</v>
      </c>
      <c r="S13" s="227">
        <f>+SUMIFS(Tabla1[Avance_Med],Tabla1[Fecha],"&gt;="&amp;$A13,Tabla1[Fecha],"&lt;="&amp;EOMONTH($A13,0),Tabla1[Codigo_actividad],S$2)</f>
        <v>0</v>
      </c>
      <c r="T13" s="227">
        <f>+SUMIFS(Tabla1[Avance_Med],Tabla1[Fecha],"&gt;="&amp;$A13,Tabla1[Fecha],"&lt;="&amp;EOMONTH($A13,0),Tabla1[Codigo_actividad],T$2)</f>
        <v>0</v>
      </c>
      <c r="U13" s="227">
        <f>+SUMIFS(Tabla1[Avance_Med],Tabla1[Fecha],"&gt;="&amp;$A13,Tabla1[Fecha],"&lt;="&amp;EOMONTH($A13,0),Tabla1[Codigo_actividad],U$2)</f>
        <v>0</v>
      </c>
      <c r="V13" s="227">
        <f>+SUMIFS(Tabla1[Avance_Med],Tabla1[Fecha],"&gt;="&amp;$A13,Tabla1[Fecha],"&lt;="&amp;EOMONTH($A13,0),Tabla1[Codigo_actividad],V$2)</f>
        <v>0</v>
      </c>
      <c r="W13" s="227">
        <f>+SUMIFS(Tabla1[Avance_Med],Tabla1[Fecha],"&gt;="&amp;$A13,Tabla1[Fecha],"&lt;="&amp;EOMONTH($A13,0),Tabla1[Codigo_actividad],W$2)</f>
        <v>0</v>
      </c>
      <c r="X13" s="227">
        <f>+SUMIFS(Tabla1[Avance_Med],Tabla1[Fecha],"&gt;="&amp;$A13,Tabla1[Fecha],"&lt;="&amp;EOMONTH($A13,0),Tabla1[Codigo_actividad],X$2)</f>
        <v>0</v>
      </c>
      <c r="Y13" s="227">
        <f>+SUMIFS(Tabla1[Avance_Med],Tabla1[Fecha],"&gt;="&amp;$A13,Tabla1[Fecha],"&lt;="&amp;EOMONTH($A13,0),Tabla1[Codigo_actividad],Y$2)</f>
        <v>0</v>
      </c>
      <c r="Z13" s="227">
        <f>+SUMIFS(Tabla1[Avance_Med],Tabla1[Fecha],"&gt;="&amp;$A13,Tabla1[Fecha],"&lt;="&amp;EOMONTH($A13,0),Tabla1[Codigo_actividad],Z$2)</f>
        <v>0</v>
      </c>
      <c r="AA13" s="227">
        <f>+SUMIFS(Tabla1[Avance_Med],Tabla1[Fecha],"&gt;="&amp;$A13,Tabla1[Fecha],"&lt;="&amp;EOMONTH($A13,0),Tabla1[Codigo_actividad],AA$2)</f>
        <v>0</v>
      </c>
      <c r="AB13" s="227">
        <f>+SUMIFS(Tabla1[Avance_Med],Tabla1[Fecha],"&gt;="&amp;$A13,Tabla1[Fecha],"&lt;="&amp;EOMONTH($A13,0),Tabla1[Codigo_actividad],AB$2)</f>
        <v>0</v>
      </c>
      <c r="AC13" s="227">
        <f>+SUMIFS(Tabla1[Avance_Med],Tabla1[Fecha],"&gt;="&amp;$A13,Tabla1[Fecha],"&lt;="&amp;EOMONTH($A13,0),Tabla1[Codigo_actividad],AC$2)</f>
        <v>0</v>
      </c>
      <c r="AD13" s="227">
        <f>+SUMIFS(Tabla1[Avance_Med],Tabla1[Fecha],"&gt;="&amp;$A13,Tabla1[Fecha],"&lt;="&amp;EOMONTH($A13,0),Tabla1[Codigo_actividad],AD$2)</f>
        <v>0</v>
      </c>
      <c r="AE13" s="227">
        <f>+SUMIFS(Tabla1[Avance_Med],Tabla1[Fecha],"&gt;="&amp;$A13,Tabla1[Fecha],"&lt;="&amp;EOMONTH($A13,0),Tabla1[Codigo_actividad],AE$2)</f>
        <v>0</v>
      </c>
      <c r="AF13" s="227">
        <f>+SUMIFS(Tabla1[Avance_Med],Tabla1[Fecha],"&gt;="&amp;$A13,Tabla1[Fecha],"&lt;="&amp;EOMONTH($A13,0),Tabla1[Codigo_actividad],AF$2)</f>
        <v>0</v>
      </c>
      <c r="AG13" s="227">
        <f>+SUMIFS(Tabla1[Avance_Med],Tabla1[Fecha],"&gt;="&amp;$A13,Tabla1[Fecha],"&lt;="&amp;EOMONTH($A13,0),Tabla1[Codigo_actividad],AG$2)</f>
        <v>0</v>
      </c>
      <c r="AH13" s="227">
        <f>+SUMIFS(Tabla1[Avance_Med],Tabla1[Fecha],"&gt;="&amp;$A13,Tabla1[Fecha],"&lt;="&amp;EOMONTH($A13,0),Tabla1[Codigo_actividad],AH$2)</f>
        <v>0</v>
      </c>
      <c r="AI13" s="227">
        <f>+SUMIFS(Tabla1[Avance_Med],Tabla1[Fecha],"&gt;="&amp;$A13,Tabla1[Fecha],"&lt;="&amp;EOMONTH($A13,0),Tabla1[Codigo_actividad],AI$2)</f>
        <v>0</v>
      </c>
      <c r="AJ13" s="227">
        <f>+SUMIFS(Tabla1[Avance_Med],Tabla1[Fecha],"&gt;="&amp;$A13,Tabla1[Fecha],"&lt;="&amp;EOMONTH($A13,0),Tabla1[Codigo_actividad],AJ$2)</f>
        <v>0</v>
      </c>
      <c r="AK13" s="227">
        <f>+SUMIFS(Tabla1[Avance_Med],Tabla1[Fecha],"&gt;="&amp;$A13,Tabla1[Fecha],"&lt;="&amp;EOMONTH($A13,0),Tabla1[Codigo_actividad],AK$2)</f>
        <v>0</v>
      </c>
      <c r="AL13" s="227">
        <f>+SUMIFS(Tabla1[Avance_Med],Tabla1[Fecha],"&gt;="&amp;$A13,Tabla1[Fecha],"&lt;="&amp;EOMONTH($A13,0),Tabla1[Codigo_actividad],AL$2)</f>
        <v>0</v>
      </c>
      <c r="AM13" s="227">
        <f>+SUMIFS(Tabla1[Avance_Med],Tabla1[Fecha],"&gt;="&amp;$A13,Tabla1[Fecha],"&lt;="&amp;EOMONTH($A13,0),Tabla1[Codigo_actividad],AM$2)</f>
        <v>0</v>
      </c>
      <c r="AN13" s="438">
        <f>-[1]Dashboard!D71</f>
        <v>-102830.79528000001</v>
      </c>
      <c r="AP13" s="13">
        <f t="shared" si="0"/>
        <v>371107.12552</v>
      </c>
    </row>
    <row r="14" spans="1:42" x14ac:dyDescent="0.25">
      <c r="A14" s="238">
        <v>46235</v>
      </c>
      <c r="B14" s="227">
        <f>+SUMIFS(Tabla1[Avance_Med],Tabla1[Fecha],"&gt;="&amp;$A14,Tabla1[Fecha],"&lt;="&amp;EOMONTH($A14,0),Tabla1[Codigo_actividad],B$2)</f>
        <v>0</v>
      </c>
      <c r="C14" s="227">
        <f>+SUMIFS(Tabla1[Avance_Med],Tabla1[Fecha],"&gt;="&amp;$A14,Tabla1[Fecha],"&lt;="&amp;EOMONTH($A14,0),Tabla1[Codigo_actividad],C$2)</f>
        <v>0</v>
      </c>
      <c r="D14" s="227">
        <f>+SUMIFS(Tabla1[Avance_Med],Tabla1[Fecha],"&gt;="&amp;$A14,Tabla1[Fecha],"&lt;="&amp;EOMONTH($A14,0),Tabla1[Codigo_actividad],D$2)</f>
        <v>0</v>
      </c>
      <c r="E14" s="227">
        <f>+SUMIFS(Tabla1[Avance_Med],Tabla1[Fecha],"&gt;="&amp;$A14,Tabla1[Fecha],"&lt;="&amp;EOMONTH($A14,0),Tabla1[Codigo_actividad],E$2)</f>
        <v>0</v>
      </c>
      <c r="F14" s="227">
        <f>+SUMIFS(Tabla1[Avance_Med],Tabla1[Fecha],"&gt;="&amp;$A14,Tabla1[Fecha],"&lt;="&amp;EOMONTH($A14,0),Tabla1[Codigo_actividad],F$2)</f>
        <v>0</v>
      </c>
      <c r="G14" s="227">
        <f>+SUMIFS(Tabla1[Avance_Med],Tabla1[Fecha],"&gt;="&amp;$A14,Tabla1[Fecha],"&lt;="&amp;EOMONTH($A14,0),Tabla1[Codigo_actividad],G$2)</f>
        <v>0</v>
      </c>
      <c r="H14" s="227">
        <f>+SUMIFS(Tabla1[Avance_km],Tabla1[Fecha],"&gt;="&amp;$A14,Tabla1[Fecha],"&lt;="&amp;EOMONTH($A14,0),Tabla1[Codigo_actividad],H$2)</f>
        <v>10.033000000000001</v>
      </c>
      <c r="I14" s="227">
        <f>+SUMIFS(Tabla1[Avance_km],Tabla1[Fecha],"&gt;="&amp;$A14,Tabla1[Fecha],"&lt;="&amp;EOMONTH($A14,0),Tabla1[Codigo_actividad],I$2)</f>
        <v>0</v>
      </c>
      <c r="J14" s="227">
        <f>+SUMIFS(Tabla1[Avance_km],Tabla1[Fecha],"&gt;="&amp;$A14,Tabla1[Fecha],"&lt;="&amp;EOMONTH($A14,0),Tabla1[Codigo_actividad],J$2,Tabla1[Avance_km],"&gt;0")</f>
        <v>12.395</v>
      </c>
      <c r="K14" s="339">
        <f>+SUMIFS(Tabla1[Avance_km],Tabla1[Fecha],"&gt;="&amp;$A14,Tabla1[Fecha],"&lt;="&amp;EOMONTH($A14,0),Tabla1[Codigo_actividad],K$2)</f>
        <v>21.928769709731398</v>
      </c>
      <c r="L14" s="227">
        <f>+SUMIFS(Tabla1[Avance_Med],Tabla1[Fecha],"&gt;="&amp;$A14,Tabla1[Fecha],"&lt;="&amp;EOMONTH($A14,0),Tabla1[Codigo_actividad],L$2)</f>
        <v>0</v>
      </c>
      <c r="M14" s="227">
        <f>+SUMIFS(Tabla1[Avance_km],Tabla1[Fecha],"&gt;="&amp;$A14,Tabla1[Fecha],"&lt;="&amp;EOMONTH($A14,0),Tabla1[Codigo_actividad],M$2)</f>
        <v>12.17</v>
      </c>
      <c r="N14" s="227">
        <f>+SUMIFS(Tabla1[Avance_Med],Tabla1[Fecha],"&gt;="&amp;$A14,Tabla1[Fecha],"&lt;="&amp;EOMONTH($A14,0),Tabla1[Codigo_actividad],N$2)</f>
        <v>0</v>
      </c>
      <c r="O14" s="227">
        <f>+SUMIFS(Tabla1[Avance_Med],Tabla1[Fecha],"&gt;="&amp;$A14,Tabla1[Fecha],"&lt;="&amp;EOMONTH($A14,0),Tabla1[Codigo_actividad],O$2)</f>
        <v>0</v>
      </c>
      <c r="P14" s="227">
        <f>+SUMIFS(Tabla1[Avance_Med],Tabla1[Fecha],"&gt;="&amp;$A14,Tabla1[Fecha],"&lt;="&amp;EOMONTH($A14,0),Tabla1[Codigo_actividad],P$2)</f>
        <v>0</v>
      </c>
      <c r="Q14" s="227">
        <f>+SUMIFS(Tabla1[Avance_Med],Tabla1[Fecha],"&gt;="&amp;$A14,Tabla1[Fecha],"&lt;="&amp;EOMONTH($A14,0),Tabla1[Codigo_actividad],Q$2)</f>
        <v>2</v>
      </c>
      <c r="R14" s="227">
        <f>+SUMIFS(Tabla1[Avance_Med],Tabla1[Fecha],"&gt;="&amp;$A14,Tabla1[Fecha],"&lt;="&amp;EOMONTH($A14,0),Tabla1[Codigo_actividad],R$2)</f>
        <v>2</v>
      </c>
      <c r="S14" s="227">
        <f>+SUMIFS(Tabla1[Avance_Med],Tabla1[Fecha],"&gt;="&amp;$A14,Tabla1[Fecha],"&lt;="&amp;EOMONTH($A14,0),Tabla1[Codigo_actividad],S$2)</f>
        <v>2</v>
      </c>
      <c r="T14" s="227">
        <f>+SUMIFS(Tabla1[Avance_Med],Tabla1[Fecha],"&gt;="&amp;$A14,Tabla1[Fecha],"&lt;="&amp;EOMONTH($A14,0),Tabla1[Codigo_actividad],T$2)</f>
        <v>2</v>
      </c>
      <c r="U14" s="227">
        <f>+SUMIFS(Tabla1[Avance_Med],Tabla1[Fecha],"&gt;="&amp;$A14,Tabla1[Fecha],"&lt;="&amp;EOMONTH($A14,0),Tabla1[Codigo_actividad],U$2)</f>
        <v>0</v>
      </c>
      <c r="V14" s="227">
        <f>+SUMIFS(Tabla1[Avance_Med],Tabla1[Fecha],"&gt;="&amp;$A14,Tabla1[Fecha],"&lt;="&amp;EOMONTH($A14,0),Tabla1[Codigo_actividad],V$2)</f>
        <v>2</v>
      </c>
      <c r="W14" s="227">
        <f>+SUMIFS(Tabla1[Avance_Med],Tabla1[Fecha],"&gt;="&amp;$A14,Tabla1[Fecha],"&lt;="&amp;EOMONTH($A14,0),Tabla1[Codigo_actividad],W$2)</f>
        <v>0</v>
      </c>
      <c r="X14" s="227">
        <f>+SUMIFS(Tabla1[Avance_Med],Tabla1[Fecha],"&gt;="&amp;$A14,Tabla1[Fecha],"&lt;="&amp;EOMONTH($A14,0),Tabla1[Codigo_actividad],X$2)</f>
        <v>0</v>
      </c>
      <c r="Y14" s="227">
        <f>+SUMIFS(Tabla1[Avance_Med],Tabla1[Fecha],"&gt;="&amp;$A14,Tabla1[Fecha],"&lt;="&amp;EOMONTH($A14,0),Tabla1[Codigo_actividad],Y$2)</f>
        <v>2</v>
      </c>
      <c r="Z14" s="227">
        <f>+SUMIFS(Tabla1[Avance_Med],Tabla1[Fecha],"&gt;="&amp;$A14,Tabla1[Fecha],"&lt;="&amp;EOMONTH($A14,0),Tabla1[Codigo_actividad],Z$2)</f>
        <v>2</v>
      </c>
      <c r="AA14" s="227">
        <f>+SUMIFS(Tabla1[Avance_Med],Tabla1[Fecha],"&gt;="&amp;$A14,Tabla1[Fecha],"&lt;="&amp;EOMONTH($A14,0),Tabla1[Codigo_actividad],AA$2)</f>
        <v>0</v>
      </c>
      <c r="AB14" s="227">
        <f>+SUMIFS(Tabla1[Avance_Med],Tabla1[Fecha],"&gt;="&amp;$A14,Tabla1[Fecha],"&lt;="&amp;EOMONTH($A14,0),Tabla1[Codigo_actividad],AB$2)</f>
        <v>0</v>
      </c>
      <c r="AC14" s="227">
        <f>+SUMIFS(Tabla1[Avance_Med],Tabla1[Fecha],"&gt;="&amp;$A14,Tabla1[Fecha],"&lt;="&amp;EOMONTH($A14,0),Tabla1[Codigo_actividad],AC$2)</f>
        <v>0</v>
      </c>
      <c r="AD14" s="227">
        <f>+SUMIFS(Tabla1[Avance_Med],Tabla1[Fecha],"&gt;="&amp;$A14,Tabla1[Fecha],"&lt;="&amp;EOMONTH($A14,0),Tabla1[Codigo_actividad],AD$2)</f>
        <v>0</v>
      </c>
      <c r="AE14" s="227">
        <f>+SUMIFS(Tabla1[Avance_Med],Tabla1[Fecha],"&gt;="&amp;$A14,Tabla1[Fecha],"&lt;="&amp;EOMONTH($A14,0),Tabla1[Codigo_actividad],AE$2)</f>
        <v>0</v>
      </c>
      <c r="AF14" s="227">
        <f>+SUMIFS(Tabla1[Avance_Med],Tabla1[Fecha],"&gt;="&amp;$A14,Tabla1[Fecha],"&lt;="&amp;EOMONTH($A14,0),Tabla1[Codigo_actividad],AF$2)</f>
        <v>0</v>
      </c>
      <c r="AG14" s="227">
        <f>+SUMIFS(Tabla1[Avance_Med],Tabla1[Fecha],"&gt;="&amp;$A14,Tabla1[Fecha],"&lt;="&amp;EOMONTH($A14,0),Tabla1[Codigo_actividad],AG$2)</f>
        <v>0</v>
      </c>
      <c r="AH14" s="227">
        <f>+SUMIFS(Tabla1[Avance_Med],Tabla1[Fecha],"&gt;="&amp;$A14,Tabla1[Fecha],"&lt;="&amp;EOMONTH($A14,0),Tabla1[Codigo_actividad],AH$2)</f>
        <v>0</v>
      </c>
      <c r="AI14" s="227">
        <f>+SUMIFS(Tabla1[Avance_Med],Tabla1[Fecha],"&gt;="&amp;$A14,Tabla1[Fecha],"&lt;="&amp;EOMONTH($A14,0),Tabla1[Codigo_actividad],AI$2)</f>
        <v>0</v>
      </c>
      <c r="AJ14" s="227">
        <f>+SUMIFS(Tabla1[Avance_Med],Tabla1[Fecha],"&gt;="&amp;$A14,Tabla1[Fecha],"&lt;="&amp;EOMONTH($A14,0),Tabla1[Codigo_actividad],AJ$2)</f>
        <v>24</v>
      </c>
      <c r="AK14" s="227">
        <f>+SUMIFS(Tabla1[Avance_Med],Tabla1[Fecha],"&gt;="&amp;$A14,Tabla1[Fecha],"&lt;="&amp;EOMONTH($A14,0),Tabla1[Codigo_actividad],AK$2)</f>
        <v>24</v>
      </c>
      <c r="AL14" s="227">
        <f>+SUMIFS(Tabla1[Avance_Med],Tabla1[Fecha],"&gt;="&amp;$A14,Tabla1[Fecha],"&lt;="&amp;EOMONTH($A14,0),Tabla1[Codigo_actividad],AL$2)</f>
        <v>0</v>
      </c>
      <c r="AM14" s="227">
        <f>+SUMIFS(Tabla1[Avance_Med],Tabla1[Fecha],"&gt;="&amp;$A14,Tabla1[Fecha],"&lt;="&amp;EOMONTH($A14,0),Tabla1[Codigo_actividad],AM$2)</f>
        <v>0</v>
      </c>
      <c r="AN14" s="438">
        <f>-[1]Dashboard!D72</f>
        <v>-102830.79528000001</v>
      </c>
      <c r="AP14" s="13">
        <f t="shared" si="0"/>
        <v>641530.71178000001</v>
      </c>
    </row>
    <row r="15" spans="1:42" x14ac:dyDescent="0.25">
      <c r="A15" s="238">
        <v>46266</v>
      </c>
      <c r="B15" s="227">
        <f>+SUMIFS(Tabla1[Avance_Med],Tabla1[Fecha],"&gt;="&amp;$A15,Tabla1[Fecha],"&lt;="&amp;EOMONTH($A15,0),Tabla1[Codigo_actividad],B$2)</f>
        <v>0</v>
      </c>
      <c r="C15" s="227">
        <f>+SUMIFS(Tabla1[Avance_Med],Tabla1[Fecha],"&gt;="&amp;$A15,Tabla1[Fecha],"&lt;="&amp;EOMONTH($A15,0),Tabla1[Codigo_actividad],C$2)</f>
        <v>0</v>
      </c>
      <c r="D15" s="227">
        <f>+SUMIFS(Tabla1[Avance_Med],Tabla1[Fecha],"&gt;="&amp;$A15,Tabla1[Fecha],"&lt;="&amp;EOMONTH($A15,0),Tabla1[Codigo_actividad],D$2)</f>
        <v>0</v>
      </c>
      <c r="E15" s="227">
        <f>+SUMIFS(Tabla1[Avance_Med],Tabla1[Fecha],"&gt;="&amp;$A15,Tabla1[Fecha],"&lt;="&amp;EOMONTH($A15,0),Tabla1[Codigo_actividad],E$2)</f>
        <v>0</v>
      </c>
      <c r="F15" s="227">
        <f>+SUMIFS(Tabla1[Avance_Med],Tabla1[Fecha],"&gt;="&amp;$A15,Tabla1[Fecha],"&lt;="&amp;EOMONTH($A15,0),Tabla1[Codigo_actividad],F$2)</f>
        <v>0</v>
      </c>
      <c r="G15" s="227">
        <f>+SUMIFS(Tabla1[Avance_Med],Tabla1[Fecha],"&gt;="&amp;$A15,Tabla1[Fecha],"&lt;="&amp;EOMONTH($A15,0),Tabla1[Codigo_actividad],G$2)</f>
        <v>0</v>
      </c>
      <c r="H15" s="227">
        <f>+SUMIFS(Tabla1[Avance_km],Tabla1[Fecha],"&gt;="&amp;$A15,Tabla1[Fecha],"&lt;="&amp;EOMONTH($A15,0),Tabla1[Codigo_actividad],H$2)</f>
        <v>10.719999999999999</v>
      </c>
      <c r="I15" s="227">
        <f>+SUMIFS(Tabla1[Avance_km],Tabla1[Fecha],"&gt;="&amp;$A15,Tabla1[Fecha],"&lt;="&amp;EOMONTH($A15,0),Tabla1[Codigo_actividad],I$2)</f>
        <v>0</v>
      </c>
      <c r="J15" s="227">
        <f>+SUMIFS(Tabla1[Avance_km],Tabla1[Fecha],"&gt;="&amp;$A15,Tabla1[Fecha],"&lt;="&amp;EOMONTH($A15,0),Tabla1[Codigo_actividad],J$2,Tabla1[Avance_km],"&gt;0")</f>
        <v>0</v>
      </c>
      <c r="K15" s="339">
        <f>+SUMIFS(Tabla1[Avance_km],Tabla1[Fecha],"&gt;="&amp;$A15,Tabla1[Fecha],"&lt;="&amp;EOMONTH($A15,0),Tabla1[Codigo_actividad],K$2)</f>
        <v>32.143149088657644</v>
      </c>
      <c r="L15" s="227">
        <f>+SUMIFS(Tabla1[Avance_Med],Tabla1[Fecha],"&gt;="&amp;$A15,Tabla1[Fecha],"&lt;="&amp;EOMONTH($A15,0),Tabla1[Codigo_actividad],L$2)</f>
        <v>20</v>
      </c>
      <c r="M15" s="227">
        <f>+SUMIFS(Tabla1[Avance_km],Tabla1[Fecha],"&gt;="&amp;$A15,Tabla1[Fecha],"&lt;="&amp;EOMONTH($A15,0),Tabla1[Codigo_actividad],M$2)</f>
        <v>20.07</v>
      </c>
      <c r="N15" s="227">
        <f>+SUMIFS(Tabla1[Avance_Med],Tabla1[Fecha],"&gt;="&amp;$A15,Tabla1[Fecha],"&lt;="&amp;EOMONTH($A15,0),Tabla1[Codigo_actividad],N$2)</f>
        <v>34</v>
      </c>
      <c r="O15" s="227">
        <f>+SUMIFS(Tabla1[Avance_Med],Tabla1[Fecha],"&gt;="&amp;$A15,Tabla1[Fecha],"&lt;="&amp;EOMONTH($A15,0),Tabla1[Codigo_actividad],O$2)</f>
        <v>34</v>
      </c>
      <c r="P15" s="227">
        <f>+SUMIFS(Tabla1[Avance_Med],Tabla1[Fecha],"&gt;="&amp;$A15,Tabla1[Fecha],"&lt;="&amp;EOMONTH($A15,0),Tabla1[Codigo_actividad],P$2)</f>
        <v>34</v>
      </c>
      <c r="Q15" s="227">
        <f>+SUMIFS(Tabla1[Avance_Med],Tabla1[Fecha],"&gt;="&amp;$A15,Tabla1[Fecha],"&lt;="&amp;EOMONTH($A15,0),Tabla1[Codigo_actividad],Q$2)</f>
        <v>8</v>
      </c>
      <c r="R15" s="227">
        <f>+SUMIFS(Tabla1[Avance_Med],Tabla1[Fecha],"&gt;="&amp;$A15,Tabla1[Fecha],"&lt;="&amp;EOMONTH($A15,0),Tabla1[Codigo_actividad],R$2)</f>
        <v>8</v>
      </c>
      <c r="S15" s="227">
        <f>+SUMIFS(Tabla1[Avance_Med],Tabla1[Fecha],"&gt;="&amp;$A15,Tabla1[Fecha],"&lt;="&amp;EOMONTH($A15,0),Tabla1[Codigo_actividad],S$2)</f>
        <v>8</v>
      </c>
      <c r="T15" s="227">
        <f>+SUMIFS(Tabla1[Avance_Med],Tabla1[Fecha],"&gt;="&amp;$A15,Tabla1[Fecha],"&lt;="&amp;EOMONTH($A15,0),Tabla1[Codigo_actividad],T$2)</f>
        <v>8</v>
      </c>
      <c r="U15" s="227">
        <f>+SUMIFS(Tabla1[Avance_Med],Tabla1[Fecha],"&gt;="&amp;$A15,Tabla1[Fecha],"&lt;="&amp;EOMONTH($A15,0),Tabla1[Codigo_actividad],U$2)</f>
        <v>2</v>
      </c>
      <c r="V15" s="227">
        <f>+SUMIFS(Tabla1[Avance_Med],Tabla1[Fecha],"&gt;="&amp;$A15,Tabla1[Fecha],"&lt;="&amp;EOMONTH($A15,0),Tabla1[Codigo_actividad],V$2)</f>
        <v>8</v>
      </c>
      <c r="W15" s="227">
        <f>+SUMIFS(Tabla1[Avance_Med],Tabla1[Fecha],"&gt;="&amp;$A15,Tabla1[Fecha],"&lt;="&amp;EOMONTH($A15,0),Tabla1[Codigo_actividad],W$2)</f>
        <v>2</v>
      </c>
      <c r="X15" s="227">
        <f>+SUMIFS(Tabla1[Avance_Med],Tabla1[Fecha],"&gt;="&amp;$A15,Tabla1[Fecha],"&lt;="&amp;EOMONTH($A15,0),Tabla1[Codigo_actividad],X$2)</f>
        <v>3</v>
      </c>
      <c r="Y15" s="227">
        <f>+SUMIFS(Tabla1[Avance_Med],Tabla1[Fecha],"&gt;="&amp;$A15,Tabla1[Fecha],"&lt;="&amp;EOMONTH($A15,0),Tabla1[Codigo_actividad],Y$2)</f>
        <v>8</v>
      </c>
      <c r="Z15" s="227">
        <f>+SUMIFS(Tabla1[Avance_Med],Tabla1[Fecha],"&gt;="&amp;$A15,Tabla1[Fecha],"&lt;="&amp;EOMONTH($A15,0),Tabla1[Codigo_actividad],Z$2)</f>
        <v>8</v>
      </c>
      <c r="AA15" s="227">
        <f>+SUMIFS(Tabla1[Avance_Med],Tabla1[Fecha],"&gt;="&amp;$A15,Tabla1[Fecha],"&lt;="&amp;EOMONTH($A15,0),Tabla1[Codigo_actividad],AA$2)</f>
        <v>0</v>
      </c>
      <c r="AB15" s="227">
        <f>+SUMIFS(Tabla1[Avance_Med],Tabla1[Fecha],"&gt;="&amp;$A15,Tabla1[Fecha],"&lt;="&amp;EOMONTH($A15,0),Tabla1[Codigo_actividad],AB$2)</f>
        <v>0</v>
      </c>
      <c r="AC15" s="227">
        <f>+SUMIFS(Tabla1[Avance_Med],Tabla1[Fecha],"&gt;="&amp;$A15,Tabla1[Fecha],"&lt;="&amp;EOMONTH($A15,0),Tabla1[Codigo_actividad],AC$2)</f>
        <v>0</v>
      </c>
      <c r="AD15" s="227">
        <f>+SUMIFS(Tabla1[Avance_Med],Tabla1[Fecha],"&gt;="&amp;$A15,Tabla1[Fecha],"&lt;="&amp;EOMONTH($A15,0),Tabla1[Codigo_actividad],AD$2)</f>
        <v>0</v>
      </c>
      <c r="AE15" s="227">
        <f>+SUMIFS(Tabla1[Avance_Med],Tabla1[Fecha],"&gt;="&amp;$A15,Tabla1[Fecha],"&lt;="&amp;EOMONTH($A15,0),Tabla1[Codigo_actividad],AE$2)</f>
        <v>0</v>
      </c>
      <c r="AF15" s="227">
        <f>+SUMIFS(Tabla1[Avance_Med],Tabla1[Fecha],"&gt;="&amp;$A15,Tabla1[Fecha],"&lt;="&amp;EOMONTH($A15,0),Tabla1[Codigo_actividad],AF$2)</f>
        <v>0</v>
      </c>
      <c r="AG15" s="227">
        <f>+SUMIFS(Tabla1[Avance_Med],Tabla1[Fecha],"&gt;="&amp;$A15,Tabla1[Fecha],"&lt;="&amp;EOMONTH($A15,0),Tabla1[Codigo_actividad],AG$2)</f>
        <v>0</v>
      </c>
      <c r="AH15" s="227">
        <f>+SUMIFS(Tabla1[Avance_Med],Tabla1[Fecha],"&gt;="&amp;$A15,Tabla1[Fecha],"&lt;="&amp;EOMONTH($A15,0),Tabla1[Codigo_actividad],AH$2)</f>
        <v>0</v>
      </c>
      <c r="AI15" s="227">
        <f>+SUMIFS(Tabla1[Avance_Med],Tabla1[Fecha],"&gt;="&amp;$A15,Tabla1[Fecha],"&lt;="&amp;EOMONTH($A15,0),Tabla1[Codigo_actividad],AI$2)</f>
        <v>0</v>
      </c>
      <c r="AJ15" s="227">
        <f>+SUMIFS(Tabla1[Avance_Med],Tabla1[Fecha],"&gt;="&amp;$A15,Tabla1[Fecha],"&lt;="&amp;EOMONTH($A15,0),Tabla1[Codigo_actividad],AJ$2)</f>
        <v>0</v>
      </c>
      <c r="AK15" s="227">
        <f>+SUMIFS(Tabla1[Avance_Med],Tabla1[Fecha],"&gt;="&amp;$A15,Tabla1[Fecha],"&lt;="&amp;EOMONTH($A15,0),Tabla1[Codigo_actividad],AK$2)</f>
        <v>0</v>
      </c>
      <c r="AL15" s="227">
        <f>+SUMIFS(Tabla1[Avance_Med],Tabla1[Fecha],"&gt;="&amp;$A15,Tabla1[Fecha],"&lt;="&amp;EOMONTH($A15,0),Tabla1[Codigo_actividad],AL$2)</f>
        <v>0</v>
      </c>
      <c r="AM15" s="227">
        <f>+SUMIFS(Tabla1[Avance_Med],Tabla1[Fecha],"&gt;="&amp;$A15,Tabla1[Fecha],"&lt;="&amp;EOMONTH($A15,0),Tabla1[Codigo_actividad],AM$2)</f>
        <v>0</v>
      </c>
      <c r="AN15" s="438">
        <f>-[1]Dashboard!D73</f>
        <v>-102830.79528000001</v>
      </c>
      <c r="AP15" s="13">
        <f t="shared" si="0"/>
        <v>944715.10459999996</v>
      </c>
    </row>
    <row r="16" spans="1:42" x14ac:dyDescent="0.25">
      <c r="A16" s="238">
        <v>46296</v>
      </c>
      <c r="B16" s="227">
        <f>+SUMIFS(Tabla1[Avance_Med],Tabla1[Fecha],"&gt;="&amp;$A16,Tabla1[Fecha],"&lt;="&amp;EOMONTH($A16,0),Tabla1[Codigo_actividad],B$2)</f>
        <v>0</v>
      </c>
      <c r="C16" s="227">
        <f>+SUMIFS(Tabla1[Avance_Med],Tabla1[Fecha],"&gt;="&amp;$A16,Tabla1[Fecha],"&lt;="&amp;EOMONTH($A16,0),Tabla1[Codigo_actividad],C$2)</f>
        <v>0</v>
      </c>
      <c r="D16" s="227">
        <f>+SUMIFS(Tabla1[Avance_Med],Tabla1[Fecha],"&gt;="&amp;$A16,Tabla1[Fecha],"&lt;="&amp;EOMONTH($A16,0),Tabla1[Codigo_actividad],D$2)</f>
        <v>0</v>
      </c>
      <c r="E16" s="227">
        <f>+SUMIFS(Tabla1[Avance_Med],Tabla1[Fecha],"&gt;="&amp;$A16,Tabla1[Fecha],"&lt;="&amp;EOMONTH($A16,0),Tabla1[Codigo_actividad],E$2)</f>
        <v>0</v>
      </c>
      <c r="F16" s="227">
        <f>+SUMIFS(Tabla1[Avance_Med],Tabla1[Fecha],"&gt;="&amp;$A16,Tabla1[Fecha],"&lt;="&amp;EOMONTH($A16,0),Tabla1[Codigo_actividad],F$2)</f>
        <v>0</v>
      </c>
      <c r="G16" s="227">
        <f>+SUMIFS(Tabla1[Avance_Med],Tabla1[Fecha],"&gt;="&amp;$A16,Tabla1[Fecha],"&lt;="&amp;EOMONTH($A16,0),Tabla1[Codigo_actividad],G$2)</f>
        <v>0</v>
      </c>
      <c r="H16" s="227">
        <f>+SUMIFS(Tabla1[Avance_km],Tabla1[Fecha],"&gt;="&amp;$A16,Tabla1[Fecha],"&lt;="&amp;EOMONTH($A16,0),Tabla1[Codigo_actividad],H$2)</f>
        <v>16.6295</v>
      </c>
      <c r="I16" s="227">
        <f>+SUMIFS(Tabla1[Avance_km],Tabla1[Fecha],"&gt;="&amp;$A16,Tabla1[Fecha],"&lt;="&amp;EOMONTH($A16,0),Tabla1[Codigo_actividad],I$2)</f>
        <v>0</v>
      </c>
      <c r="J16" s="227">
        <f>+SUMIFS(Tabla1[Avance_km],Tabla1[Fecha],"&gt;="&amp;$A16,Tabla1[Fecha],"&lt;="&amp;EOMONTH($A16,0),Tabla1[Codigo_actividad],J$2,Tabla1[Avance_km],"&gt;0")</f>
        <v>1.6244999999999994</v>
      </c>
      <c r="K16" s="339">
        <f>+SUMIFS(Tabla1[Avance_km],Tabla1[Fecha],"&gt;="&amp;$A16,Tabla1[Fecha],"&lt;="&amp;EOMONTH($A16,0),Tabla1[Codigo_actividad],K$2)</f>
        <v>64.719760402094579</v>
      </c>
      <c r="L16" s="227">
        <f>+SUMIFS(Tabla1[Avance_Med],Tabla1[Fecha],"&gt;="&amp;$A16,Tabla1[Fecha],"&lt;="&amp;EOMONTH($A16,0),Tabla1[Codigo_actividad],L$2)</f>
        <v>0</v>
      </c>
      <c r="M16" s="227">
        <f>+SUMIFS(Tabla1[Avance_km],Tabla1[Fecha],"&gt;="&amp;$A16,Tabla1[Fecha],"&lt;="&amp;EOMONTH($A16,0),Tabla1[Codigo_actividad],M$2)</f>
        <v>6.4055</v>
      </c>
      <c r="N16" s="227">
        <f>+SUMIFS(Tabla1[Avance_Med],Tabla1[Fecha],"&gt;="&amp;$A16,Tabla1[Fecha],"&lt;="&amp;EOMONTH($A16,0),Tabla1[Codigo_actividad],N$2)</f>
        <v>4</v>
      </c>
      <c r="O16" s="227">
        <f>+SUMIFS(Tabla1[Avance_Med],Tabla1[Fecha],"&gt;="&amp;$A16,Tabla1[Fecha],"&lt;="&amp;EOMONTH($A16,0),Tabla1[Codigo_actividad],O$2)</f>
        <v>4</v>
      </c>
      <c r="P16" s="227">
        <f>+SUMIFS(Tabla1[Avance_Med],Tabla1[Fecha],"&gt;="&amp;$A16,Tabla1[Fecha],"&lt;="&amp;EOMONTH($A16,0),Tabla1[Codigo_actividad],P$2)</f>
        <v>4</v>
      </c>
      <c r="Q16" s="227">
        <f>+SUMIFS(Tabla1[Avance_Med],Tabla1[Fecha],"&gt;="&amp;$A16,Tabla1[Fecha],"&lt;="&amp;EOMONTH($A16,0),Tabla1[Codigo_actividad],Q$2)</f>
        <v>5</v>
      </c>
      <c r="R16" s="227">
        <f>+SUMIFS(Tabla1[Avance_Med],Tabla1[Fecha],"&gt;="&amp;$A16,Tabla1[Fecha],"&lt;="&amp;EOMONTH($A16,0),Tabla1[Codigo_actividad],R$2)</f>
        <v>6</v>
      </c>
      <c r="S16" s="227">
        <f>+SUMIFS(Tabla1[Avance_Med],Tabla1[Fecha],"&gt;="&amp;$A16,Tabla1[Fecha],"&lt;="&amp;EOMONTH($A16,0),Tabla1[Codigo_actividad],S$2)</f>
        <v>6</v>
      </c>
      <c r="T16" s="227">
        <f>+SUMIFS(Tabla1[Avance_Med],Tabla1[Fecha],"&gt;="&amp;$A16,Tabla1[Fecha],"&lt;="&amp;EOMONTH($A16,0),Tabla1[Codigo_actividad],T$2)</f>
        <v>6</v>
      </c>
      <c r="U16" s="227">
        <f>+SUMIFS(Tabla1[Avance_Med],Tabla1[Fecha],"&gt;="&amp;$A16,Tabla1[Fecha],"&lt;="&amp;EOMONTH($A16,0),Tabla1[Codigo_actividad],U$2)</f>
        <v>0</v>
      </c>
      <c r="V16" s="227">
        <f>+SUMIFS(Tabla1[Avance_Med],Tabla1[Fecha],"&gt;="&amp;$A16,Tabla1[Fecha],"&lt;="&amp;EOMONTH($A16,0),Tabla1[Codigo_actividad],V$2)</f>
        <v>6</v>
      </c>
      <c r="W16" s="227">
        <f>+SUMIFS(Tabla1[Avance_Med],Tabla1[Fecha],"&gt;="&amp;$A16,Tabla1[Fecha],"&lt;="&amp;EOMONTH($A16,0),Tabla1[Codigo_actividad],W$2)</f>
        <v>1</v>
      </c>
      <c r="X16" s="227">
        <f>+SUMIFS(Tabla1[Avance_Med],Tabla1[Fecha],"&gt;="&amp;$A16,Tabla1[Fecha],"&lt;="&amp;EOMONTH($A16,0),Tabla1[Codigo_actividad],X$2)</f>
        <v>1</v>
      </c>
      <c r="Y16" s="227">
        <f>+SUMIFS(Tabla1[Avance_Med],Tabla1[Fecha],"&gt;="&amp;$A16,Tabla1[Fecha],"&lt;="&amp;EOMONTH($A16,0),Tabla1[Codigo_actividad],Y$2)</f>
        <v>4</v>
      </c>
      <c r="Z16" s="227">
        <f>+SUMIFS(Tabla1[Avance_Med],Tabla1[Fecha],"&gt;="&amp;$A16,Tabla1[Fecha],"&lt;="&amp;EOMONTH($A16,0),Tabla1[Codigo_actividad],Z$2)</f>
        <v>4</v>
      </c>
      <c r="AA16" s="227">
        <f>+SUMIFS(Tabla1[Avance_Med],Tabla1[Fecha],"&gt;="&amp;$A16,Tabla1[Fecha],"&lt;="&amp;EOMONTH($A16,0),Tabla1[Codigo_actividad],AA$2)</f>
        <v>0</v>
      </c>
      <c r="AB16" s="227">
        <f>+SUMIFS(Tabla1[Avance_Med],Tabla1[Fecha],"&gt;="&amp;$A16,Tabla1[Fecha],"&lt;="&amp;EOMONTH($A16,0),Tabla1[Codigo_actividad],AB$2)</f>
        <v>0</v>
      </c>
      <c r="AC16" s="227">
        <f>+SUMIFS(Tabla1[Avance_Med],Tabla1[Fecha],"&gt;="&amp;$A16,Tabla1[Fecha],"&lt;="&amp;EOMONTH($A16,0),Tabla1[Codigo_actividad],AC$2)</f>
        <v>0</v>
      </c>
      <c r="AD16" s="227">
        <f>+SUMIFS(Tabla1[Avance_Med],Tabla1[Fecha],"&gt;="&amp;$A16,Tabla1[Fecha],"&lt;="&amp;EOMONTH($A16,0),Tabla1[Codigo_actividad],AD$2)</f>
        <v>0</v>
      </c>
      <c r="AE16" s="227">
        <f>+SUMIFS(Tabla1[Avance_Med],Tabla1[Fecha],"&gt;="&amp;$A16,Tabla1[Fecha],"&lt;="&amp;EOMONTH($A16,0),Tabla1[Codigo_actividad],AE$2)</f>
        <v>0</v>
      </c>
      <c r="AF16" s="227">
        <f>+SUMIFS(Tabla1[Avance_Med],Tabla1[Fecha],"&gt;="&amp;$A16,Tabla1[Fecha],"&lt;="&amp;EOMONTH($A16,0),Tabla1[Codigo_actividad],AF$2)</f>
        <v>0</v>
      </c>
      <c r="AG16" s="227">
        <f>+SUMIFS(Tabla1[Avance_Med],Tabla1[Fecha],"&gt;="&amp;$A16,Tabla1[Fecha],"&lt;="&amp;EOMONTH($A16,0),Tabla1[Codigo_actividad],AG$2)</f>
        <v>0</v>
      </c>
      <c r="AH16" s="227">
        <f>+SUMIFS(Tabla1[Avance_Med],Tabla1[Fecha],"&gt;="&amp;$A16,Tabla1[Fecha],"&lt;="&amp;EOMONTH($A16,0),Tabla1[Codigo_actividad],AH$2)</f>
        <v>0</v>
      </c>
      <c r="AI16" s="227">
        <f>+SUMIFS(Tabla1[Avance_Med],Tabla1[Fecha],"&gt;="&amp;$A16,Tabla1[Fecha],"&lt;="&amp;EOMONTH($A16,0),Tabla1[Codigo_actividad],AI$2)</f>
        <v>0</v>
      </c>
      <c r="AJ16" s="227">
        <f>+SUMIFS(Tabla1[Avance_Med],Tabla1[Fecha],"&gt;="&amp;$A16,Tabla1[Fecha],"&lt;="&amp;EOMONTH($A16,0),Tabla1[Codigo_actividad],AJ$2)</f>
        <v>0</v>
      </c>
      <c r="AK16" s="227">
        <f>+SUMIFS(Tabla1[Avance_Med],Tabla1[Fecha],"&gt;="&amp;$A16,Tabla1[Fecha],"&lt;="&amp;EOMONTH($A16,0),Tabla1[Codigo_actividad],AK$2)</f>
        <v>0</v>
      </c>
      <c r="AL16" s="227">
        <f>+SUMIFS(Tabla1[Avance_Med],Tabla1[Fecha],"&gt;="&amp;$A16,Tabla1[Fecha],"&lt;="&amp;EOMONTH($A16,0),Tabla1[Codigo_actividad],AL$2)</f>
        <v>0</v>
      </c>
      <c r="AM16" s="227">
        <f>+SUMIFS(Tabla1[Avance_Med],Tabla1[Fecha],"&gt;="&amp;$A16,Tabla1[Fecha],"&lt;="&amp;EOMONTH($A16,0),Tabla1[Codigo_actividad],AM$2)</f>
        <v>0</v>
      </c>
      <c r="AN16" s="438"/>
      <c r="AP16" s="13">
        <f t="shared" si="0"/>
        <v>1189130.3723400002</v>
      </c>
    </row>
    <row r="17" spans="1:44" x14ac:dyDescent="0.25">
      <c r="A17" s="238">
        <v>46327</v>
      </c>
      <c r="B17" s="227">
        <f>+SUMIFS(Tabla1[Avance_Med],Tabla1[Fecha],"&gt;="&amp;$A17,Tabla1[Fecha],"&lt;="&amp;EOMONTH($A17,0),Tabla1[Codigo_actividad],B$2)</f>
        <v>0</v>
      </c>
      <c r="C17" s="227">
        <f>+SUMIFS(Tabla1[Avance_Med],Tabla1[Fecha],"&gt;="&amp;$A17,Tabla1[Fecha],"&lt;="&amp;EOMONTH($A17,0),Tabla1[Codigo_actividad],C$2)</f>
        <v>0</v>
      </c>
      <c r="D17" s="227">
        <f>+SUMIFS(Tabla1[Avance_Med],Tabla1[Fecha],"&gt;="&amp;$A17,Tabla1[Fecha],"&lt;="&amp;EOMONTH($A17,0),Tabla1[Codigo_actividad],D$2)</f>
        <v>0</v>
      </c>
      <c r="E17" s="227">
        <f>+SUMIFS(Tabla1[Avance_Med],Tabla1[Fecha],"&gt;="&amp;$A17,Tabla1[Fecha],"&lt;="&amp;EOMONTH($A17,0),Tabla1[Codigo_actividad],E$2)</f>
        <v>0</v>
      </c>
      <c r="F17" s="227">
        <f>+SUMIFS(Tabla1[Avance_Med],Tabla1[Fecha],"&gt;="&amp;$A17,Tabla1[Fecha],"&lt;="&amp;EOMONTH($A17,0),Tabla1[Codigo_actividad],F$2)</f>
        <v>0</v>
      </c>
      <c r="G17" s="227">
        <f>+SUMIFS(Tabla1[Avance_Med],Tabla1[Fecha],"&gt;="&amp;$A17,Tabla1[Fecha],"&lt;="&amp;EOMONTH($A17,0),Tabla1[Codigo_actividad],G$2)</f>
        <v>0</v>
      </c>
      <c r="H17" s="227">
        <f>+SUMIFS(Tabla1[Avance_km],Tabla1[Fecha],"&gt;="&amp;$A17,Tabla1[Fecha],"&lt;="&amp;EOMONTH($A17,0),Tabla1[Codigo_actividad],H$2)</f>
        <v>0</v>
      </c>
      <c r="I17" s="227">
        <f>+SUMIFS(Tabla1[Avance_km],Tabla1[Fecha],"&gt;="&amp;$A17,Tabla1[Fecha],"&lt;="&amp;EOMONTH($A17,0),Tabla1[Codigo_actividad],I$2)</f>
        <v>0</v>
      </c>
      <c r="J17" s="227">
        <f>+SUMIFS(Tabla1[Avance_km],Tabla1[Fecha],"&gt;="&amp;$A17,Tabla1[Fecha],"&lt;="&amp;EOMONTH($A17,0),Tabla1[Codigo_actividad],J$2,Tabla1[Avance_km],"&gt;0")</f>
        <v>0</v>
      </c>
      <c r="K17" s="339">
        <f>+SUMIFS(Tabla1[Avance_km],Tabla1[Fecha],"&gt;="&amp;$A17,Tabla1[Fecha],"&lt;="&amp;EOMONTH($A17,0),Tabla1[Codigo_actividad],K$2)</f>
        <v>0</v>
      </c>
      <c r="L17" s="227">
        <f>+SUMIFS(Tabla1[Avance_Med],Tabla1[Fecha],"&gt;="&amp;$A17,Tabla1[Fecha],"&lt;="&amp;EOMONTH($A17,0),Tabla1[Codigo_actividad],L$2)</f>
        <v>0</v>
      </c>
      <c r="M17" s="227">
        <f>+SUMIFS(Tabla1[Avance_km],Tabla1[Fecha],"&gt;="&amp;$A17,Tabla1[Fecha],"&lt;="&amp;EOMONTH($A17,0),Tabla1[Codigo_actividad],M$2)</f>
        <v>0</v>
      </c>
      <c r="N17" s="227">
        <f>+SUMIFS(Tabla1[Avance_Med],Tabla1[Fecha],"&gt;="&amp;$A17,Tabla1[Fecha],"&lt;="&amp;EOMONTH($A17,0),Tabla1[Codigo_actividad],N$2)</f>
        <v>0</v>
      </c>
      <c r="O17" s="227">
        <f>+SUMIFS(Tabla1[Avance_Med],Tabla1[Fecha],"&gt;="&amp;$A17,Tabla1[Fecha],"&lt;="&amp;EOMONTH($A17,0),Tabla1[Codigo_actividad],O$2)</f>
        <v>0</v>
      </c>
      <c r="P17" s="227">
        <f>+SUMIFS(Tabla1[Avance_Med],Tabla1[Fecha],"&gt;="&amp;$A17,Tabla1[Fecha],"&lt;="&amp;EOMONTH($A17,0),Tabla1[Codigo_actividad],P$2)</f>
        <v>0</v>
      </c>
      <c r="Q17" s="227">
        <f>+SUMIFS(Tabla1[Avance_Med],Tabla1[Fecha],"&gt;="&amp;$A17,Tabla1[Fecha],"&lt;="&amp;EOMONTH($A17,0),Tabla1[Codigo_actividad],Q$2)</f>
        <v>0</v>
      </c>
      <c r="R17" s="227">
        <f>+SUMIFS(Tabla1[Avance_Med],Tabla1[Fecha],"&gt;="&amp;$A17,Tabla1[Fecha],"&lt;="&amp;EOMONTH($A17,0),Tabla1[Codigo_actividad],R$2)</f>
        <v>0</v>
      </c>
      <c r="S17" s="227">
        <f>+SUMIFS(Tabla1[Avance_Med],Tabla1[Fecha],"&gt;="&amp;$A17,Tabla1[Fecha],"&lt;="&amp;EOMONTH($A17,0),Tabla1[Codigo_actividad],S$2)</f>
        <v>0</v>
      </c>
      <c r="T17" s="227">
        <f>+SUMIFS(Tabla1[Avance_Med],Tabla1[Fecha],"&gt;="&amp;$A17,Tabla1[Fecha],"&lt;="&amp;EOMONTH($A17,0),Tabla1[Codigo_actividad],T$2)</f>
        <v>0</v>
      </c>
      <c r="U17" s="227">
        <f>+SUMIFS(Tabla1[Avance_Med],Tabla1[Fecha],"&gt;="&amp;$A17,Tabla1[Fecha],"&lt;="&amp;EOMONTH($A17,0),Tabla1[Codigo_actividad],U$2)</f>
        <v>0</v>
      </c>
      <c r="V17" s="227">
        <f>+SUMIFS(Tabla1[Avance_Med],Tabla1[Fecha],"&gt;="&amp;$A17,Tabla1[Fecha],"&lt;="&amp;EOMONTH($A17,0),Tabla1[Codigo_actividad],V$2)</f>
        <v>0</v>
      </c>
      <c r="W17" s="227">
        <f>+SUMIFS(Tabla1[Avance_Med],Tabla1[Fecha],"&gt;="&amp;$A17,Tabla1[Fecha],"&lt;="&amp;EOMONTH($A17,0),Tabla1[Codigo_actividad],W$2)</f>
        <v>0</v>
      </c>
      <c r="X17" s="227">
        <f>+SUMIFS(Tabla1[Avance_Med],Tabla1[Fecha],"&gt;="&amp;$A17,Tabla1[Fecha],"&lt;="&amp;EOMONTH($A17,0),Tabla1[Codigo_actividad],X$2)</f>
        <v>0</v>
      </c>
      <c r="Y17" s="227">
        <f>+SUMIFS(Tabla1[Avance_Med],Tabla1[Fecha],"&gt;="&amp;$A17,Tabla1[Fecha],"&lt;="&amp;EOMONTH($A17,0),Tabla1[Codigo_actividad],Y$2)</f>
        <v>0</v>
      </c>
      <c r="Z17" s="227">
        <f>+SUMIFS(Tabla1[Avance_Med],Tabla1[Fecha],"&gt;="&amp;$A17,Tabla1[Fecha],"&lt;="&amp;EOMONTH($A17,0),Tabla1[Codigo_actividad],Z$2)</f>
        <v>0</v>
      </c>
      <c r="AA17" s="227">
        <f>+SUMIFS(Tabla1[Avance_Med],Tabla1[Fecha],"&gt;="&amp;$A17,Tabla1[Fecha],"&lt;="&amp;EOMONTH($A17,0),Tabla1[Codigo_actividad],AA$2)</f>
        <v>0</v>
      </c>
      <c r="AB17" s="227">
        <f>+SUMIFS(Tabla1[Avance_Med],Tabla1[Fecha],"&gt;="&amp;$A17,Tabla1[Fecha],"&lt;="&amp;EOMONTH($A17,0),Tabla1[Codigo_actividad],AB$2)</f>
        <v>0</v>
      </c>
      <c r="AC17" s="227">
        <f>+SUMIFS(Tabla1[Avance_Med],Tabla1[Fecha],"&gt;="&amp;$A17,Tabla1[Fecha],"&lt;="&amp;EOMONTH($A17,0),Tabla1[Codigo_actividad],AC$2)</f>
        <v>0</v>
      </c>
      <c r="AD17" s="227">
        <f>+SUMIFS(Tabla1[Avance_Med],Tabla1[Fecha],"&gt;="&amp;$A17,Tabla1[Fecha],"&lt;="&amp;EOMONTH($A17,0),Tabla1[Codigo_actividad],AD$2)</f>
        <v>0</v>
      </c>
      <c r="AE17" s="227">
        <f>+SUMIFS(Tabla1[Avance_Med],Tabla1[Fecha],"&gt;="&amp;$A17,Tabla1[Fecha],"&lt;="&amp;EOMONTH($A17,0),Tabla1[Codigo_actividad],AE$2)</f>
        <v>0</v>
      </c>
      <c r="AF17" s="227">
        <f>+SUMIFS(Tabla1[Avance_Med],Tabla1[Fecha],"&gt;="&amp;$A17,Tabla1[Fecha],"&lt;="&amp;EOMONTH($A17,0),Tabla1[Codigo_actividad],AF$2)</f>
        <v>0</v>
      </c>
      <c r="AG17" s="227">
        <f>+SUMIFS(Tabla1[Avance_Med],Tabla1[Fecha],"&gt;="&amp;$A17,Tabla1[Fecha],"&lt;="&amp;EOMONTH($A17,0),Tabla1[Codigo_actividad],AG$2)</f>
        <v>0</v>
      </c>
      <c r="AH17" s="227">
        <f>+SUMIFS(Tabla1[Avance_Med],Tabla1[Fecha],"&gt;="&amp;$A17,Tabla1[Fecha],"&lt;="&amp;EOMONTH($A17,0),Tabla1[Codigo_actividad],AH$2)</f>
        <v>0</v>
      </c>
      <c r="AI17" s="227">
        <f>+SUMIFS(Tabla1[Avance_Med],Tabla1[Fecha],"&gt;="&amp;$A17,Tabla1[Fecha],"&lt;="&amp;EOMONTH($A17,0),Tabla1[Codigo_actividad],AI$2)</f>
        <v>0</v>
      </c>
      <c r="AJ17" s="227">
        <f>+SUMIFS(Tabla1[Avance_Med],Tabla1[Fecha],"&gt;="&amp;$A17,Tabla1[Fecha],"&lt;="&amp;EOMONTH($A17,0),Tabla1[Codigo_actividad],AJ$2)</f>
        <v>0</v>
      </c>
      <c r="AK17" s="227">
        <f>+SUMIFS(Tabla1[Avance_Med],Tabla1[Fecha],"&gt;="&amp;$A17,Tabla1[Fecha],"&lt;="&amp;EOMONTH($A17,0),Tabla1[Codigo_actividad],AK$2)</f>
        <v>0</v>
      </c>
      <c r="AL17" s="227">
        <f>+SUMIFS(Tabla1[Avance_Med],Tabla1[Fecha],"&gt;="&amp;$A17,Tabla1[Fecha],"&lt;="&amp;EOMONTH($A17,0),Tabla1[Codigo_actividad],AL$2)</f>
        <v>0</v>
      </c>
      <c r="AM17" s="227">
        <f>+SUMIFS(Tabla1[Avance_Med],Tabla1[Fecha],"&gt;="&amp;$A17,Tabla1[Fecha],"&lt;="&amp;EOMONTH($A17,0),Tabla1[Codigo_actividad],AM$2)</f>
        <v>0</v>
      </c>
      <c r="AN17" s="438"/>
      <c r="AP17" s="13">
        <f t="shared" si="0"/>
        <v>0</v>
      </c>
    </row>
    <row r="18" spans="1:44" x14ac:dyDescent="0.25">
      <c r="A18" s="238">
        <v>46357</v>
      </c>
      <c r="B18" s="227">
        <f>+SUMIFS(Tabla1[Avance_Med],Tabla1[Fecha],"&gt;="&amp;$A18,Tabla1[Fecha],"&lt;="&amp;EOMONTH($A18,0),Tabla1[Codigo_actividad],B$2)</f>
        <v>0</v>
      </c>
      <c r="C18" s="227">
        <f>+SUMIFS(Tabla1[Avance_Med],Tabla1[Fecha],"&gt;="&amp;$A18,Tabla1[Fecha],"&lt;="&amp;EOMONTH($A18,0),Tabla1[Codigo_actividad],C$2)</f>
        <v>0</v>
      </c>
      <c r="D18" s="227">
        <f>+SUMIFS(Tabla1[Avance_Med],Tabla1[Fecha],"&gt;="&amp;$A18,Tabla1[Fecha],"&lt;="&amp;EOMONTH($A18,0),Tabla1[Codigo_actividad],D$2)</f>
        <v>0</v>
      </c>
      <c r="E18" s="227">
        <f>+SUMIFS(Tabla1[Avance_Med],Tabla1[Fecha],"&gt;="&amp;$A18,Tabla1[Fecha],"&lt;="&amp;EOMONTH($A18,0),Tabla1[Codigo_actividad],E$2)</f>
        <v>0</v>
      </c>
      <c r="F18" s="227">
        <f>+SUMIFS(Tabla1[Avance_Med],Tabla1[Fecha],"&gt;="&amp;$A18,Tabla1[Fecha],"&lt;="&amp;EOMONTH($A18,0),Tabla1[Codigo_actividad],F$2)</f>
        <v>0</v>
      </c>
      <c r="G18" s="227">
        <f>+SUMIFS(Tabla1[Avance_Med],Tabla1[Fecha],"&gt;="&amp;$A18,Tabla1[Fecha],"&lt;="&amp;EOMONTH($A18,0),Tabla1[Codigo_actividad],G$2)</f>
        <v>0</v>
      </c>
      <c r="H18" s="227">
        <f>+SUMIFS(Tabla1[Avance_km],Tabla1[Fecha],"&gt;="&amp;$A18,Tabla1[Fecha],"&lt;="&amp;EOMONTH($A18,0),Tabla1[Codigo_actividad],H$2)</f>
        <v>0</v>
      </c>
      <c r="I18" s="227">
        <f>+SUMIFS(Tabla1[Avance_km],Tabla1[Fecha],"&gt;="&amp;$A18,Tabla1[Fecha],"&lt;="&amp;EOMONTH($A18,0),Tabla1[Codigo_actividad],I$2)</f>
        <v>0</v>
      </c>
      <c r="J18" s="227">
        <f>+SUMIFS(Tabla1[Avance_km],Tabla1[Fecha],"&gt;="&amp;$A18,Tabla1[Fecha],"&lt;="&amp;EOMONTH($A18,0),Tabla1[Codigo_actividad],J$2,Tabla1[Avance_km],"&gt;0")</f>
        <v>0</v>
      </c>
      <c r="K18" s="339">
        <f>+SUMIFS(Tabla1[Avance_km],Tabla1[Fecha],"&gt;="&amp;$A18,Tabla1[Fecha],"&lt;="&amp;EOMONTH($A18,0),Tabla1[Codigo_actividad],K$2)</f>
        <v>0</v>
      </c>
      <c r="L18" s="227">
        <f>+SUMIFS(Tabla1[Avance_Med],Tabla1[Fecha],"&gt;="&amp;$A18,Tabla1[Fecha],"&lt;="&amp;EOMONTH($A18,0),Tabla1[Codigo_actividad],L$2)</f>
        <v>0</v>
      </c>
      <c r="M18" s="227">
        <f>+SUMIFS(Tabla1[Avance_km],Tabla1[Fecha],"&gt;="&amp;$A18,Tabla1[Fecha],"&lt;="&amp;EOMONTH($A18,0),Tabla1[Codigo_actividad],M$2)</f>
        <v>0</v>
      </c>
      <c r="N18" s="227">
        <f>+SUMIFS(Tabla1[Avance_Med],Tabla1[Fecha],"&gt;="&amp;$A18,Tabla1[Fecha],"&lt;="&amp;EOMONTH($A18,0),Tabla1[Codigo_actividad],N$2)</f>
        <v>0</v>
      </c>
      <c r="O18" s="227">
        <f>+SUMIFS(Tabla1[Avance_Med],Tabla1[Fecha],"&gt;="&amp;$A18,Tabla1[Fecha],"&lt;="&amp;EOMONTH($A18,0),Tabla1[Codigo_actividad],O$2)</f>
        <v>0</v>
      </c>
      <c r="P18" s="227">
        <f>+SUMIFS(Tabla1[Avance_Med],Tabla1[Fecha],"&gt;="&amp;$A18,Tabla1[Fecha],"&lt;="&amp;EOMONTH($A18,0),Tabla1[Codigo_actividad],P$2)</f>
        <v>0</v>
      </c>
      <c r="Q18" s="227">
        <f>+SUMIFS(Tabla1[Avance_Med],Tabla1[Fecha],"&gt;="&amp;$A18,Tabla1[Fecha],"&lt;="&amp;EOMONTH($A18,0),Tabla1[Codigo_actividad],Q$2)</f>
        <v>0</v>
      </c>
      <c r="R18" s="227">
        <f>+SUMIFS(Tabla1[Avance_Med],Tabla1[Fecha],"&gt;="&amp;$A18,Tabla1[Fecha],"&lt;="&amp;EOMONTH($A18,0),Tabla1[Codigo_actividad],R$2)</f>
        <v>0</v>
      </c>
      <c r="S18" s="227">
        <f>+SUMIFS(Tabla1[Avance_Med],Tabla1[Fecha],"&gt;="&amp;$A18,Tabla1[Fecha],"&lt;="&amp;EOMONTH($A18,0),Tabla1[Codigo_actividad],S$2)</f>
        <v>0</v>
      </c>
      <c r="T18" s="227">
        <f>+SUMIFS(Tabla1[Avance_Med],Tabla1[Fecha],"&gt;="&amp;$A18,Tabla1[Fecha],"&lt;="&amp;EOMONTH($A18,0),Tabla1[Codigo_actividad],T$2)</f>
        <v>0</v>
      </c>
      <c r="U18" s="227">
        <f>+SUMIFS(Tabla1[Avance_Med],Tabla1[Fecha],"&gt;="&amp;$A18,Tabla1[Fecha],"&lt;="&amp;EOMONTH($A18,0),Tabla1[Codigo_actividad],U$2)</f>
        <v>0</v>
      </c>
      <c r="V18" s="227">
        <f>+SUMIFS(Tabla1[Avance_Med],Tabla1[Fecha],"&gt;="&amp;$A18,Tabla1[Fecha],"&lt;="&amp;EOMONTH($A18,0),Tabla1[Codigo_actividad],V$2)</f>
        <v>0</v>
      </c>
      <c r="W18" s="227">
        <f>+SUMIFS(Tabla1[Avance_Med],Tabla1[Fecha],"&gt;="&amp;$A18,Tabla1[Fecha],"&lt;="&amp;EOMONTH($A18,0),Tabla1[Codigo_actividad],W$2)</f>
        <v>0</v>
      </c>
      <c r="X18" s="227">
        <f>+SUMIFS(Tabla1[Avance_Med],Tabla1[Fecha],"&gt;="&amp;$A18,Tabla1[Fecha],"&lt;="&amp;EOMONTH($A18,0),Tabla1[Codigo_actividad],X$2)</f>
        <v>0</v>
      </c>
      <c r="Y18" s="227">
        <f>+SUMIFS(Tabla1[Avance_Med],Tabla1[Fecha],"&gt;="&amp;$A18,Tabla1[Fecha],"&lt;="&amp;EOMONTH($A18,0),Tabla1[Codigo_actividad],Y$2)</f>
        <v>0</v>
      </c>
      <c r="Z18" s="227">
        <f>+SUMIFS(Tabla1[Avance_Med],Tabla1[Fecha],"&gt;="&amp;$A18,Tabla1[Fecha],"&lt;="&amp;EOMONTH($A18,0),Tabla1[Codigo_actividad],Z$2)</f>
        <v>0</v>
      </c>
      <c r="AA18" s="227">
        <f>+SUMIFS(Tabla1[Avance_Med],Tabla1[Fecha],"&gt;="&amp;$A18,Tabla1[Fecha],"&lt;="&amp;EOMONTH($A18,0),Tabla1[Codigo_actividad],AA$2)</f>
        <v>0</v>
      </c>
      <c r="AB18" s="227">
        <f>+SUMIFS(Tabla1[Avance_Med],Tabla1[Fecha],"&gt;="&amp;$A18,Tabla1[Fecha],"&lt;="&amp;EOMONTH($A18,0),Tabla1[Codigo_actividad],AB$2)</f>
        <v>0</v>
      </c>
      <c r="AC18" s="227">
        <f>+SUMIFS(Tabla1[Avance_Med],Tabla1[Fecha],"&gt;="&amp;$A18,Tabla1[Fecha],"&lt;="&amp;EOMONTH($A18,0),Tabla1[Codigo_actividad],AC$2)</f>
        <v>0</v>
      </c>
      <c r="AD18" s="227">
        <f>+SUMIFS(Tabla1[Avance_Med],Tabla1[Fecha],"&gt;="&amp;$A18,Tabla1[Fecha],"&lt;="&amp;EOMONTH($A18,0),Tabla1[Codigo_actividad],AD$2)</f>
        <v>0</v>
      </c>
      <c r="AE18" s="227">
        <f>+SUMIFS(Tabla1[Avance_Med],Tabla1[Fecha],"&gt;="&amp;$A18,Tabla1[Fecha],"&lt;="&amp;EOMONTH($A18,0),Tabla1[Codigo_actividad],AE$2)</f>
        <v>0</v>
      </c>
      <c r="AF18" s="227">
        <f>+SUMIFS(Tabla1[Avance_Med],Tabla1[Fecha],"&gt;="&amp;$A18,Tabla1[Fecha],"&lt;="&amp;EOMONTH($A18,0),Tabla1[Codigo_actividad],AF$2)</f>
        <v>0</v>
      </c>
      <c r="AG18" s="227">
        <f>+SUMIFS(Tabla1[Avance_Med],Tabla1[Fecha],"&gt;="&amp;$A18,Tabla1[Fecha],"&lt;="&amp;EOMONTH($A18,0),Tabla1[Codigo_actividad],AG$2)</f>
        <v>0</v>
      </c>
      <c r="AH18" s="227">
        <f>+SUMIFS(Tabla1[Avance_Med],Tabla1[Fecha],"&gt;="&amp;$A18,Tabla1[Fecha],"&lt;="&amp;EOMONTH($A18,0),Tabla1[Codigo_actividad],AH$2)</f>
        <v>0</v>
      </c>
      <c r="AI18" s="227">
        <f>+SUMIFS(Tabla1[Avance_Med],Tabla1[Fecha],"&gt;="&amp;$A18,Tabla1[Fecha],"&lt;="&amp;EOMONTH($A18,0),Tabla1[Codigo_actividad],AI$2)</f>
        <v>0</v>
      </c>
      <c r="AJ18" s="227">
        <f>+SUMIFS(Tabla1[Avance_Med],Tabla1[Fecha],"&gt;="&amp;$A18,Tabla1[Fecha],"&lt;="&amp;EOMONTH($A18,0),Tabla1[Codigo_actividad],AJ$2)</f>
        <v>0</v>
      </c>
      <c r="AK18" s="227">
        <f>+SUMIFS(Tabla1[Avance_Med],Tabla1[Fecha],"&gt;="&amp;$A18,Tabla1[Fecha],"&lt;="&amp;EOMONTH($A18,0),Tabla1[Codigo_actividad],AK$2)</f>
        <v>0</v>
      </c>
      <c r="AL18" s="227">
        <f>+SUMIFS(Tabla1[Avance_Med],Tabla1[Fecha],"&gt;="&amp;$A18,Tabla1[Fecha],"&lt;="&amp;EOMONTH($A18,0),Tabla1[Codigo_actividad],AL$2)</f>
        <v>0</v>
      </c>
      <c r="AM18" s="227">
        <f>+SUMIFS(Tabla1[Avance_Med],Tabla1[Fecha],"&gt;="&amp;$A18,Tabla1[Fecha],"&lt;="&amp;EOMONTH($A18,0),Tabla1[Codigo_actividad],AM$2)</f>
        <v>0</v>
      </c>
      <c r="AN18" s="438"/>
      <c r="AP18" s="13">
        <f t="shared" si="0"/>
        <v>0</v>
      </c>
    </row>
    <row r="19" spans="1:44" x14ac:dyDescent="0.25">
      <c r="A19" s="222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182.43750000000003</v>
      </c>
      <c r="I19" s="1">
        <f t="shared" si="1"/>
        <v>0</v>
      </c>
      <c r="J19" s="1">
        <f t="shared" si="1"/>
        <v>150.32450000000003</v>
      </c>
      <c r="K19" s="339">
        <f t="shared" si="1"/>
        <v>118.79167920048363</v>
      </c>
      <c r="L19" s="1">
        <f t="shared" si="1"/>
        <v>396</v>
      </c>
      <c r="M19" s="248">
        <f t="shared" si="1"/>
        <v>186.66649999999998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3"/>
      <c r="AP19" s="13">
        <f>SUM(AP3:AP18)</f>
        <v>10396042.949240003</v>
      </c>
    </row>
    <row r="20" spans="1:44" x14ac:dyDescent="0.25">
      <c r="A20" s="222"/>
      <c r="H20" s="226">
        <f>145.5-H19</f>
        <v>-36.937500000000028</v>
      </c>
      <c r="J20" s="226">
        <f>145.5-J19</f>
        <v>-4.8245000000000289</v>
      </c>
      <c r="K20" s="61"/>
      <c r="L20" s="76"/>
      <c r="M20" s="226"/>
      <c r="AN20" s="233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88">
        <v>3.1</v>
      </c>
      <c r="Q22" s="388">
        <v>3.2</v>
      </c>
      <c r="R22" s="388" t="s">
        <v>122</v>
      </c>
      <c r="S22" s="388" t="s">
        <v>124</v>
      </c>
      <c r="T22" s="388" t="s">
        <v>127</v>
      </c>
      <c r="U22" s="388" t="s">
        <v>129</v>
      </c>
      <c r="V22" s="388" t="s">
        <v>131</v>
      </c>
      <c r="W22" s="388" t="s">
        <v>133</v>
      </c>
      <c r="X22" s="388" t="s">
        <v>135</v>
      </c>
      <c r="Y22" s="388" t="s">
        <v>137</v>
      </c>
      <c r="Z22" s="388" t="s">
        <v>139</v>
      </c>
      <c r="AA22" s="388">
        <v>3.4</v>
      </c>
      <c r="AB22" s="388">
        <v>4.0999999999999996</v>
      </c>
      <c r="AC22" s="388">
        <v>4.2</v>
      </c>
      <c r="AD22" s="388">
        <v>4.3</v>
      </c>
      <c r="AE22" s="388">
        <v>4.4000000000000004</v>
      </c>
      <c r="AF22" s="388">
        <v>4.5</v>
      </c>
      <c r="AG22" s="388">
        <v>4.5999999999999996</v>
      </c>
      <c r="AH22" s="388">
        <v>4.7</v>
      </c>
      <c r="AI22" s="388">
        <v>4.8</v>
      </c>
      <c r="AJ22" s="388">
        <v>4.9000000000000004</v>
      </c>
      <c r="AK22" s="388" t="s">
        <v>523</v>
      </c>
      <c r="AL22" s="388">
        <v>4.1100000000000003</v>
      </c>
      <c r="AM22" s="388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38">
        <v>45901</v>
      </c>
      <c r="B23" s="310">
        <f>+B3*B$1</f>
        <v>0</v>
      </c>
      <c r="C23" s="310">
        <f t="shared" ref="C23:P23" si="2">+C3*C$1</f>
        <v>0</v>
      </c>
      <c r="D23" s="310">
        <f t="shared" si="2"/>
        <v>0</v>
      </c>
      <c r="E23" s="310">
        <f t="shared" si="2"/>
        <v>0</v>
      </c>
      <c r="F23" s="310">
        <f t="shared" si="2"/>
        <v>0</v>
      </c>
      <c r="G23" s="310">
        <f t="shared" si="2"/>
        <v>0</v>
      </c>
      <c r="H23" s="310">
        <f t="shared" si="2"/>
        <v>0</v>
      </c>
      <c r="I23" s="387">
        <f t="shared" si="2"/>
        <v>0</v>
      </c>
      <c r="J23" s="310">
        <f t="shared" si="2"/>
        <v>0</v>
      </c>
      <c r="K23" s="521">
        <f t="shared" si="2"/>
        <v>0</v>
      </c>
      <c r="L23" s="310">
        <f t="shared" si="2"/>
        <v>0</v>
      </c>
      <c r="M23" s="310">
        <f t="shared" si="2"/>
        <v>0</v>
      </c>
      <c r="N23" s="310">
        <f t="shared" si="2"/>
        <v>0</v>
      </c>
      <c r="O23" s="310">
        <f t="shared" si="2"/>
        <v>0</v>
      </c>
      <c r="P23" s="310">
        <f t="shared" si="2"/>
        <v>0</v>
      </c>
      <c r="Q23" s="310">
        <f t="shared" ref="Q23:AM23" si="3">+Q3*Q$1</f>
        <v>0</v>
      </c>
      <c r="R23" s="310">
        <f t="shared" si="3"/>
        <v>0</v>
      </c>
      <c r="S23" s="310">
        <f t="shared" si="3"/>
        <v>0</v>
      </c>
      <c r="T23" s="310">
        <f t="shared" si="3"/>
        <v>0</v>
      </c>
      <c r="U23" s="310">
        <f t="shared" si="3"/>
        <v>0</v>
      </c>
      <c r="V23" s="310">
        <f t="shared" si="3"/>
        <v>0</v>
      </c>
      <c r="W23" s="310">
        <f t="shared" si="3"/>
        <v>0</v>
      </c>
      <c r="X23" s="310">
        <f t="shared" si="3"/>
        <v>0</v>
      </c>
      <c r="Y23" s="310">
        <f t="shared" si="3"/>
        <v>0</v>
      </c>
      <c r="Z23" s="310">
        <f t="shared" si="3"/>
        <v>0</v>
      </c>
      <c r="AA23" s="310">
        <f t="shared" si="3"/>
        <v>0</v>
      </c>
      <c r="AB23" s="310">
        <f t="shared" si="3"/>
        <v>0</v>
      </c>
      <c r="AC23" s="310">
        <f t="shared" si="3"/>
        <v>0</v>
      </c>
      <c r="AD23" s="310">
        <f t="shared" si="3"/>
        <v>0</v>
      </c>
      <c r="AE23" s="310">
        <f t="shared" si="3"/>
        <v>0</v>
      </c>
      <c r="AF23" s="310">
        <f t="shared" si="3"/>
        <v>0</v>
      </c>
      <c r="AG23" s="310">
        <f t="shared" si="3"/>
        <v>0</v>
      </c>
      <c r="AH23" s="310">
        <f t="shared" si="3"/>
        <v>0</v>
      </c>
      <c r="AI23" s="310">
        <f t="shared" si="3"/>
        <v>0</v>
      </c>
      <c r="AJ23" s="310">
        <f t="shared" si="3"/>
        <v>0</v>
      </c>
      <c r="AK23" s="310">
        <f t="shared" si="3"/>
        <v>0</v>
      </c>
      <c r="AL23" s="310">
        <f t="shared" si="3"/>
        <v>0</v>
      </c>
      <c r="AM23" s="310">
        <f t="shared" si="3"/>
        <v>0</v>
      </c>
      <c r="AN23" s="445">
        <f>-[1]Dashboard!D61</f>
        <v>-91574.907240000015</v>
      </c>
      <c r="AO23" s="309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38">
        <v>45931</v>
      </c>
      <c r="B24" s="310">
        <f t="shared" ref="B24:AM24" si="4">+B4*B$1</f>
        <v>0</v>
      </c>
      <c r="C24" s="310">
        <f t="shared" si="4"/>
        <v>0</v>
      </c>
      <c r="D24" s="310">
        <f t="shared" si="4"/>
        <v>0</v>
      </c>
      <c r="E24" s="310">
        <f t="shared" si="4"/>
        <v>0</v>
      </c>
      <c r="F24" s="310">
        <f t="shared" si="4"/>
        <v>0</v>
      </c>
      <c r="G24" s="310">
        <f t="shared" si="4"/>
        <v>0</v>
      </c>
      <c r="H24" s="310">
        <f t="shared" si="4"/>
        <v>0</v>
      </c>
      <c r="I24" s="387">
        <f t="shared" si="4"/>
        <v>0</v>
      </c>
      <c r="J24" s="310">
        <f t="shared" si="4"/>
        <v>0</v>
      </c>
      <c r="K24" s="521">
        <f t="shared" si="4"/>
        <v>0</v>
      </c>
      <c r="L24" s="310">
        <f t="shared" si="4"/>
        <v>0</v>
      </c>
      <c r="M24" s="310">
        <f t="shared" si="4"/>
        <v>0</v>
      </c>
      <c r="N24" s="310">
        <f t="shared" si="4"/>
        <v>0</v>
      </c>
      <c r="O24" s="310">
        <f t="shared" si="4"/>
        <v>0</v>
      </c>
      <c r="P24" s="310">
        <f t="shared" si="4"/>
        <v>0</v>
      </c>
      <c r="Q24" s="310">
        <f t="shared" si="4"/>
        <v>0</v>
      </c>
      <c r="R24" s="310">
        <f t="shared" si="4"/>
        <v>0</v>
      </c>
      <c r="S24" s="310">
        <f t="shared" si="4"/>
        <v>0</v>
      </c>
      <c r="T24" s="310">
        <f t="shared" si="4"/>
        <v>0</v>
      </c>
      <c r="U24" s="310">
        <f t="shared" si="4"/>
        <v>0</v>
      </c>
      <c r="V24" s="310">
        <f t="shared" si="4"/>
        <v>0</v>
      </c>
      <c r="W24" s="310">
        <f t="shared" si="4"/>
        <v>0</v>
      </c>
      <c r="X24" s="310">
        <f t="shared" si="4"/>
        <v>0</v>
      </c>
      <c r="Y24" s="310">
        <f t="shared" si="4"/>
        <v>0</v>
      </c>
      <c r="Z24" s="310">
        <f t="shared" si="4"/>
        <v>0</v>
      </c>
      <c r="AA24" s="310">
        <f t="shared" si="4"/>
        <v>0</v>
      </c>
      <c r="AB24" s="310">
        <f t="shared" si="4"/>
        <v>0</v>
      </c>
      <c r="AC24" s="310">
        <f t="shared" si="4"/>
        <v>0</v>
      </c>
      <c r="AD24" s="310">
        <f t="shared" si="4"/>
        <v>0</v>
      </c>
      <c r="AE24" s="310">
        <f t="shared" si="4"/>
        <v>0</v>
      </c>
      <c r="AF24" s="310">
        <f t="shared" si="4"/>
        <v>0</v>
      </c>
      <c r="AG24" s="310">
        <f t="shared" si="4"/>
        <v>0</v>
      </c>
      <c r="AH24" s="310">
        <f t="shared" si="4"/>
        <v>0</v>
      </c>
      <c r="AI24" s="310">
        <f t="shared" si="4"/>
        <v>0</v>
      </c>
      <c r="AJ24" s="310">
        <f t="shared" si="4"/>
        <v>0</v>
      </c>
      <c r="AK24" s="310">
        <f t="shared" si="4"/>
        <v>0</v>
      </c>
      <c r="AL24" s="310">
        <f t="shared" si="4"/>
        <v>0</v>
      </c>
      <c r="AM24" s="310">
        <f t="shared" si="4"/>
        <v>0</v>
      </c>
      <c r="AN24" s="445">
        <f>-[1]Dashboard!D62</f>
        <v>-131427.58128000001</v>
      </c>
      <c r="AO24" s="309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38">
        <v>45962</v>
      </c>
      <c r="B25" s="310">
        <f t="shared" ref="B25:AM25" si="6">+B5*B$1</f>
        <v>0</v>
      </c>
      <c r="C25" s="310">
        <f t="shared" si="6"/>
        <v>0</v>
      </c>
      <c r="D25" s="310">
        <f t="shared" si="6"/>
        <v>0</v>
      </c>
      <c r="E25" s="310">
        <f t="shared" si="6"/>
        <v>0</v>
      </c>
      <c r="F25" s="310">
        <f t="shared" si="6"/>
        <v>0</v>
      </c>
      <c r="G25" s="310">
        <f t="shared" si="6"/>
        <v>0</v>
      </c>
      <c r="H25" s="310">
        <f t="shared" si="6"/>
        <v>458135.96408999996</v>
      </c>
      <c r="I25" s="387">
        <f t="shared" si="6"/>
        <v>0</v>
      </c>
      <c r="J25" s="310">
        <f t="shared" si="6"/>
        <v>719112.61586999998</v>
      </c>
      <c r="K25" s="521">
        <f t="shared" si="6"/>
        <v>0</v>
      </c>
      <c r="L25" s="310">
        <f t="shared" si="6"/>
        <v>456484</v>
      </c>
      <c r="M25" s="310">
        <f t="shared" si="6"/>
        <v>162583.90324000004</v>
      </c>
      <c r="N25" s="310">
        <f t="shared" si="6"/>
        <v>0</v>
      </c>
      <c r="O25" s="310">
        <f t="shared" si="6"/>
        <v>0</v>
      </c>
      <c r="P25" s="310">
        <f t="shared" si="6"/>
        <v>0</v>
      </c>
      <c r="Q25" s="310">
        <f t="shared" si="6"/>
        <v>0</v>
      </c>
      <c r="R25" s="310">
        <f t="shared" si="6"/>
        <v>0</v>
      </c>
      <c r="S25" s="310">
        <f t="shared" si="6"/>
        <v>0</v>
      </c>
      <c r="T25" s="310">
        <f t="shared" si="6"/>
        <v>0</v>
      </c>
      <c r="U25" s="310">
        <f t="shared" si="6"/>
        <v>0</v>
      </c>
      <c r="V25" s="310">
        <f t="shared" si="6"/>
        <v>0</v>
      </c>
      <c r="W25" s="310">
        <f t="shared" si="6"/>
        <v>0</v>
      </c>
      <c r="X25" s="310">
        <f t="shared" si="6"/>
        <v>0</v>
      </c>
      <c r="Y25" s="310">
        <f t="shared" si="6"/>
        <v>0</v>
      </c>
      <c r="Z25" s="310">
        <f t="shared" si="6"/>
        <v>0</v>
      </c>
      <c r="AA25" s="310">
        <f t="shared" si="6"/>
        <v>0</v>
      </c>
      <c r="AB25" s="310">
        <f t="shared" si="6"/>
        <v>0</v>
      </c>
      <c r="AC25" s="310">
        <f t="shared" si="6"/>
        <v>0</v>
      </c>
      <c r="AD25" s="310">
        <f t="shared" si="6"/>
        <v>0</v>
      </c>
      <c r="AE25" s="310">
        <f t="shared" si="6"/>
        <v>0</v>
      </c>
      <c r="AF25" s="310">
        <f t="shared" si="6"/>
        <v>0</v>
      </c>
      <c r="AG25" s="310">
        <f t="shared" si="6"/>
        <v>0</v>
      </c>
      <c r="AH25" s="310">
        <f t="shared" si="6"/>
        <v>0</v>
      </c>
      <c r="AI25" s="310">
        <f t="shared" si="6"/>
        <v>0</v>
      </c>
      <c r="AJ25" s="310">
        <f t="shared" si="6"/>
        <v>0</v>
      </c>
      <c r="AK25" s="310">
        <f t="shared" si="6"/>
        <v>0</v>
      </c>
      <c r="AL25" s="310">
        <f t="shared" si="6"/>
        <v>0</v>
      </c>
      <c r="AM25" s="310">
        <f t="shared" si="6"/>
        <v>0</v>
      </c>
      <c r="AN25" s="445">
        <f>-[1]Dashboard!D63</f>
        <v>-162389.24028</v>
      </c>
      <c r="AO25" s="309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38">
        <v>45992</v>
      </c>
      <c r="B26" s="310">
        <f t="shared" ref="B26:AM26" si="7">+B6*B$1</f>
        <v>0</v>
      </c>
      <c r="C26" s="310">
        <f t="shared" si="7"/>
        <v>0</v>
      </c>
      <c r="D26" s="310">
        <f t="shared" si="7"/>
        <v>0</v>
      </c>
      <c r="E26" s="310">
        <f t="shared" si="7"/>
        <v>0</v>
      </c>
      <c r="F26" s="310">
        <f t="shared" si="7"/>
        <v>0</v>
      </c>
      <c r="G26" s="310">
        <f t="shared" si="7"/>
        <v>0</v>
      </c>
      <c r="H26" s="310">
        <f t="shared" si="7"/>
        <v>457671.27897000004</v>
      </c>
      <c r="I26" s="387">
        <f t="shared" si="7"/>
        <v>0</v>
      </c>
      <c r="J26" s="310">
        <f t="shared" si="7"/>
        <v>427598.79271999991</v>
      </c>
      <c r="K26" s="521">
        <f t="shared" si="7"/>
        <v>0</v>
      </c>
      <c r="L26" s="310">
        <f t="shared" si="7"/>
        <v>605540</v>
      </c>
      <c r="M26" s="310">
        <f t="shared" si="7"/>
        <v>47818.927860000003</v>
      </c>
      <c r="N26" s="310">
        <f t="shared" si="7"/>
        <v>0</v>
      </c>
      <c r="O26" s="310">
        <f t="shared" si="7"/>
        <v>0</v>
      </c>
      <c r="P26" s="310">
        <f t="shared" si="7"/>
        <v>0</v>
      </c>
      <c r="Q26" s="310">
        <f t="shared" si="7"/>
        <v>0</v>
      </c>
      <c r="R26" s="310">
        <f t="shared" si="7"/>
        <v>0</v>
      </c>
      <c r="S26" s="310">
        <f t="shared" si="7"/>
        <v>0</v>
      </c>
      <c r="T26" s="310">
        <f t="shared" si="7"/>
        <v>0</v>
      </c>
      <c r="U26" s="310">
        <f t="shared" si="7"/>
        <v>0</v>
      </c>
      <c r="V26" s="310">
        <f t="shared" si="7"/>
        <v>0</v>
      </c>
      <c r="W26" s="310">
        <f t="shared" si="7"/>
        <v>0</v>
      </c>
      <c r="X26" s="310">
        <f t="shared" si="7"/>
        <v>0</v>
      </c>
      <c r="Y26" s="310">
        <f t="shared" si="7"/>
        <v>0</v>
      </c>
      <c r="Z26" s="310">
        <f t="shared" si="7"/>
        <v>0</v>
      </c>
      <c r="AA26" s="310">
        <f t="shared" si="7"/>
        <v>0</v>
      </c>
      <c r="AB26" s="310">
        <f t="shared" si="7"/>
        <v>0</v>
      </c>
      <c r="AC26" s="310">
        <f t="shared" si="7"/>
        <v>0</v>
      </c>
      <c r="AD26" s="310">
        <f t="shared" si="7"/>
        <v>0</v>
      </c>
      <c r="AE26" s="310">
        <f t="shared" si="7"/>
        <v>0</v>
      </c>
      <c r="AF26" s="310">
        <f t="shared" si="7"/>
        <v>0</v>
      </c>
      <c r="AG26" s="310">
        <f t="shared" si="7"/>
        <v>0</v>
      </c>
      <c r="AH26" s="310">
        <f t="shared" si="7"/>
        <v>0</v>
      </c>
      <c r="AI26" s="310">
        <f t="shared" si="7"/>
        <v>0</v>
      </c>
      <c r="AJ26" s="310">
        <f t="shared" si="7"/>
        <v>0</v>
      </c>
      <c r="AK26" s="310">
        <f t="shared" si="7"/>
        <v>0</v>
      </c>
      <c r="AL26" s="310">
        <f t="shared" si="7"/>
        <v>0</v>
      </c>
      <c r="AM26" s="310">
        <f t="shared" si="7"/>
        <v>0</v>
      </c>
      <c r="AN26" s="445">
        <f>-[1]Dashboard!D64</f>
        <v>-2103203.6595120002</v>
      </c>
      <c r="AO26" s="309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38">
        <v>46023</v>
      </c>
      <c r="B27" s="310">
        <f t="shared" ref="B27:AM27" si="9">+B7*B$1</f>
        <v>0</v>
      </c>
      <c r="C27" s="310">
        <f t="shared" si="9"/>
        <v>0</v>
      </c>
      <c r="D27" s="310">
        <f t="shared" si="9"/>
        <v>0</v>
      </c>
      <c r="E27" s="310">
        <f t="shared" si="9"/>
        <v>0</v>
      </c>
      <c r="F27" s="310">
        <f t="shared" si="9"/>
        <v>0</v>
      </c>
      <c r="G27" s="310">
        <f t="shared" si="9"/>
        <v>0</v>
      </c>
      <c r="H27" s="310">
        <f t="shared" si="9"/>
        <v>534968.7444000002</v>
      </c>
      <c r="I27" s="387">
        <f t="shared" si="9"/>
        <v>0</v>
      </c>
      <c r="J27" s="310">
        <f t="shared" si="9"/>
        <v>207577.36219000004</v>
      </c>
      <c r="K27" s="521">
        <f t="shared" si="9"/>
        <v>0</v>
      </c>
      <c r="L27" s="310">
        <f t="shared" si="9"/>
        <v>605540</v>
      </c>
      <c r="M27" s="310">
        <f t="shared" si="9"/>
        <v>15126.97142</v>
      </c>
      <c r="N27" s="310">
        <f t="shared" si="9"/>
        <v>0</v>
      </c>
      <c r="O27" s="310">
        <f t="shared" si="9"/>
        <v>0</v>
      </c>
      <c r="P27" s="310">
        <f t="shared" si="9"/>
        <v>0</v>
      </c>
      <c r="Q27" s="310">
        <f t="shared" si="9"/>
        <v>0</v>
      </c>
      <c r="R27" s="310">
        <f t="shared" si="9"/>
        <v>0</v>
      </c>
      <c r="S27" s="310">
        <f t="shared" si="9"/>
        <v>0</v>
      </c>
      <c r="T27" s="310">
        <f t="shared" si="9"/>
        <v>0</v>
      </c>
      <c r="U27" s="310">
        <f t="shared" si="9"/>
        <v>0</v>
      </c>
      <c r="V27" s="310">
        <f t="shared" si="9"/>
        <v>0</v>
      </c>
      <c r="W27" s="310">
        <f t="shared" si="9"/>
        <v>0</v>
      </c>
      <c r="X27" s="310">
        <f t="shared" si="9"/>
        <v>0</v>
      </c>
      <c r="Y27" s="310">
        <f t="shared" si="9"/>
        <v>0</v>
      </c>
      <c r="Z27" s="310">
        <f t="shared" si="9"/>
        <v>0</v>
      </c>
      <c r="AA27" s="310">
        <f t="shared" si="9"/>
        <v>0</v>
      </c>
      <c r="AB27" s="310">
        <f t="shared" si="9"/>
        <v>0</v>
      </c>
      <c r="AC27" s="310">
        <f t="shared" si="9"/>
        <v>0</v>
      </c>
      <c r="AD27" s="310">
        <f t="shared" si="9"/>
        <v>0</v>
      </c>
      <c r="AE27" s="310">
        <f t="shared" si="9"/>
        <v>0</v>
      </c>
      <c r="AF27" s="310">
        <f t="shared" si="9"/>
        <v>0</v>
      </c>
      <c r="AG27" s="310">
        <f t="shared" si="9"/>
        <v>0</v>
      </c>
      <c r="AH27" s="310">
        <f t="shared" si="9"/>
        <v>0</v>
      </c>
      <c r="AI27" s="310">
        <f t="shared" si="9"/>
        <v>0</v>
      </c>
      <c r="AJ27" s="310">
        <f t="shared" si="9"/>
        <v>0</v>
      </c>
      <c r="AK27" s="310">
        <f t="shared" si="9"/>
        <v>0</v>
      </c>
      <c r="AL27" s="310">
        <f t="shared" si="9"/>
        <v>0</v>
      </c>
      <c r="AM27" s="310">
        <f t="shared" si="9"/>
        <v>0</v>
      </c>
      <c r="AN27" s="445">
        <f>-[1]Dashboard!D65</f>
        <v>-284577.85708800005</v>
      </c>
      <c r="AO27" s="309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38">
        <v>46054</v>
      </c>
      <c r="B28" s="310">
        <f t="shared" ref="B28:AM28" si="10">+B8*B$1</f>
        <v>0</v>
      </c>
      <c r="C28" s="310">
        <f t="shared" si="10"/>
        <v>0</v>
      </c>
      <c r="D28" s="310">
        <f t="shared" si="10"/>
        <v>0</v>
      </c>
      <c r="E28" s="310">
        <f t="shared" si="10"/>
        <v>0</v>
      </c>
      <c r="F28" s="310">
        <f t="shared" si="10"/>
        <v>0</v>
      </c>
      <c r="G28" s="310">
        <f t="shared" si="10"/>
        <v>0</v>
      </c>
      <c r="H28" s="310">
        <f t="shared" si="10"/>
        <v>0</v>
      </c>
      <c r="I28" s="387">
        <f t="shared" si="10"/>
        <v>0</v>
      </c>
      <c r="J28" s="310">
        <f t="shared" si="10"/>
        <v>0</v>
      </c>
      <c r="K28" s="521">
        <f t="shared" si="10"/>
        <v>0</v>
      </c>
      <c r="L28" s="310">
        <f t="shared" si="10"/>
        <v>83844</v>
      </c>
      <c r="M28" s="310">
        <f t="shared" si="10"/>
        <v>0</v>
      </c>
      <c r="N28" s="310">
        <f t="shared" si="10"/>
        <v>0</v>
      </c>
      <c r="O28" s="310">
        <f t="shared" si="10"/>
        <v>0</v>
      </c>
      <c r="P28" s="310">
        <f t="shared" si="10"/>
        <v>0</v>
      </c>
      <c r="Q28" s="310">
        <f t="shared" si="10"/>
        <v>0</v>
      </c>
      <c r="R28" s="310">
        <f t="shared" si="10"/>
        <v>0</v>
      </c>
      <c r="S28" s="310">
        <f t="shared" si="10"/>
        <v>0</v>
      </c>
      <c r="T28" s="310">
        <f t="shared" si="10"/>
        <v>0</v>
      </c>
      <c r="U28" s="310">
        <f t="shared" si="10"/>
        <v>0</v>
      </c>
      <c r="V28" s="310">
        <f t="shared" si="10"/>
        <v>0</v>
      </c>
      <c r="W28" s="310">
        <f t="shared" si="10"/>
        <v>0</v>
      </c>
      <c r="X28" s="310">
        <f t="shared" si="10"/>
        <v>0</v>
      </c>
      <c r="Y28" s="310">
        <f t="shared" si="10"/>
        <v>0</v>
      </c>
      <c r="Z28" s="310">
        <f t="shared" si="10"/>
        <v>0</v>
      </c>
      <c r="AA28" s="310">
        <f t="shared" si="10"/>
        <v>0</v>
      </c>
      <c r="AB28" s="310">
        <f t="shared" si="10"/>
        <v>0</v>
      </c>
      <c r="AC28" s="310">
        <f t="shared" si="10"/>
        <v>0</v>
      </c>
      <c r="AD28" s="310">
        <f t="shared" si="10"/>
        <v>0</v>
      </c>
      <c r="AE28" s="310">
        <f t="shared" si="10"/>
        <v>0</v>
      </c>
      <c r="AF28" s="310">
        <f t="shared" si="10"/>
        <v>0</v>
      </c>
      <c r="AG28" s="310">
        <f t="shared" si="10"/>
        <v>0</v>
      </c>
      <c r="AH28" s="310">
        <f t="shared" si="10"/>
        <v>0</v>
      </c>
      <c r="AI28" s="310">
        <f t="shared" si="10"/>
        <v>0</v>
      </c>
      <c r="AJ28" s="310">
        <f t="shared" si="10"/>
        <v>0</v>
      </c>
      <c r="AK28" s="310">
        <f t="shared" si="10"/>
        <v>0</v>
      </c>
      <c r="AL28" s="310">
        <f t="shared" si="10"/>
        <v>0</v>
      </c>
      <c r="AM28" s="310">
        <f t="shared" si="10"/>
        <v>0</v>
      </c>
      <c r="AN28" s="445">
        <f>-[1]Dashboard!D66</f>
        <v>-4104758.7796800006</v>
      </c>
      <c r="AO28" s="309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38">
        <v>46082</v>
      </c>
      <c r="B29" s="310">
        <f t="shared" ref="B29:AM29" si="11">+B9*B$1</f>
        <v>250748.19</v>
      </c>
      <c r="C29" s="310">
        <f t="shared" si="11"/>
        <v>321750.99000000005</v>
      </c>
      <c r="D29" s="310">
        <f t="shared" si="11"/>
        <v>97546.680000000008</v>
      </c>
      <c r="E29" s="310">
        <f t="shared" si="11"/>
        <v>105229.08</v>
      </c>
      <c r="F29" s="310">
        <f t="shared" si="11"/>
        <v>132387.75</v>
      </c>
      <c r="G29" s="310">
        <f t="shared" si="11"/>
        <v>156539.79</v>
      </c>
      <c r="H29" s="310">
        <f t="shared" si="11"/>
        <v>0</v>
      </c>
      <c r="I29" s="387">
        <f t="shared" si="11"/>
        <v>0</v>
      </c>
      <c r="J29" s="310">
        <f t="shared" si="11"/>
        <v>0</v>
      </c>
      <c r="K29" s="521">
        <f t="shared" si="11"/>
        <v>0</v>
      </c>
      <c r="L29" s="310">
        <f t="shared" si="11"/>
        <v>0</v>
      </c>
      <c r="M29" s="310">
        <f t="shared" si="11"/>
        <v>8126.7120000000004</v>
      </c>
      <c r="N29" s="310">
        <f t="shared" si="11"/>
        <v>191166.47999999998</v>
      </c>
      <c r="O29" s="310">
        <f t="shared" si="11"/>
        <v>142899.12000000002</v>
      </c>
      <c r="P29" s="310">
        <f t="shared" si="11"/>
        <v>106415.1</v>
      </c>
      <c r="Q29" s="310">
        <f t="shared" si="11"/>
        <v>0</v>
      </c>
      <c r="R29" s="310">
        <f t="shared" si="11"/>
        <v>0</v>
      </c>
      <c r="S29" s="310">
        <f t="shared" si="11"/>
        <v>0</v>
      </c>
      <c r="T29" s="310">
        <f t="shared" si="11"/>
        <v>0</v>
      </c>
      <c r="U29" s="310">
        <f t="shared" si="11"/>
        <v>0</v>
      </c>
      <c r="V29" s="310">
        <f t="shared" si="11"/>
        <v>0</v>
      </c>
      <c r="W29" s="310">
        <f t="shared" si="11"/>
        <v>0</v>
      </c>
      <c r="X29" s="310">
        <f t="shared" si="11"/>
        <v>0</v>
      </c>
      <c r="Y29" s="310">
        <f t="shared" si="11"/>
        <v>0</v>
      </c>
      <c r="Z29" s="310">
        <f t="shared" si="11"/>
        <v>0</v>
      </c>
      <c r="AA29" s="310">
        <f t="shared" si="11"/>
        <v>0</v>
      </c>
      <c r="AB29" s="310">
        <f t="shared" si="11"/>
        <v>0</v>
      </c>
      <c r="AC29" s="310">
        <f t="shared" si="11"/>
        <v>0</v>
      </c>
      <c r="AD29" s="310">
        <f t="shared" si="11"/>
        <v>0</v>
      </c>
      <c r="AE29" s="310">
        <f t="shared" si="11"/>
        <v>0</v>
      </c>
      <c r="AF29" s="310">
        <f t="shared" si="11"/>
        <v>0</v>
      </c>
      <c r="AG29" s="310">
        <f t="shared" si="11"/>
        <v>0</v>
      </c>
      <c r="AH29" s="310">
        <f t="shared" si="11"/>
        <v>0</v>
      </c>
      <c r="AI29" s="310">
        <f t="shared" si="11"/>
        <v>0</v>
      </c>
      <c r="AJ29" s="310">
        <f t="shared" si="11"/>
        <v>0</v>
      </c>
      <c r="AK29" s="310">
        <f t="shared" si="11"/>
        <v>0</v>
      </c>
      <c r="AL29" s="310">
        <f t="shared" si="11"/>
        <v>0</v>
      </c>
      <c r="AM29" s="310">
        <f t="shared" si="11"/>
        <v>0</v>
      </c>
      <c r="AN29" s="445">
        <f>-[1]Dashboard!D67</f>
        <v>-85730.795280000006</v>
      </c>
      <c r="AO29" s="309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38">
        <v>46113</v>
      </c>
      <c r="B30" s="310">
        <f t="shared" ref="B30:AM30" si="12">+B10*B$1</f>
        <v>43057.77</v>
      </c>
      <c r="C30" s="310">
        <f t="shared" si="12"/>
        <v>55250.170000000006</v>
      </c>
      <c r="D30" s="310">
        <f t="shared" si="12"/>
        <v>16750.440000000002</v>
      </c>
      <c r="E30" s="310">
        <f t="shared" si="12"/>
        <v>18069.64</v>
      </c>
      <c r="F30" s="310">
        <f t="shared" si="12"/>
        <v>22733.25</v>
      </c>
      <c r="G30" s="310">
        <f t="shared" si="12"/>
        <v>26880.57</v>
      </c>
      <c r="H30" s="310">
        <f t="shared" si="12"/>
        <v>0</v>
      </c>
      <c r="I30" s="387">
        <f t="shared" si="12"/>
        <v>0</v>
      </c>
      <c r="J30" s="310">
        <f t="shared" si="12"/>
        <v>80723.77665</v>
      </c>
      <c r="K30" s="521">
        <f t="shared" si="12"/>
        <v>0</v>
      </c>
      <c r="L30" s="310">
        <f t="shared" si="12"/>
        <v>0</v>
      </c>
      <c r="M30" s="310">
        <f t="shared" si="12"/>
        <v>48841.539120000001</v>
      </c>
      <c r="N30" s="310">
        <f t="shared" si="12"/>
        <v>0</v>
      </c>
      <c r="O30" s="310">
        <f t="shared" si="12"/>
        <v>0</v>
      </c>
      <c r="P30" s="310">
        <f t="shared" si="12"/>
        <v>0</v>
      </c>
      <c r="Q30" s="310">
        <f t="shared" si="12"/>
        <v>0</v>
      </c>
      <c r="R30" s="310">
        <f t="shared" si="12"/>
        <v>0</v>
      </c>
      <c r="S30" s="310">
        <f t="shared" si="12"/>
        <v>0</v>
      </c>
      <c r="T30" s="310">
        <f t="shared" si="12"/>
        <v>0</v>
      </c>
      <c r="U30" s="310">
        <f t="shared" si="12"/>
        <v>0</v>
      </c>
      <c r="V30" s="310">
        <f t="shared" si="12"/>
        <v>0</v>
      </c>
      <c r="W30" s="310">
        <f t="shared" si="12"/>
        <v>0</v>
      </c>
      <c r="X30" s="310">
        <f t="shared" si="12"/>
        <v>0</v>
      </c>
      <c r="Y30" s="310">
        <f t="shared" si="12"/>
        <v>0</v>
      </c>
      <c r="Z30" s="310">
        <f t="shared" si="12"/>
        <v>0</v>
      </c>
      <c r="AA30" s="310">
        <f t="shared" si="12"/>
        <v>0</v>
      </c>
      <c r="AB30" s="310">
        <f t="shared" si="12"/>
        <v>0</v>
      </c>
      <c r="AC30" s="310">
        <f t="shared" si="12"/>
        <v>0</v>
      </c>
      <c r="AD30" s="310">
        <f t="shared" si="12"/>
        <v>0</v>
      </c>
      <c r="AE30" s="310">
        <f t="shared" si="12"/>
        <v>0</v>
      </c>
      <c r="AF30" s="310">
        <f t="shared" si="12"/>
        <v>0</v>
      </c>
      <c r="AG30" s="310">
        <f t="shared" si="12"/>
        <v>0</v>
      </c>
      <c r="AH30" s="310">
        <f t="shared" si="12"/>
        <v>0</v>
      </c>
      <c r="AI30" s="310">
        <f t="shared" si="12"/>
        <v>0</v>
      </c>
      <c r="AJ30" s="310">
        <f t="shared" si="12"/>
        <v>0</v>
      </c>
      <c r="AK30" s="310">
        <f t="shared" si="12"/>
        <v>0</v>
      </c>
      <c r="AL30" s="310">
        <f t="shared" si="12"/>
        <v>0</v>
      </c>
      <c r="AM30" s="310">
        <f t="shared" si="12"/>
        <v>0</v>
      </c>
      <c r="AN30" s="445">
        <f>-[1]Dashboard!D68</f>
        <v>-85734.352079999997</v>
      </c>
      <c r="AO30" s="309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38">
        <v>46143</v>
      </c>
      <c r="B31" s="310">
        <f t="shared" ref="B31:AM31" si="13">+B11*B$1</f>
        <v>0</v>
      </c>
      <c r="C31" s="310">
        <f t="shared" si="13"/>
        <v>0</v>
      </c>
      <c r="D31" s="310">
        <f t="shared" si="13"/>
        <v>0</v>
      </c>
      <c r="E31" s="310">
        <f t="shared" si="13"/>
        <v>0</v>
      </c>
      <c r="F31" s="310">
        <f t="shared" si="13"/>
        <v>0</v>
      </c>
      <c r="G31" s="310">
        <f t="shared" si="13"/>
        <v>0</v>
      </c>
      <c r="H31" s="310">
        <f t="shared" si="13"/>
        <v>163409.42673000001</v>
      </c>
      <c r="I31" s="387">
        <f t="shared" si="13"/>
        <v>0</v>
      </c>
      <c r="J31" s="310">
        <f t="shared" si="13"/>
        <v>269838.37078</v>
      </c>
      <c r="K31" s="521">
        <f t="shared" si="13"/>
        <v>0</v>
      </c>
      <c r="L31" s="310">
        <f t="shared" si="13"/>
        <v>0</v>
      </c>
      <c r="M31" s="310">
        <f t="shared" si="13"/>
        <v>8187.6623399999999</v>
      </c>
      <c r="N31" s="310">
        <f t="shared" si="13"/>
        <v>0</v>
      </c>
      <c r="O31" s="310">
        <f t="shared" si="13"/>
        <v>0</v>
      </c>
      <c r="P31" s="310">
        <f t="shared" si="13"/>
        <v>0</v>
      </c>
      <c r="Q31" s="310">
        <f t="shared" si="13"/>
        <v>0</v>
      </c>
      <c r="R31" s="310">
        <f t="shared" si="13"/>
        <v>0</v>
      </c>
      <c r="S31" s="310">
        <f t="shared" si="13"/>
        <v>0</v>
      </c>
      <c r="T31" s="310">
        <f t="shared" si="13"/>
        <v>0</v>
      </c>
      <c r="U31" s="310">
        <f t="shared" si="13"/>
        <v>0</v>
      </c>
      <c r="V31" s="310">
        <f t="shared" si="13"/>
        <v>0</v>
      </c>
      <c r="W31" s="310">
        <f t="shared" si="13"/>
        <v>0</v>
      </c>
      <c r="X31" s="310">
        <f t="shared" si="13"/>
        <v>0</v>
      </c>
      <c r="Y31" s="310">
        <f t="shared" si="13"/>
        <v>0</v>
      </c>
      <c r="Z31" s="310">
        <f t="shared" si="13"/>
        <v>0</v>
      </c>
      <c r="AA31" s="310">
        <f t="shared" si="13"/>
        <v>0</v>
      </c>
      <c r="AB31" s="310">
        <f t="shared" si="13"/>
        <v>0</v>
      </c>
      <c r="AC31" s="310">
        <f t="shared" si="13"/>
        <v>0</v>
      </c>
      <c r="AD31" s="310">
        <f t="shared" si="13"/>
        <v>0</v>
      </c>
      <c r="AE31" s="310">
        <f t="shared" si="13"/>
        <v>0</v>
      </c>
      <c r="AF31" s="310">
        <f t="shared" si="13"/>
        <v>0</v>
      </c>
      <c r="AG31" s="310">
        <f t="shared" si="13"/>
        <v>0</v>
      </c>
      <c r="AH31" s="310">
        <f t="shared" si="13"/>
        <v>0</v>
      </c>
      <c r="AI31" s="310">
        <f t="shared" si="13"/>
        <v>0</v>
      </c>
      <c r="AJ31" s="310">
        <f t="shared" si="13"/>
        <v>0</v>
      </c>
      <c r="AK31" s="310">
        <f t="shared" si="13"/>
        <v>0</v>
      </c>
      <c r="AL31" s="310">
        <f t="shared" si="13"/>
        <v>0</v>
      </c>
      <c r="AM31" s="310">
        <f t="shared" si="13"/>
        <v>0</v>
      </c>
      <c r="AN31" s="445">
        <f>-[1]Dashboard!D69</f>
        <v>-85734.352079999997</v>
      </c>
      <c r="AO31" s="309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38">
        <v>46174</v>
      </c>
      <c r="B32" s="310">
        <f t="shared" ref="B32:AM32" si="14">+B12*B$1</f>
        <v>0</v>
      </c>
      <c r="C32" s="310">
        <f t="shared" si="14"/>
        <v>0</v>
      </c>
      <c r="D32" s="310">
        <f t="shared" si="14"/>
        <v>0</v>
      </c>
      <c r="E32" s="310">
        <f t="shared" si="14"/>
        <v>0</v>
      </c>
      <c r="F32" s="310">
        <f t="shared" si="14"/>
        <v>0</v>
      </c>
      <c r="G32" s="310">
        <f t="shared" si="14"/>
        <v>0</v>
      </c>
      <c r="H32" s="310">
        <f t="shared" si="14"/>
        <v>295191.22248000005</v>
      </c>
      <c r="I32" s="387">
        <f t="shared" si="14"/>
        <v>0</v>
      </c>
      <c r="J32" s="310">
        <f t="shared" si="14"/>
        <v>0</v>
      </c>
      <c r="K32" s="521">
        <f t="shared" si="14"/>
        <v>0</v>
      </c>
      <c r="L32" s="310">
        <f t="shared" si="14"/>
        <v>0</v>
      </c>
      <c r="M32" s="310">
        <f t="shared" si="14"/>
        <v>12228.44414</v>
      </c>
      <c r="N32" s="310">
        <f t="shared" si="14"/>
        <v>0</v>
      </c>
      <c r="O32" s="310">
        <f t="shared" si="14"/>
        <v>0</v>
      </c>
      <c r="P32" s="310">
        <f t="shared" si="14"/>
        <v>0</v>
      </c>
      <c r="Q32" s="310">
        <f t="shared" si="14"/>
        <v>0</v>
      </c>
      <c r="R32" s="310">
        <f t="shared" si="14"/>
        <v>0</v>
      </c>
      <c r="S32" s="310">
        <f t="shared" si="14"/>
        <v>0</v>
      </c>
      <c r="T32" s="310">
        <f t="shared" si="14"/>
        <v>0</v>
      </c>
      <c r="U32" s="310">
        <f t="shared" si="14"/>
        <v>0</v>
      </c>
      <c r="V32" s="310">
        <f t="shared" si="14"/>
        <v>0</v>
      </c>
      <c r="W32" s="310">
        <f t="shared" si="14"/>
        <v>0</v>
      </c>
      <c r="X32" s="310">
        <f t="shared" si="14"/>
        <v>0</v>
      </c>
      <c r="Y32" s="310">
        <f t="shared" si="14"/>
        <v>0</v>
      </c>
      <c r="Z32" s="310">
        <f t="shared" si="14"/>
        <v>0</v>
      </c>
      <c r="AA32" s="310">
        <f t="shared" si="14"/>
        <v>0</v>
      </c>
      <c r="AB32" s="310">
        <f t="shared" si="14"/>
        <v>0</v>
      </c>
      <c r="AC32" s="310">
        <f t="shared" si="14"/>
        <v>0</v>
      </c>
      <c r="AD32" s="310">
        <f t="shared" si="14"/>
        <v>0</v>
      </c>
      <c r="AE32" s="310">
        <f t="shared" si="14"/>
        <v>0</v>
      </c>
      <c r="AF32" s="310">
        <f t="shared" si="14"/>
        <v>0</v>
      </c>
      <c r="AG32" s="310">
        <f t="shared" si="14"/>
        <v>0</v>
      </c>
      <c r="AH32" s="310">
        <f t="shared" si="14"/>
        <v>0</v>
      </c>
      <c r="AI32" s="310">
        <f t="shared" si="14"/>
        <v>0</v>
      </c>
      <c r="AJ32" s="310">
        <f t="shared" si="14"/>
        <v>0</v>
      </c>
      <c r="AK32" s="310">
        <f t="shared" si="14"/>
        <v>0</v>
      </c>
      <c r="AL32" s="310">
        <f t="shared" si="14"/>
        <v>0</v>
      </c>
      <c r="AM32" s="310">
        <f t="shared" si="14"/>
        <v>0</v>
      </c>
      <c r="AN32" s="445">
        <f>-[1]Dashboard!D70</f>
        <v>-102830.79528000001</v>
      </c>
      <c r="AO32" s="309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38">
        <v>46204</v>
      </c>
      <c r="B33" s="310">
        <f t="shared" ref="B33:AM33" si="15">+B13*B$1</f>
        <v>0</v>
      </c>
      <c r="C33" s="310">
        <f t="shared" si="15"/>
        <v>0</v>
      </c>
      <c r="D33" s="310">
        <f t="shared" si="15"/>
        <v>0</v>
      </c>
      <c r="E33" s="310">
        <f t="shared" si="15"/>
        <v>0</v>
      </c>
      <c r="F33" s="310">
        <f t="shared" si="15"/>
        <v>0</v>
      </c>
      <c r="G33" s="310">
        <f t="shared" si="15"/>
        <v>0</v>
      </c>
      <c r="H33" s="310">
        <f t="shared" si="15"/>
        <v>197026.49088</v>
      </c>
      <c r="I33" s="387">
        <f t="shared" si="15"/>
        <v>0</v>
      </c>
      <c r="J33" s="310">
        <f t="shared" si="15"/>
        <v>142849.22894</v>
      </c>
      <c r="K33" s="521">
        <f t="shared" si="15"/>
        <v>0</v>
      </c>
      <c r="L33" s="310">
        <f t="shared" si="15"/>
        <v>0</v>
      </c>
      <c r="M33" s="310">
        <f t="shared" si="15"/>
        <v>31231.405700000003</v>
      </c>
      <c r="N33" s="310">
        <f t="shared" si="15"/>
        <v>0</v>
      </c>
      <c r="O33" s="310">
        <f t="shared" si="15"/>
        <v>0</v>
      </c>
      <c r="P33" s="310">
        <f t="shared" si="15"/>
        <v>0</v>
      </c>
      <c r="Q33" s="310">
        <f t="shared" si="15"/>
        <v>0</v>
      </c>
      <c r="R33" s="310">
        <f t="shared" si="15"/>
        <v>0</v>
      </c>
      <c r="S33" s="310">
        <f t="shared" si="15"/>
        <v>0</v>
      </c>
      <c r="T33" s="310">
        <f t="shared" si="15"/>
        <v>0</v>
      </c>
      <c r="U33" s="310">
        <f t="shared" si="15"/>
        <v>0</v>
      </c>
      <c r="V33" s="310">
        <f t="shared" si="15"/>
        <v>0</v>
      </c>
      <c r="W33" s="310">
        <f t="shared" si="15"/>
        <v>0</v>
      </c>
      <c r="X33" s="310">
        <f t="shared" si="15"/>
        <v>0</v>
      </c>
      <c r="Y33" s="310">
        <f t="shared" si="15"/>
        <v>0</v>
      </c>
      <c r="Z33" s="310">
        <f t="shared" si="15"/>
        <v>0</v>
      </c>
      <c r="AA33" s="310">
        <f t="shared" si="15"/>
        <v>0</v>
      </c>
      <c r="AB33" s="310">
        <f t="shared" si="15"/>
        <v>0</v>
      </c>
      <c r="AC33" s="310">
        <f t="shared" si="15"/>
        <v>0</v>
      </c>
      <c r="AD33" s="310">
        <f t="shared" si="15"/>
        <v>0</v>
      </c>
      <c r="AE33" s="310">
        <f t="shared" si="15"/>
        <v>0</v>
      </c>
      <c r="AF33" s="310">
        <f t="shared" si="15"/>
        <v>0</v>
      </c>
      <c r="AG33" s="310">
        <f t="shared" si="15"/>
        <v>0</v>
      </c>
      <c r="AH33" s="310">
        <f t="shared" si="15"/>
        <v>0</v>
      </c>
      <c r="AI33" s="310">
        <f t="shared" si="15"/>
        <v>0</v>
      </c>
      <c r="AJ33" s="310">
        <f t="shared" si="15"/>
        <v>0</v>
      </c>
      <c r="AK33" s="310">
        <f t="shared" si="15"/>
        <v>0</v>
      </c>
      <c r="AL33" s="310">
        <f t="shared" si="15"/>
        <v>0</v>
      </c>
      <c r="AM33" s="310">
        <f t="shared" si="15"/>
        <v>0</v>
      </c>
      <c r="AN33" s="445">
        <f>-[1]Dashboard!D71</f>
        <v>-102830.79528000001</v>
      </c>
      <c r="AO33" s="309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38">
        <v>46235</v>
      </c>
      <c r="B34" s="310">
        <f t="shared" ref="B34:AM34" si="16">+B14*B$1</f>
        <v>0</v>
      </c>
      <c r="C34" s="310">
        <f t="shared" si="16"/>
        <v>0</v>
      </c>
      <c r="D34" s="310">
        <f t="shared" si="16"/>
        <v>0</v>
      </c>
      <c r="E34" s="310">
        <f t="shared" si="16"/>
        <v>0</v>
      </c>
      <c r="F34" s="310">
        <f t="shared" si="16"/>
        <v>0</v>
      </c>
      <c r="G34" s="310">
        <f t="shared" si="16"/>
        <v>0</v>
      </c>
      <c r="H34" s="310">
        <f t="shared" si="16"/>
        <v>145693.30653000003</v>
      </c>
      <c r="I34" s="387">
        <f t="shared" si="16"/>
        <v>0</v>
      </c>
      <c r="J34" s="310">
        <f t="shared" si="16"/>
        <v>168022.03384999998</v>
      </c>
      <c r="K34" s="521">
        <f t="shared" si="16"/>
        <v>300342.56999999995</v>
      </c>
      <c r="L34" s="310">
        <f t="shared" si="16"/>
        <v>0</v>
      </c>
      <c r="M34" s="310">
        <f t="shared" si="16"/>
        <v>27472.8014</v>
      </c>
      <c r="N34" s="310">
        <f t="shared" si="16"/>
        <v>0</v>
      </c>
      <c r="O34" s="310">
        <f t="shared" si="16"/>
        <v>0</v>
      </c>
      <c r="P34" s="310">
        <f t="shared" si="16"/>
        <v>0</v>
      </c>
      <c r="Q34" s="310">
        <f t="shared" si="16"/>
        <v>15171.98</v>
      </c>
      <c r="R34" s="310">
        <f t="shared" si="16"/>
        <v>3531.18</v>
      </c>
      <c r="S34" s="310">
        <f t="shared" si="16"/>
        <v>3869.18</v>
      </c>
      <c r="T34" s="310">
        <f t="shared" si="16"/>
        <v>3921.18</v>
      </c>
      <c r="U34" s="310">
        <f t="shared" si="16"/>
        <v>0</v>
      </c>
      <c r="V34" s="310">
        <f t="shared" si="16"/>
        <v>4441.18</v>
      </c>
      <c r="W34" s="310">
        <f t="shared" si="16"/>
        <v>0</v>
      </c>
      <c r="X34" s="310">
        <f t="shared" si="16"/>
        <v>0</v>
      </c>
      <c r="Y34" s="310">
        <f t="shared" si="16"/>
        <v>1312</v>
      </c>
      <c r="Z34" s="310">
        <f t="shared" si="16"/>
        <v>9352</v>
      </c>
      <c r="AA34" s="310">
        <f t="shared" si="16"/>
        <v>0</v>
      </c>
      <c r="AB34" s="310">
        <f t="shared" si="16"/>
        <v>0</v>
      </c>
      <c r="AC34" s="310">
        <f t="shared" si="16"/>
        <v>0</v>
      </c>
      <c r="AD34" s="310">
        <f t="shared" si="16"/>
        <v>0</v>
      </c>
      <c r="AE34" s="310">
        <f t="shared" si="16"/>
        <v>0</v>
      </c>
      <c r="AF34" s="310">
        <f t="shared" si="16"/>
        <v>0</v>
      </c>
      <c r="AG34" s="310">
        <f t="shared" si="16"/>
        <v>0</v>
      </c>
      <c r="AH34" s="310">
        <f t="shared" si="16"/>
        <v>0</v>
      </c>
      <c r="AI34" s="310">
        <f t="shared" si="16"/>
        <v>0</v>
      </c>
      <c r="AJ34" s="310">
        <f t="shared" si="16"/>
        <v>173864.40000000002</v>
      </c>
      <c r="AK34" s="310">
        <f t="shared" si="16"/>
        <v>167470.32</v>
      </c>
      <c r="AL34" s="310">
        <f t="shared" si="16"/>
        <v>0</v>
      </c>
      <c r="AM34" s="310">
        <f t="shared" si="16"/>
        <v>0</v>
      </c>
      <c r="AN34" s="445">
        <f>-[1]Dashboard!D72</f>
        <v>-102830.79528000001</v>
      </c>
      <c r="AO34" s="309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38">
        <v>46266</v>
      </c>
      <c r="B35" s="310">
        <f t="shared" ref="B35:AM35" si="17">+B15*B$1</f>
        <v>0</v>
      </c>
      <c r="C35" s="310">
        <f t="shared" si="17"/>
        <v>0</v>
      </c>
      <c r="D35" s="310">
        <f t="shared" si="17"/>
        <v>0</v>
      </c>
      <c r="E35" s="310">
        <f t="shared" si="17"/>
        <v>0</v>
      </c>
      <c r="F35" s="310">
        <f t="shared" si="17"/>
        <v>0</v>
      </c>
      <c r="G35" s="310">
        <f t="shared" si="17"/>
        <v>0</v>
      </c>
      <c r="H35" s="310">
        <f t="shared" si="17"/>
        <v>155669.51519999999</v>
      </c>
      <c r="I35" s="387">
        <f t="shared" si="17"/>
        <v>0</v>
      </c>
      <c r="J35" s="310">
        <f t="shared" si="17"/>
        <v>0</v>
      </c>
      <c r="K35" s="521">
        <f t="shared" si="17"/>
        <v>440241.56999999995</v>
      </c>
      <c r="L35" s="310">
        <f t="shared" si="17"/>
        <v>93160</v>
      </c>
      <c r="M35" s="310">
        <f t="shared" si="17"/>
        <v>45306.419399999999</v>
      </c>
      <c r="N35" s="310">
        <f t="shared" si="17"/>
        <v>120364.08</v>
      </c>
      <c r="O35" s="310">
        <f t="shared" si="17"/>
        <v>89973.52</v>
      </c>
      <c r="P35" s="310">
        <f t="shared" si="17"/>
        <v>67002.100000000006</v>
      </c>
      <c r="Q35" s="310">
        <f t="shared" si="17"/>
        <v>60687.92</v>
      </c>
      <c r="R35" s="310">
        <f t="shared" si="17"/>
        <v>14124.72</v>
      </c>
      <c r="S35" s="310">
        <f t="shared" si="17"/>
        <v>15476.72</v>
      </c>
      <c r="T35" s="310">
        <f t="shared" si="17"/>
        <v>15684.72</v>
      </c>
      <c r="U35" s="310">
        <f t="shared" si="17"/>
        <v>4441.18</v>
      </c>
      <c r="V35" s="310">
        <f t="shared" si="17"/>
        <v>17764.72</v>
      </c>
      <c r="W35" s="310">
        <f t="shared" si="17"/>
        <v>4181.18</v>
      </c>
      <c r="X35" s="310">
        <f t="shared" si="17"/>
        <v>6271.77</v>
      </c>
      <c r="Y35" s="310">
        <f t="shared" si="17"/>
        <v>5248</v>
      </c>
      <c r="Z35" s="310">
        <f t="shared" si="17"/>
        <v>37408</v>
      </c>
      <c r="AA35" s="310">
        <f t="shared" si="17"/>
        <v>0</v>
      </c>
      <c r="AB35" s="310">
        <f t="shared" si="17"/>
        <v>0</v>
      </c>
      <c r="AC35" s="310">
        <f t="shared" si="17"/>
        <v>0</v>
      </c>
      <c r="AD35" s="310">
        <f t="shared" si="17"/>
        <v>0</v>
      </c>
      <c r="AE35" s="310">
        <f t="shared" si="17"/>
        <v>0</v>
      </c>
      <c r="AF35" s="310">
        <f t="shared" si="17"/>
        <v>0</v>
      </c>
      <c r="AG35" s="310">
        <f t="shared" si="17"/>
        <v>0</v>
      </c>
      <c r="AH35" s="310">
        <f t="shared" si="17"/>
        <v>0</v>
      </c>
      <c r="AI35" s="310">
        <f t="shared" si="17"/>
        <v>0</v>
      </c>
      <c r="AJ35" s="310">
        <f t="shared" si="17"/>
        <v>0</v>
      </c>
      <c r="AK35" s="310">
        <f t="shared" si="17"/>
        <v>0</v>
      </c>
      <c r="AL35" s="310">
        <f t="shared" si="17"/>
        <v>0</v>
      </c>
      <c r="AM35" s="310">
        <f t="shared" si="17"/>
        <v>0</v>
      </c>
      <c r="AN35" s="445">
        <f>-[1]Dashboard!D73</f>
        <v>-102830.79528000001</v>
      </c>
      <c r="AO35" s="309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38">
        <v>46296</v>
      </c>
      <c r="B36" s="310">
        <f t="shared" ref="B36:AM36" si="18">+B16*B$1</f>
        <v>0</v>
      </c>
      <c r="C36" s="310">
        <f t="shared" si="18"/>
        <v>0</v>
      </c>
      <c r="D36" s="310">
        <f t="shared" si="18"/>
        <v>0</v>
      </c>
      <c r="E36" s="310">
        <f t="shared" si="18"/>
        <v>0</v>
      </c>
      <c r="F36" s="310">
        <f t="shared" si="18"/>
        <v>0</v>
      </c>
      <c r="G36" s="310">
        <f t="shared" si="18"/>
        <v>0</v>
      </c>
      <c r="H36" s="310">
        <f t="shared" si="18"/>
        <v>241483.787595</v>
      </c>
      <c r="I36" s="387">
        <f t="shared" si="18"/>
        <v>0</v>
      </c>
      <c r="J36" s="310">
        <f t="shared" si="18"/>
        <v>22021.120934999992</v>
      </c>
      <c r="K36" s="521">
        <f t="shared" si="18"/>
        <v>886419.96</v>
      </c>
      <c r="L36" s="310">
        <f t="shared" si="18"/>
        <v>0</v>
      </c>
      <c r="M36" s="310">
        <f t="shared" si="18"/>
        <v>14459.90381</v>
      </c>
      <c r="N36" s="310">
        <f t="shared" si="18"/>
        <v>14160.48</v>
      </c>
      <c r="O36" s="310">
        <f t="shared" si="18"/>
        <v>10585.12</v>
      </c>
      <c r="P36" s="310">
        <f t="shared" si="18"/>
        <v>7882.6</v>
      </c>
      <c r="Q36" s="310">
        <f t="shared" si="18"/>
        <v>37929.949999999997</v>
      </c>
      <c r="R36" s="310">
        <f t="shared" si="18"/>
        <v>10593.539999999999</v>
      </c>
      <c r="S36" s="310">
        <f t="shared" si="18"/>
        <v>11607.539999999999</v>
      </c>
      <c r="T36" s="310">
        <f t="shared" si="18"/>
        <v>11763.539999999999</v>
      </c>
      <c r="U36" s="310">
        <f t="shared" si="18"/>
        <v>0</v>
      </c>
      <c r="V36" s="310">
        <f t="shared" si="18"/>
        <v>13323.54</v>
      </c>
      <c r="W36" s="310">
        <f t="shared" si="18"/>
        <v>2090.59</v>
      </c>
      <c r="X36" s="310">
        <f t="shared" si="18"/>
        <v>2090.59</v>
      </c>
      <c r="Y36" s="310">
        <f t="shared" si="18"/>
        <v>2624</v>
      </c>
      <c r="Z36" s="310">
        <f t="shared" si="18"/>
        <v>18704</v>
      </c>
      <c r="AA36" s="310">
        <f t="shared" si="18"/>
        <v>0</v>
      </c>
      <c r="AB36" s="310">
        <f t="shared" si="18"/>
        <v>0</v>
      </c>
      <c r="AC36" s="310">
        <f t="shared" si="18"/>
        <v>0</v>
      </c>
      <c r="AD36" s="310">
        <f t="shared" si="18"/>
        <v>0</v>
      </c>
      <c r="AE36" s="310">
        <f t="shared" si="18"/>
        <v>0</v>
      </c>
      <c r="AF36" s="310">
        <f t="shared" si="18"/>
        <v>0</v>
      </c>
      <c r="AG36" s="310">
        <f t="shared" si="18"/>
        <v>0</v>
      </c>
      <c r="AH36" s="310">
        <f t="shared" si="18"/>
        <v>0</v>
      </c>
      <c r="AI36" s="310">
        <f t="shared" si="18"/>
        <v>0</v>
      </c>
      <c r="AJ36" s="310">
        <f t="shared" si="18"/>
        <v>0</v>
      </c>
      <c r="AK36" s="310">
        <f t="shared" si="18"/>
        <v>0</v>
      </c>
      <c r="AL36" s="310">
        <f t="shared" si="18"/>
        <v>0</v>
      </c>
      <c r="AM36" s="310">
        <f t="shared" si="18"/>
        <v>0</v>
      </c>
      <c r="AN36" s="445">
        <f>-[1]Dashboard!D74</f>
        <v>-102830.79528000001</v>
      </c>
      <c r="AO36" s="309"/>
      <c r="AP36" s="13">
        <f t="shared" si="5"/>
        <v>1414147.9090344007</v>
      </c>
      <c r="AQ36" s="13">
        <f t="shared" si="8"/>
        <v>5403373.6705983989</v>
      </c>
    </row>
    <row r="37" spans="1:47" x14ac:dyDescent="0.25">
      <c r="A37" s="238">
        <v>46327</v>
      </c>
      <c r="B37" s="310">
        <f t="shared" ref="B37:AM37" si="19">+B17*B$1</f>
        <v>0</v>
      </c>
      <c r="C37" s="310">
        <f t="shared" si="19"/>
        <v>0</v>
      </c>
      <c r="D37" s="310">
        <f t="shared" si="19"/>
        <v>0</v>
      </c>
      <c r="E37" s="310">
        <f t="shared" si="19"/>
        <v>0</v>
      </c>
      <c r="F37" s="310">
        <f t="shared" si="19"/>
        <v>0</v>
      </c>
      <c r="G37" s="310">
        <f t="shared" si="19"/>
        <v>0</v>
      </c>
      <c r="H37" s="310">
        <f t="shared" si="19"/>
        <v>0</v>
      </c>
      <c r="I37" s="387">
        <f t="shared" si="19"/>
        <v>0</v>
      </c>
      <c r="J37" s="310">
        <f t="shared" si="19"/>
        <v>0</v>
      </c>
      <c r="K37" s="521">
        <f t="shared" si="19"/>
        <v>0</v>
      </c>
      <c r="L37" s="310">
        <f t="shared" si="19"/>
        <v>0</v>
      </c>
      <c r="M37" s="310">
        <f t="shared" si="19"/>
        <v>0</v>
      </c>
      <c r="N37" s="310">
        <f t="shared" si="19"/>
        <v>0</v>
      </c>
      <c r="O37" s="310">
        <f t="shared" si="19"/>
        <v>0</v>
      </c>
      <c r="P37" s="310">
        <f t="shared" si="19"/>
        <v>0</v>
      </c>
      <c r="Q37" s="310">
        <f t="shared" si="19"/>
        <v>0</v>
      </c>
      <c r="R37" s="310">
        <f t="shared" si="19"/>
        <v>0</v>
      </c>
      <c r="S37" s="310">
        <f t="shared" si="19"/>
        <v>0</v>
      </c>
      <c r="T37" s="310">
        <f t="shared" si="19"/>
        <v>0</v>
      </c>
      <c r="U37" s="310">
        <f t="shared" si="19"/>
        <v>0</v>
      </c>
      <c r="V37" s="310">
        <f t="shared" si="19"/>
        <v>0</v>
      </c>
      <c r="W37" s="310">
        <f t="shared" si="19"/>
        <v>0</v>
      </c>
      <c r="X37" s="310">
        <f t="shared" si="19"/>
        <v>0</v>
      </c>
      <c r="Y37" s="310">
        <f t="shared" si="19"/>
        <v>0</v>
      </c>
      <c r="Z37" s="310">
        <f t="shared" si="19"/>
        <v>0</v>
      </c>
      <c r="AA37" s="310">
        <f t="shared" si="19"/>
        <v>0</v>
      </c>
      <c r="AB37" s="310">
        <f t="shared" si="19"/>
        <v>0</v>
      </c>
      <c r="AC37" s="310">
        <f t="shared" si="19"/>
        <v>0</v>
      </c>
      <c r="AD37" s="310">
        <f t="shared" si="19"/>
        <v>0</v>
      </c>
      <c r="AE37" s="310">
        <f t="shared" si="19"/>
        <v>0</v>
      </c>
      <c r="AF37" s="310">
        <f t="shared" si="19"/>
        <v>0</v>
      </c>
      <c r="AG37" s="310">
        <f t="shared" si="19"/>
        <v>0</v>
      </c>
      <c r="AH37" s="310">
        <f t="shared" si="19"/>
        <v>0</v>
      </c>
      <c r="AI37" s="310">
        <f t="shared" si="19"/>
        <v>0</v>
      </c>
      <c r="AJ37" s="310">
        <f t="shared" si="19"/>
        <v>0</v>
      </c>
      <c r="AK37" s="310">
        <f t="shared" si="19"/>
        <v>0</v>
      </c>
      <c r="AL37" s="310">
        <f t="shared" si="19"/>
        <v>0</v>
      </c>
      <c r="AM37" s="310">
        <f t="shared" si="19"/>
        <v>0</v>
      </c>
      <c r="AN37" s="387"/>
      <c r="AO37" s="309"/>
      <c r="AP37" s="13">
        <f t="shared" si="5"/>
        <v>0</v>
      </c>
      <c r="AQ37" s="13">
        <f t="shared" si="8"/>
        <v>5403373.6705983989</v>
      </c>
    </row>
    <row r="38" spans="1:47" x14ac:dyDescent="0.25">
      <c r="A38" s="238">
        <v>46357</v>
      </c>
      <c r="B38" s="310">
        <f t="shared" ref="B38:AM38" si="20">+B18*B$1</f>
        <v>0</v>
      </c>
      <c r="C38" s="310">
        <f t="shared" si="20"/>
        <v>0</v>
      </c>
      <c r="D38" s="310">
        <f t="shared" si="20"/>
        <v>0</v>
      </c>
      <c r="E38" s="310">
        <f t="shared" si="20"/>
        <v>0</v>
      </c>
      <c r="F38" s="310">
        <f t="shared" si="20"/>
        <v>0</v>
      </c>
      <c r="G38" s="310">
        <f t="shared" si="20"/>
        <v>0</v>
      </c>
      <c r="H38" s="310">
        <f t="shared" si="20"/>
        <v>0</v>
      </c>
      <c r="I38" s="387">
        <f t="shared" si="20"/>
        <v>0</v>
      </c>
      <c r="J38" s="310">
        <f t="shared" si="20"/>
        <v>0</v>
      </c>
      <c r="K38" s="521">
        <f t="shared" si="20"/>
        <v>0</v>
      </c>
      <c r="L38" s="310">
        <f t="shared" si="20"/>
        <v>0</v>
      </c>
      <c r="M38" s="310">
        <f t="shared" si="20"/>
        <v>0</v>
      </c>
      <c r="N38" s="310">
        <f t="shared" si="20"/>
        <v>0</v>
      </c>
      <c r="O38" s="310">
        <f t="shared" si="20"/>
        <v>0</v>
      </c>
      <c r="P38" s="310">
        <f t="shared" si="20"/>
        <v>0</v>
      </c>
      <c r="Q38" s="310">
        <f t="shared" si="20"/>
        <v>0</v>
      </c>
      <c r="R38" s="310">
        <f t="shared" si="20"/>
        <v>0</v>
      </c>
      <c r="S38" s="310">
        <f t="shared" si="20"/>
        <v>0</v>
      </c>
      <c r="T38" s="310">
        <f t="shared" si="20"/>
        <v>0</v>
      </c>
      <c r="U38" s="310">
        <f t="shared" si="20"/>
        <v>0</v>
      </c>
      <c r="V38" s="310">
        <f t="shared" si="20"/>
        <v>0</v>
      </c>
      <c r="W38" s="310">
        <f t="shared" si="20"/>
        <v>0</v>
      </c>
      <c r="X38" s="310">
        <f t="shared" si="20"/>
        <v>0</v>
      </c>
      <c r="Y38" s="310">
        <f t="shared" si="20"/>
        <v>0</v>
      </c>
      <c r="Z38" s="310">
        <f t="shared" si="20"/>
        <v>0</v>
      </c>
      <c r="AA38" s="310">
        <f t="shared" si="20"/>
        <v>0</v>
      </c>
      <c r="AB38" s="310">
        <f t="shared" si="20"/>
        <v>0</v>
      </c>
      <c r="AC38" s="310">
        <f t="shared" si="20"/>
        <v>0</v>
      </c>
      <c r="AD38" s="310">
        <f t="shared" si="20"/>
        <v>0</v>
      </c>
      <c r="AE38" s="310">
        <f t="shared" si="20"/>
        <v>0</v>
      </c>
      <c r="AF38" s="310">
        <f t="shared" si="20"/>
        <v>0</v>
      </c>
      <c r="AG38" s="310">
        <f t="shared" si="20"/>
        <v>0</v>
      </c>
      <c r="AH38" s="310">
        <f t="shared" si="20"/>
        <v>0</v>
      </c>
      <c r="AI38" s="310">
        <f t="shared" si="20"/>
        <v>0</v>
      </c>
      <c r="AJ38" s="310">
        <f t="shared" si="20"/>
        <v>0</v>
      </c>
      <c r="AK38" s="310">
        <f t="shared" si="20"/>
        <v>0</v>
      </c>
      <c r="AL38" s="310">
        <f t="shared" si="20"/>
        <v>0</v>
      </c>
      <c r="AM38" s="310">
        <f t="shared" si="20"/>
        <v>0</v>
      </c>
      <c r="AN38" s="387"/>
      <c r="AO38" s="309"/>
      <c r="AP38" s="13">
        <f t="shared" si="5"/>
        <v>0</v>
      </c>
      <c r="AQ38" s="13">
        <f t="shared" si="8"/>
        <v>5403373.6705983989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2649249.7368750004</v>
      </c>
      <c r="I39" s="13">
        <f t="shared" si="21"/>
        <v>0</v>
      </c>
      <c r="J39" s="13">
        <f t="shared" si="21"/>
        <v>2037743.3019349999</v>
      </c>
      <c r="K39" s="13">
        <f t="shared" si="21"/>
        <v>1627004.0999999999</v>
      </c>
      <c r="L39" s="13">
        <f t="shared" si="21"/>
        <v>1844568</v>
      </c>
      <c r="M39" s="13">
        <f>SUM(M23:M38)</f>
        <v>421384.69043000002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5403373.6705983989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10396042.949239999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12059409.821118398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613</v>
      </c>
    </row>
  </sheetData>
  <conditionalFormatting sqref="B3:J18 L3:AM18 K3:K19">
    <cfRule type="expression" dxfId="17" priority="6" stopIfTrue="1">
      <formula>IF($A3&gt;=TODAY(),TRUE,FALSE)</formula>
    </cfRule>
    <cfRule type="expression" dxfId="16" priority="9">
      <formula>B3=0</formula>
    </cfRule>
  </conditionalFormatting>
  <conditionalFormatting sqref="B23:AM38">
    <cfRule type="expression" dxfId="15" priority="5">
      <formula>B23=0</formula>
    </cfRule>
  </conditionalFormatting>
  <conditionalFormatting sqref="B23:AN38">
    <cfRule type="expression" dxfId="14" priority="3">
      <formula>IF(AND($A3&gt;TODAY(),B23=0),TRUE,FALSE)</formula>
    </cfRule>
    <cfRule type="expression" dxfId="13" priority="4">
      <formula>IF($A3&gt;TODAY(),TRUE,FALSE)</formula>
    </cfRule>
  </conditionalFormatting>
  <conditionalFormatting sqref="M23:M35">
    <cfRule type="expression" dxfId="12" priority="8">
      <formula>M23=0</formula>
    </cfRule>
  </conditionalFormatting>
  <conditionalFormatting sqref="AN23:AN38">
    <cfRule type="expression" dxfId="11" priority="1">
      <formula>IF(AND($A3&gt;TODAY(),AN23=0),TRUE,FALSE)</formula>
    </cfRule>
    <cfRule type="expression" dxfId="1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1" t="s">
        <v>323</v>
      </c>
      <c r="F2" s="171" t="s">
        <v>324</v>
      </c>
      <c r="G2" s="171" t="s">
        <v>325</v>
      </c>
      <c r="H2" s="171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2">
        <v>45963</v>
      </c>
      <c r="F3" s="173">
        <f ca="1">+'Grafico %'!K$35</f>
        <v>0.9333324999999999</v>
      </c>
      <c r="G3" s="173">
        <f ca="1">+'Grafico %'!$K$36</f>
        <v>0.91218749999999948</v>
      </c>
      <c r="H3" s="173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2">
        <f>+E3+2</f>
        <v>45965</v>
      </c>
      <c r="F4" s="173">
        <f ca="1">+'Grafico %'!K$35</f>
        <v>0.9333324999999999</v>
      </c>
      <c r="G4" s="173">
        <f ca="1">+'Grafico %'!$K$36</f>
        <v>0.91218749999999948</v>
      </c>
      <c r="H4" s="173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08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08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08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08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9</vt:i4>
      </vt:variant>
    </vt:vector>
  </HeadingPairs>
  <TitlesOfParts>
    <vt:vector size="45" baseType="lpstr">
      <vt:lpstr>diario</vt:lpstr>
      <vt:lpstr>Resumen</vt:lpstr>
      <vt:lpstr>Catálogo de conceptos</vt:lpstr>
      <vt:lpstr>waterfall ENGIE</vt:lpstr>
      <vt:lpstr>Catalogo</vt:lpstr>
      <vt:lpstr>Conceptos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balance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2026-10-28T23:00:53Z</dcterms:modified>
  <cp:category/>
  <cp:contentStatus/>
</cp:coreProperties>
</file>