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066" documentId="8_{4AADA8ED-8E7D-4B32-A08C-3385DCB314DA}" xr6:coauthVersionLast="47" xr6:coauthVersionMax="47" xr10:uidLastSave="{B5DB8253-8E2E-4CF0-AA22-0955E5F72917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Hoja1" sheetId="9" state="hidden" r:id="rId33"/>
  </sheet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SPIN'!$L$6:$L$20</definedName>
    <definedName name="_xlchart.v5.11" hidden="1">'EV SPIN'!$A$26:$A$38</definedName>
    <definedName name="_xlchart.v5.12" hidden="1">'EV SPIN'!$B$26:$B$38</definedName>
    <definedName name="_xlchart.v5.13" hidden="1">'EV SPIN'!$K$6:$K$20</definedName>
    <definedName name="_xlchart.v5.14" hidden="1">'EV SPIN'!$M$6:$M$20</definedName>
    <definedName name="_xlchart.v5.15" hidden="1">'EV SPIN'!$K$6:$K$20</definedName>
    <definedName name="_xlchart.v5.16" hidden="1">'EV SPIN'!$N$6:$N$20</definedName>
    <definedName name="_xlchart.v5.17" hidden="1">'EV SPIN'!$K$6:$K$20</definedName>
    <definedName name="_xlchart.v5.18" hidden="1">'EV SPIN'!$O$6:$O$20</definedName>
    <definedName name="_xlchart.v5.19" hidden="1">'EV SPIN'!$K$6:$K$20</definedName>
    <definedName name="_xlchart.v5.2" hidden="1">'EV (2)'!$A$5:$A$20</definedName>
    <definedName name="_xlchart.v5.20" hidden="1">'EV SPIN'!$Q$6:$Q$20</definedName>
    <definedName name="_xlchart.v5.21" hidden="1">'EV SPIN'!$K$6:$K$20</definedName>
    <definedName name="_xlchart.v5.22" hidden="1">'EV SPIN'!$P$6:$P$20</definedName>
    <definedName name="_xlchart.v5.23" hidden="1">'EV SPIN'!$A$5:$A$20</definedName>
    <definedName name="_xlchart.v5.24" hidden="1">'EV SPIN'!$I$5:$I$20</definedName>
    <definedName name="_xlchart.v5.25" hidden="1">'EV SPIN'!$K$6:$K$20</definedName>
    <definedName name="_xlchart.v5.26" hidden="1">'EV SPIN'!$L$6:$L$20</definedName>
    <definedName name="_xlchart.v5.27" hidden="1">'EV SPIN'!$K$6:$K$20</definedName>
    <definedName name="_xlchart.v5.28" hidden="1">'EV SPIN'!$M$6:$M$20</definedName>
    <definedName name="_xlchart.v5.29" hidden="1">'EV SPIN'!$K$6:$K$20</definedName>
    <definedName name="_xlchart.v5.3" hidden="1">'EV (2)'!$AO$5:$AO$20</definedName>
    <definedName name="_xlchart.v5.30" hidden="1">'EV SPIN'!$N$6:$N$20</definedName>
    <definedName name="_xlchart.v5.31" hidden="1">'EV SPIN'!$K$6:$K$20</definedName>
    <definedName name="_xlchart.v5.32" hidden="1">'EV SPIN'!$O$6:$O$20</definedName>
    <definedName name="_xlchart.v5.33" hidden="1">'EV SPIN'!$K$6:$K$20</definedName>
    <definedName name="_xlchart.v5.34" hidden="1">'EV SPIN'!$P$6:$P$20</definedName>
    <definedName name="_xlchart.v5.35" hidden="1">'EV SPIN'!$K$6:$K$20</definedName>
    <definedName name="_xlchart.v5.36" hidden="1">'EV SPIN'!$Q$6:$Q$20</definedName>
    <definedName name="_xlchart.v5.4" hidden="1">'waterfall ENGIE'!$U$31</definedName>
    <definedName name="_xlchart.v5.5" hidden="1">'EV (2)'!$A$26:$A$38</definedName>
    <definedName name="_xlchart.v5.6" hidden="1">'EV (2)'!$B$26:$B$38</definedName>
    <definedName name="_xlchart.v5.7" hidden="1">'EV SPIN'!$A$5:$A$20</definedName>
    <definedName name="_xlchart.v5.8" hidden="1">'EV SPIN'!$I$5:$I$20</definedName>
    <definedName name="_xlchart.v5.9" hidden="1">'EV SPIN'!$K$6:$K$20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4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5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67" i="1" l="1"/>
  <c r="H867" i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M899" i="1" l="1"/>
  <c r="O25" i="5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H992" i="1"/>
  <c r="M992" i="1" s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L463" i="1" l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909" i="1"/>
  <c r="M909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56" i="21" l="1"/>
  <c r="H355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M378" i="1"/>
  <c r="J10" i="30"/>
  <c r="F2" i="19"/>
  <c r="E2" i="19"/>
  <c r="J10" i="27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M362" i="1"/>
  <c r="X21" i="29"/>
  <c r="W21" i="29"/>
  <c r="V21" i="29"/>
  <c r="U21" i="29"/>
  <c r="T21" i="29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A19" i="21" l="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A23" i="21" l="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A24" i="21"/>
  <c r="E24" i="21" s="1"/>
  <c r="H67" i="1"/>
  <c r="M67" i="1" s="1"/>
  <c r="A25" i="21" l="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5" i="7" l="1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4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30"/>
  <c r="J7" i="27"/>
  <c r="R7" i="27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30"/>
  <c r="H19" i="30" s="1"/>
  <c r="H22" i="30" s="1"/>
  <c r="H6" i="29"/>
  <c r="M5" i="30"/>
  <c r="M19" i="30" s="1"/>
  <c r="M22" i="30" s="1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F36" i="4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C21" i="33"/>
  <c r="B21" i="33"/>
  <c r="J19" i="30"/>
  <c r="J22" i="30" s="1"/>
  <c r="J21" i="29"/>
  <c r="H20" i="27"/>
  <c r="R6" i="27"/>
  <c r="M994" i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M35" i="21" s="1"/>
  <c r="D356" i="21"/>
  <c r="M36" i="21" s="1"/>
  <c r="E356" i="21"/>
  <c r="M37" i="21" s="1"/>
  <c r="F356" i="21"/>
  <c r="M38" i="21" s="1"/>
  <c r="J356" i="21"/>
  <c r="AC35" i="21" s="1"/>
  <c r="A327" i="8"/>
  <c r="I329" i="7"/>
  <c r="E329" i="7"/>
  <c r="G329" i="7"/>
  <c r="D329" i="7"/>
  <c r="H329" i="7"/>
  <c r="A330" i="7"/>
  <c r="O35" i="21" l="1"/>
  <c r="P35" i="21"/>
  <c r="Q35" i="21"/>
  <c r="O36" i="21"/>
  <c r="P36" i="21"/>
  <c r="Q36" i="21"/>
  <c r="P37" i="21"/>
  <c r="Q37" i="21"/>
  <c r="O37" i="21"/>
  <c r="P38" i="21"/>
  <c r="O38" i="21"/>
  <c r="O43" i="39"/>
  <c r="AE4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1" i="21" l="1"/>
  <c r="Q41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3" i="21" l="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L40" i="7" s="1"/>
  <c r="D355" i="7"/>
  <c r="G355" i="7"/>
  <c r="L38" i="7" s="1"/>
  <c r="H355" i="7"/>
  <c r="L39" i="7" s="1"/>
  <c r="E355" i="7"/>
  <c r="A356" i="7"/>
  <c r="P40" i="7" l="1"/>
  <c r="N40" i="7"/>
  <c r="O38" i="7"/>
  <c r="J47" i="8"/>
  <c r="N38" i="7"/>
  <c r="P39" i="7"/>
  <c r="N39" i="7"/>
  <c r="F353" i="8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I459" i="21" l="1"/>
  <c r="A461" i="21"/>
  <c r="F460" i="21"/>
  <c r="J460" i="21"/>
  <c r="D460" i="21"/>
  <c r="C460" i="21"/>
  <c r="E460" i="2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I465" i="21" l="1"/>
  <c r="A467" i="21"/>
  <c r="D466" i="21"/>
  <c r="E466" i="21"/>
  <c r="F466" i="21"/>
  <c r="C466" i="21"/>
  <c r="J466" i="21"/>
  <c r="I466" i="21" l="1"/>
  <c r="A468" i="21"/>
  <c r="C467" i="21"/>
  <c r="D467" i="21"/>
  <c r="J467" i="21"/>
  <c r="E467" i="21"/>
  <c r="F467" i="21"/>
  <c r="I467" i="21" l="1"/>
  <c r="A469" i="21"/>
  <c r="C468" i="21"/>
  <c r="D468" i="21"/>
  <c r="E468" i="21"/>
  <c r="F468" i="21"/>
  <c r="J468" i="21"/>
  <c r="I468" i="21" l="1"/>
  <c r="A470" i="21"/>
  <c r="F469" i="21"/>
  <c r="J469" i="21"/>
  <c r="E469" i="21"/>
  <c r="C469" i="21"/>
  <c r="D469" i="21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<sst xmlns="http://schemas.openxmlformats.org/spreadsheetml/2006/main" count="6025" uniqueCount="646">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</sst>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0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5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microsoft.com/office/2007/relationships/slicerCache" Target="slicerCaches/slicerCach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200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49.86350819346567</c:v>
                </c:pt>
                <c:pt idx="332">
                  <c:v>49.86350819346567</c:v>
                </c:pt>
                <c:pt idx="333">
                  <c:v>49.86350819346567</c:v>
                </c:pt>
                <c:pt idx="334">
                  <c:v>49.86350819346567</c:v>
                </c:pt>
                <c:pt idx="335">
                  <c:v>49.86350819346567</c:v>
                </c:pt>
                <c:pt idx="336">
                  <c:v>49.86350819346567</c:v>
                </c:pt>
                <c:pt idx="337">
                  <c:v>49.86350819346567</c:v>
                </c:pt>
                <c:pt idx="338">
                  <c:v>49.86350819346567</c:v>
                </c:pt>
                <c:pt idx="339">
                  <c:v>49.86350819346567</c:v>
                </c:pt>
                <c:pt idx="340">
                  <c:v>49.86350819346567</c:v>
                </c:pt>
                <c:pt idx="341">
                  <c:v>49.86350819346567</c:v>
                </c:pt>
                <c:pt idx="342">
                  <c:v>58.506015502019523</c:v>
                </c:pt>
                <c:pt idx="343">
                  <c:v>66.084829603366757</c:v>
                </c:pt>
                <c:pt idx="344">
                  <c:v>76.455838373631394</c:v>
                </c:pt>
                <c:pt idx="345">
                  <c:v>76.455838373631394</c:v>
                </c:pt>
                <c:pt idx="346">
                  <c:v>76.455838373631394</c:v>
                </c:pt>
                <c:pt idx="347">
                  <c:v>76.455838373631394</c:v>
                </c:pt>
                <c:pt idx="348">
                  <c:v>76.455838373631394</c:v>
                </c:pt>
                <c:pt idx="349">
                  <c:v>76.455838373631394</c:v>
                </c:pt>
                <c:pt idx="350">
                  <c:v>76.455838373631394</c:v>
                </c:pt>
                <c:pt idx="351">
                  <c:v>79.773819606491713</c:v>
                </c:pt>
                <c:pt idx="352">
                  <c:v>86.63098082106967</c:v>
                </c:pt>
                <c:pt idx="353">
                  <c:v>86.63098082106967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0.24931754096732836</c:v>
                </c:pt>
                <c:pt idx="332">
                  <c:v>0.24931754096732836</c:v>
                </c:pt>
                <c:pt idx="333">
                  <c:v>0.24931754096732836</c:v>
                </c:pt>
                <c:pt idx="334">
                  <c:v>0.24931754096732836</c:v>
                </c:pt>
                <c:pt idx="335">
                  <c:v>0.24931754096732836</c:v>
                </c:pt>
                <c:pt idx="336">
                  <c:v>0.24931754096732836</c:v>
                </c:pt>
                <c:pt idx="337">
                  <c:v>0.24931754096732836</c:v>
                </c:pt>
                <c:pt idx="338">
                  <c:v>0.24931754096732836</c:v>
                </c:pt>
                <c:pt idx="339">
                  <c:v>0.24931754096732836</c:v>
                </c:pt>
                <c:pt idx="340">
                  <c:v>0.24931754096732836</c:v>
                </c:pt>
                <c:pt idx="341">
                  <c:v>0.24931754096732836</c:v>
                </c:pt>
                <c:pt idx="342">
                  <c:v>0.29253007751009763</c:v>
                </c:pt>
                <c:pt idx="343">
                  <c:v>0.33042414801683379</c:v>
                </c:pt>
                <c:pt idx="344">
                  <c:v>0.38227919186815695</c:v>
                </c:pt>
                <c:pt idx="345">
                  <c:v>0.38227919186815695</c:v>
                </c:pt>
                <c:pt idx="346">
                  <c:v>0.38227919186815695</c:v>
                </c:pt>
                <c:pt idx="347">
                  <c:v>0.38227919186815695</c:v>
                </c:pt>
                <c:pt idx="348">
                  <c:v>0.38227919186815695</c:v>
                </c:pt>
                <c:pt idx="349">
                  <c:v>0.38227919186815695</c:v>
                </c:pt>
                <c:pt idx="350">
                  <c:v>0.38227919186815695</c:v>
                </c:pt>
                <c:pt idx="351">
                  <c:v>0.39886909803245857</c:v>
                </c:pt>
                <c:pt idx="352">
                  <c:v>0.43315490410534835</c:v>
                </c:pt>
                <c:pt idx="353">
                  <c:v>0.43315490410534835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4786517.4007600006</c:v>
                </c:pt>
                <c:pt idx="150">
                  <c:v>4790129.272760001</c:v>
                </c:pt>
                <c:pt idx="151">
                  <c:v>4793289.6607600013</c:v>
                </c:pt>
                <c:pt idx="152">
                  <c:v>4799484.0212400015</c:v>
                </c:pt>
                <c:pt idx="153">
                  <c:v>4801741.4412400015</c:v>
                </c:pt>
                <c:pt idx="154">
                  <c:v>4803723.4560000012</c:v>
                </c:pt>
                <c:pt idx="155">
                  <c:v>4803723.4560000012</c:v>
                </c:pt>
                <c:pt idx="156">
                  <c:v>4803723.4560000012</c:v>
                </c:pt>
                <c:pt idx="157">
                  <c:v>4805980.8760000011</c:v>
                </c:pt>
                <c:pt idx="158">
                  <c:v>4810495.7160000009</c:v>
                </c:pt>
                <c:pt idx="159">
                  <c:v>4816703.6210000012</c:v>
                </c:pt>
                <c:pt idx="160">
                  <c:v>4823475.881000001</c:v>
                </c:pt>
                <c:pt idx="161">
                  <c:v>4826297.6560000014</c:v>
                </c:pt>
                <c:pt idx="162">
                  <c:v>4826297.6560000014</c:v>
                </c:pt>
                <c:pt idx="163">
                  <c:v>4829006.5600000015</c:v>
                </c:pt>
                <c:pt idx="164">
                  <c:v>4834198.6260000011</c:v>
                </c:pt>
                <c:pt idx="165">
                  <c:v>4838392.9123600014</c:v>
                </c:pt>
                <c:pt idx="166">
                  <c:v>4838970.8118800018</c:v>
                </c:pt>
                <c:pt idx="167">
                  <c:v>4838970.8118800018</c:v>
                </c:pt>
                <c:pt idx="168">
                  <c:v>4838970.8118800018</c:v>
                </c:pt>
                <c:pt idx="169">
                  <c:v>4838970.8118800018</c:v>
                </c:pt>
                <c:pt idx="170">
                  <c:v>4838970.8118800018</c:v>
                </c:pt>
                <c:pt idx="171">
                  <c:v>4838970.8118800018</c:v>
                </c:pt>
                <c:pt idx="172">
                  <c:v>4838970.8118800018</c:v>
                </c:pt>
                <c:pt idx="173">
                  <c:v>4852689.1094400017</c:v>
                </c:pt>
                <c:pt idx="174">
                  <c:v>4876940.1315100016</c:v>
                </c:pt>
                <c:pt idx="175">
                  <c:v>4882037.048390002</c:v>
                </c:pt>
                <c:pt idx="176">
                  <c:v>4882037.048390002</c:v>
                </c:pt>
                <c:pt idx="177">
                  <c:v>4897829.3573400024</c:v>
                </c:pt>
                <c:pt idx="178">
                  <c:v>4913174.330500002</c:v>
                </c:pt>
                <c:pt idx="179">
                  <c:v>4913174.330500002</c:v>
                </c:pt>
                <c:pt idx="180">
                  <c:v>4919694.5885300022</c:v>
                </c:pt>
                <c:pt idx="181">
                  <c:v>4938957.1387600023</c:v>
                </c:pt>
                <c:pt idx="182">
                  <c:v>4938957.1387600023</c:v>
                </c:pt>
                <c:pt idx="183">
                  <c:v>4938957.1387600023</c:v>
                </c:pt>
                <c:pt idx="184">
                  <c:v>4961229.038850002</c:v>
                </c:pt>
                <c:pt idx="185">
                  <c:v>4976574.0120100016</c:v>
                </c:pt>
                <c:pt idx="186">
                  <c:v>5000919.9234900018</c:v>
                </c:pt>
                <c:pt idx="187">
                  <c:v>5030660.9757100018</c:v>
                </c:pt>
                <c:pt idx="188">
                  <c:v>5066773.1740300013</c:v>
                </c:pt>
                <c:pt idx="189">
                  <c:v>5072236.0929200016</c:v>
                </c:pt>
                <c:pt idx="190">
                  <c:v>5072236.0929200016</c:v>
                </c:pt>
                <c:pt idx="191">
                  <c:v>5088909.5178200016</c:v>
                </c:pt>
                <c:pt idx="192">
                  <c:v>5099238.9078800017</c:v>
                </c:pt>
                <c:pt idx="193">
                  <c:v>5117552.5640100017</c:v>
                </c:pt>
                <c:pt idx="194">
                  <c:v>5131230.1946800016</c:v>
                </c:pt>
                <c:pt idx="195">
                  <c:v>5166226.7927800016</c:v>
                </c:pt>
                <c:pt idx="196">
                  <c:v>5194195.0284400014</c:v>
                </c:pt>
                <c:pt idx="197">
                  <c:v>5194195.0284400014</c:v>
                </c:pt>
                <c:pt idx="198">
                  <c:v>5208713.1081700018</c:v>
                </c:pt>
                <c:pt idx="199">
                  <c:v>5225982.9807900013</c:v>
                </c:pt>
                <c:pt idx="200">
                  <c:v>5238901.4961800016</c:v>
                </c:pt>
                <c:pt idx="201">
                  <c:v>5276250.5627000015</c:v>
                </c:pt>
                <c:pt idx="202">
                  <c:v>5313323.7224300019</c:v>
                </c:pt>
                <c:pt idx="203">
                  <c:v>5339346.0891500022</c:v>
                </c:pt>
                <c:pt idx="204">
                  <c:v>5339346.0891500022</c:v>
                </c:pt>
                <c:pt idx="205">
                  <c:v>5351659.0715900017</c:v>
                </c:pt>
                <c:pt idx="206">
                  <c:v>5355993.3179900013</c:v>
                </c:pt>
                <c:pt idx="207">
                  <c:v>5357335.3253600011</c:v>
                </c:pt>
                <c:pt idx="208">
                  <c:v>5358078.0165400011</c:v>
                </c:pt>
                <c:pt idx="209">
                  <c:v>5360084.8629200011</c:v>
                </c:pt>
                <c:pt idx="210">
                  <c:v>5361130.0483800014</c:v>
                </c:pt>
                <c:pt idx="211">
                  <c:v>5361130.0483800014</c:v>
                </c:pt>
                <c:pt idx="212">
                  <c:v>5390056.6971000014</c:v>
                </c:pt>
                <c:pt idx="213">
                  <c:v>5418997.8672300018</c:v>
                </c:pt>
                <c:pt idx="214">
                  <c:v>5429075.7257700022</c:v>
                </c:pt>
                <c:pt idx="215">
                  <c:v>5450306.0271900017</c:v>
                </c:pt>
                <c:pt idx="216">
                  <c:v>5455276.8660300011</c:v>
                </c:pt>
                <c:pt idx="217">
                  <c:v>5482577.1168300007</c:v>
                </c:pt>
                <c:pt idx="218">
                  <c:v>5482577.1168300007</c:v>
                </c:pt>
                <c:pt idx="219">
                  <c:v>5502645.7054500002</c:v>
                </c:pt>
                <c:pt idx="220">
                  <c:v>5522844.9867600007</c:v>
                </c:pt>
                <c:pt idx="221">
                  <c:v>5537758.4748299997</c:v>
                </c:pt>
                <c:pt idx="222">
                  <c:v>5550871.3080599997</c:v>
                </c:pt>
                <c:pt idx="223">
                  <c:v>5563533.9775799997</c:v>
                </c:pt>
                <c:pt idx="224">
                  <c:v>5563533.9775799997</c:v>
                </c:pt>
                <c:pt idx="225">
                  <c:v>5563533.9775799997</c:v>
                </c:pt>
                <c:pt idx="226">
                  <c:v>5570315.4760499997</c:v>
                </c:pt>
                <c:pt idx="227">
                  <c:v>5580451.4202299993</c:v>
                </c:pt>
                <c:pt idx="228">
                  <c:v>5586826.319219999</c:v>
                </c:pt>
                <c:pt idx="229">
                  <c:v>5603845.4117399985</c:v>
                </c:pt>
                <c:pt idx="230">
                  <c:v>5609318.6512499982</c:v>
                </c:pt>
                <c:pt idx="231">
                  <c:v>5609553.5548699982</c:v>
                </c:pt>
                <c:pt idx="232">
                  <c:v>5609553.5548699982</c:v>
                </c:pt>
                <c:pt idx="233">
                  <c:v>5616756.1742299981</c:v>
                </c:pt>
                <c:pt idx="234">
                  <c:v>5629404.3223399986</c:v>
                </c:pt>
                <c:pt idx="235">
                  <c:v>5629404.3223399986</c:v>
                </c:pt>
                <c:pt idx="236">
                  <c:v>5650810.7684899988</c:v>
                </c:pt>
                <c:pt idx="237">
                  <c:v>5652381.0218899995</c:v>
                </c:pt>
                <c:pt idx="238">
                  <c:v>5654281.7695299992</c:v>
                </c:pt>
                <c:pt idx="239">
                  <c:v>5654281.7695299992</c:v>
                </c:pt>
                <c:pt idx="240">
                  <c:v>5664330.5852499995</c:v>
                </c:pt>
                <c:pt idx="241">
                  <c:v>5668549.7149999989</c:v>
                </c:pt>
                <c:pt idx="242">
                  <c:v>5681038.1275999993</c:v>
                </c:pt>
                <c:pt idx="243">
                  <c:v>5684063.0703999987</c:v>
                </c:pt>
                <c:pt idx="244">
                  <c:v>5690164.8766599987</c:v>
                </c:pt>
                <c:pt idx="245">
                  <c:v>5693483.2840599986</c:v>
                </c:pt>
                <c:pt idx="246">
                  <c:v>5693483.2840599986</c:v>
                </c:pt>
                <c:pt idx="247">
                  <c:v>5706738.8542999988</c:v>
                </c:pt>
                <c:pt idx="248">
                  <c:v>5725965.2011399986</c:v>
                </c:pt>
                <c:pt idx="249">
                  <c:v>5726589.6217699982</c:v>
                </c:pt>
                <c:pt idx="250">
                  <c:v>5751580.9683799986</c:v>
                </c:pt>
                <c:pt idx="251">
                  <c:v>5785706.2818799987</c:v>
                </c:pt>
                <c:pt idx="252">
                  <c:v>5796161.6970799984</c:v>
                </c:pt>
                <c:pt idx="253">
                  <c:v>5820848.0940799983</c:v>
                </c:pt>
                <c:pt idx="254">
                  <c:v>5828108.7990799984</c:v>
                </c:pt>
                <c:pt idx="255">
                  <c:v>5844082.3500799984</c:v>
                </c:pt>
                <c:pt idx="256">
                  <c:v>5854247.3370799981</c:v>
                </c:pt>
                <c:pt idx="257">
                  <c:v>5856478.9214699985</c:v>
                </c:pt>
                <c:pt idx="258">
                  <c:v>5860505.8406699961</c:v>
                </c:pt>
                <c:pt idx="259">
                  <c:v>5861957.9816699959</c:v>
                </c:pt>
                <c:pt idx="260">
                  <c:v>5861957.9816699959</c:v>
                </c:pt>
                <c:pt idx="261">
                  <c:v>5866646.643009996</c:v>
                </c:pt>
                <c:pt idx="262">
                  <c:v>5866646.643009996</c:v>
                </c:pt>
                <c:pt idx="263">
                  <c:v>5873505.7917899964</c:v>
                </c:pt>
                <c:pt idx="264">
                  <c:v>5874739.3541199956</c:v>
                </c:pt>
                <c:pt idx="265">
                  <c:v>5897309.4780699955</c:v>
                </c:pt>
                <c:pt idx="266">
                  <c:v>5927470.4466399951</c:v>
                </c:pt>
                <c:pt idx="267">
                  <c:v>5927470.4466399951</c:v>
                </c:pt>
                <c:pt idx="268">
                  <c:v>5958675.5068999948</c:v>
                </c:pt>
                <c:pt idx="269">
                  <c:v>5978141.3915799949</c:v>
                </c:pt>
                <c:pt idx="270">
                  <c:v>5986952.551079995</c:v>
                </c:pt>
                <c:pt idx="271">
                  <c:v>6010268.2346799951</c:v>
                </c:pt>
                <c:pt idx="272">
                  <c:v>6039656.8405199954</c:v>
                </c:pt>
                <c:pt idx="273">
                  <c:v>6054296.9209199958</c:v>
                </c:pt>
                <c:pt idx="274">
                  <c:v>6054296.9209199958</c:v>
                </c:pt>
                <c:pt idx="275">
                  <c:v>6070563.6769199958</c:v>
                </c:pt>
                <c:pt idx="276">
                  <c:v>6073532.3598899962</c:v>
                </c:pt>
                <c:pt idx="277">
                  <c:v>6074068.7105699964</c:v>
                </c:pt>
                <c:pt idx="278">
                  <c:v>6118802.2895699963</c:v>
                </c:pt>
                <c:pt idx="279">
                  <c:v>6172984.1426799968</c:v>
                </c:pt>
                <c:pt idx="280">
                  <c:v>6172984.1426799968</c:v>
                </c:pt>
                <c:pt idx="281">
                  <c:v>6208881.0681999968</c:v>
                </c:pt>
                <c:pt idx="282">
                  <c:v>6208881.0681999968</c:v>
                </c:pt>
                <c:pt idx="283">
                  <c:v>6208881.0681999968</c:v>
                </c:pt>
                <c:pt idx="284">
                  <c:v>6208881.0681999968</c:v>
                </c:pt>
                <c:pt idx="285">
                  <c:v>6243746.1485599969</c:v>
                </c:pt>
                <c:pt idx="286">
                  <c:v>6243928.1553199971</c:v>
                </c:pt>
                <c:pt idx="287">
                  <c:v>6245835.6752199968</c:v>
                </c:pt>
                <c:pt idx="288">
                  <c:v>6248262.4017199967</c:v>
                </c:pt>
                <c:pt idx="289">
                  <c:v>6253635.0613199966</c:v>
                </c:pt>
                <c:pt idx="290">
                  <c:v>6296923.3845299967</c:v>
                </c:pt>
                <c:pt idx="291">
                  <c:v>6302860.399129997</c:v>
                </c:pt>
                <c:pt idx="292">
                  <c:v>6331293.3199099973</c:v>
                </c:pt>
                <c:pt idx="293">
                  <c:v>6370440.5335199973</c:v>
                </c:pt>
                <c:pt idx="294">
                  <c:v>6372359.3405199973</c:v>
                </c:pt>
                <c:pt idx="295">
                  <c:v>6372359.3405199973</c:v>
                </c:pt>
                <c:pt idx="296">
                  <c:v>6375993.7867199974</c:v>
                </c:pt>
                <c:pt idx="297">
                  <c:v>6540268.886719997</c:v>
                </c:pt>
                <c:pt idx="298">
                  <c:v>6630180.3567199968</c:v>
                </c:pt>
                <c:pt idx="299">
                  <c:v>6717935.056719996</c:v>
                </c:pt>
                <c:pt idx="300">
                  <c:v>6720980.3162999963</c:v>
                </c:pt>
                <c:pt idx="301">
                  <c:v>6720980.3162999963</c:v>
                </c:pt>
                <c:pt idx="302">
                  <c:v>6720980.3162999963</c:v>
                </c:pt>
                <c:pt idx="303">
                  <c:v>6722786.2522999961</c:v>
                </c:pt>
                <c:pt idx="304">
                  <c:v>6733542.8585999962</c:v>
                </c:pt>
                <c:pt idx="305">
                  <c:v>6759681.3965999959</c:v>
                </c:pt>
                <c:pt idx="306">
                  <c:v>6779328.8643299956</c:v>
                </c:pt>
                <c:pt idx="307">
                  <c:v>6978700.8843299942</c:v>
                </c:pt>
                <c:pt idx="308">
                  <c:v>7074351.3843299942</c:v>
                </c:pt>
                <c:pt idx="309">
                  <c:v>7074351.3843299942</c:v>
                </c:pt>
                <c:pt idx="310">
                  <c:v>7132981.5264499933</c:v>
                </c:pt>
                <c:pt idx="311">
                  <c:v>7160296.2986599933</c:v>
                </c:pt>
                <c:pt idx="312">
                  <c:v>7199638.9961899929</c:v>
                </c:pt>
                <c:pt idx="313">
                  <c:v>7202677.4835099932</c:v>
                </c:pt>
                <c:pt idx="314">
                  <c:v>7228554.6361299939</c:v>
                </c:pt>
                <c:pt idx="315">
                  <c:v>7248100.4539899938</c:v>
                </c:pt>
                <c:pt idx="316">
                  <c:v>7248100.4539899938</c:v>
                </c:pt>
                <c:pt idx="317">
                  <c:v>7258163.7911199937</c:v>
                </c:pt>
                <c:pt idx="318">
                  <c:v>7288760.3439199934</c:v>
                </c:pt>
                <c:pt idx="319">
                  <c:v>7307392.3439199934</c:v>
                </c:pt>
                <c:pt idx="320">
                  <c:v>7391077.2639199924</c:v>
                </c:pt>
                <c:pt idx="321">
                  <c:v>7463771.6439199923</c:v>
                </c:pt>
                <c:pt idx="322">
                  <c:v>7468429.6439199923</c:v>
                </c:pt>
                <c:pt idx="323">
                  <c:v>7468429.6439199923</c:v>
                </c:pt>
                <c:pt idx="324">
                  <c:v>7482403.6439199923</c:v>
                </c:pt>
                <c:pt idx="325">
                  <c:v>7496377.6439199923</c:v>
                </c:pt>
                <c:pt idx="326">
                  <c:v>7505693.6439199923</c:v>
                </c:pt>
                <c:pt idx="327">
                  <c:v>7515009.6439199923</c:v>
                </c:pt>
                <c:pt idx="328">
                  <c:v>7533641.6439199923</c:v>
                </c:pt>
                <c:pt idx="329">
                  <c:v>7538299.6439199923</c:v>
                </c:pt>
                <c:pt idx="330">
                  <c:v>7538299.6439199923</c:v>
                </c:pt>
                <c:pt idx="331">
                  <c:v>7545071.903919992</c:v>
                </c:pt>
                <c:pt idx="332">
                  <c:v>7576368.2569199912</c:v>
                </c:pt>
                <c:pt idx="333">
                  <c:v>7580813.1168999914</c:v>
                </c:pt>
                <c:pt idx="334">
                  <c:v>7624309.4307299908</c:v>
                </c:pt>
                <c:pt idx="335">
                  <c:v>7687870.5675499896</c:v>
                </c:pt>
                <c:pt idx="336">
                  <c:v>7687870.5675499896</c:v>
                </c:pt>
                <c:pt idx="337">
                  <c:v>7687870.5675499896</c:v>
                </c:pt>
                <c:pt idx="338">
                  <c:v>7701143.1362899896</c:v>
                </c:pt>
                <c:pt idx="339">
                  <c:v>7704021.3467899887</c:v>
                </c:pt>
                <c:pt idx="340">
                  <c:v>7704591.3453399893</c:v>
                </c:pt>
                <c:pt idx="341">
                  <c:v>7726831.4360149894</c:v>
                </c:pt>
                <c:pt idx="342">
                  <c:v>7737490.1509549897</c:v>
                </c:pt>
                <c:pt idx="343">
                  <c:v>7855860.3509549899</c:v>
                </c:pt>
                <c:pt idx="344">
                  <c:v>7959661.9109549895</c:v>
                </c:pt>
                <c:pt idx="345">
                  <c:v>8122505.5009549893</c:v>
                </c:pt>
                <c:pt idx="346">
                  <c:v>8156134.5166899897</c:v>
                </c:pt>
                <c:pt idx="347">
                  <c:v>8174024.8938099891</c:v>
                </c:pt>
                <c:pt idx="348">
                  <c:v>8213029.4010699894</c:v>
                </c:pt>
                <c:pt idx="349">
                  <c:v>8253573.1777899899</c:v>
                </c:pt>
                <c:pt idx="350">
                  <c:v>8274062.8872999894</c:v>
                </c:pt>
                <c:pt idx="351">
                  <c:v>8274062.8872999894</c:v>
                </c:pt>
                <c:pt idx="352">
                  <c:v>8319506.8872999894</c:v>
                </c:pt>
                <c:pt idx="353">
                  <c:v>8413424.4872999899</c:v>
                </c:pt>
                <c:pt idx="354">
                  <c:v>8413424.4872999899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70.111870727499905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86.631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43.3%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86.63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$8,413,424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8,413,424.49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75.4%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24.6%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3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58">
  <autoFilter ref="A1:N993" xr:uid="{BA1685B0-5236-4456-BCF4-F731A73FF5C2}"/>
  <tableColumns count="14">
    <tableColumn id="1" xr3:uid="{4CF52015-B3CE-432C-8610-DADE600EA9C3}" name="Fecha" dataDxfId="57" totalsRowDxfId="56"/>
    <tableColumn id="2" xr3:uid="{3FA4B0AE-9D06-44DE-B076-3FDED3D18EF2}" name="Brigada" dataDxfId="55" totalsRowDxfId="54"/>
    <tableColumn id="11" xr3:uid="{AF909B89-4C98-4C30-B977-1DB0493946D0}" name="Sistema" dataDxfId="53" totalsRowDxfId="52"/>
    <tableColumn id="3" xr3:uid="{F5BFBB63-F01E-4EC7-BD4D-D09BB4F889A7}" name="Ducto" dataDxfId="51" totalsRowDxfId="50"/>
    <tableColumn id="4" xr3:uid="{98B77E8A-3C99-459B-A84F-9BCA22E66134}" name="Actividades" dataDxfId="49" totalsRowDxfId="48"/>
    <tableColumn id="10" xr3:uid="{076EB25C-65A8-4625-A199-B02E4B6F26E7}" name="inicio" dataDxfId="47" totalsRowDxfId="46"/>
    <tableColumn id="9" xr3:uid="{AE72225D-975E-4C2E-AE3B-40DA16331A20}" name="fin" dataDxfId="45" totalsRowDxfId="44"/>
    <tableColumn id="6" xr3:uid="{89559591-219B-4EA6-8A69-D923E65EA2C9}" name="Avance_km" totalsRowFunction="sum" dataDxfId="43" totalsRowDxfId="42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1" totalsRowDxfId="40"/>
    <tableColumn id="5" xr3:uid="{8DED0425-8C44-4CA2-BCB3-F627BAA20C3E}" name="Codigo_actividad"/>
    <tableColumn id="7" xr3:uid="{808EA3A0-62BB-4518-9BDA-01AFA85BD786}" name="nombre_actividad" dataDxfId="39" totalsRowDxfId="38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37" totalsRowDxfId="36"/>
    <tableColumn id="13" xr3:uid="{38F5AE3B-C4C0-4E22-B47F-A3FD31E72ADE}" name="EV" totalsRowFunction="custom" dataDxfId="35" totalsRowDxfId="34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33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abSelected="1" topLeftCell="A979" zoomScaleNormal="100" workbookViewId="0">
      <selection activeCell="M994" sqref="M994"/>
    </sheetView>
  </sheetViews>
  <sheetFormatPr baseColWidth="10" defaultColWidth="11.42578125" defaultRowHeight="15" outlineLevelCol="1" x14ac:dyDescent="0.25"/>
  <cols>
    <col min="1" max="1" width="24.28515625" style="362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3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2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1" t="s">
        <v>342</v>
      </c>
      <c r="N1" s="25" t="s">
        <v>161</v>
      </c>
    </row>
    <row r="2" spans="1:14" s="1" customFormat="1" x14ac:dyDescent="0.25">
      <c r="A2" s="353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2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3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2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3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2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3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2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3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2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3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2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3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2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3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2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3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2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3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2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3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2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3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2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3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2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3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2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3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2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3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2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3">
        <v>45974</v>
      </c>
      <c r="B18" s="38" t="s">
        <v>12</v>
      </c>
      <c r="C18" s="157" t="s">
        <v>22</v>
      </c>
      <c r="D18" s="39" t="s">
        <v>356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2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3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2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3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2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3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2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3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2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3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2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3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2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3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2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3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2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3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2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3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2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3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3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2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3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2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3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2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3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2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3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2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3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2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3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2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3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2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3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2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3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2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3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2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3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2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3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2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3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2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3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3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2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3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2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3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2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3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2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3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2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3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3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3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2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3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2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3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3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3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3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2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3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2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3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2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3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3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2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3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2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3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3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3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2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3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2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3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2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3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2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3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2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3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2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3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2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3">
        <v>45992</v>
      </c>
      <c r="B72" s="38" t="s">
        <v>29</v>
      </c>
      <c r="C72" s="157" t="s">
        <v>22</v>
      </c>
      <c r="D72" s="39" t="s">
        <v>356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2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3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2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3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2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3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2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3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2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3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3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2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3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2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3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2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3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2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3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2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3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2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3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2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3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2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3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2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3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2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3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2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3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2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3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2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3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2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3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2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3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2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3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2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3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2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3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2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3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2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3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2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3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2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3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3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2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3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3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3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2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3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2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3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2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3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2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3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2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3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2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3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2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3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2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3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3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2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3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3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2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3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2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3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2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3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2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3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2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3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3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2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3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2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3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3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2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3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2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3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2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3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2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3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2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3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2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3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2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3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2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3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2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3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2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3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2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3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2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3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2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3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2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3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3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3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3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3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2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3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2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3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3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3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3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2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3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2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3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2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3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2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3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3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3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3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3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3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3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3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3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3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3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2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3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3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2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3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3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3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3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3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3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3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3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3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3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3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3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2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3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3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3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3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3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3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3">
        <v>46001</v>
      </c>
      <c r="B182" s="116" t="s">
        <v>30</v>
      </c>
      <c r="C182" s="157" t="s">
        <v>22</v>
      </c>
      <c r="D182" s="39" t="s">
        <v>356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3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3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3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2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3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2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3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2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3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2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3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2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3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3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2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3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2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3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2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3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3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2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3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2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3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3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2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3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2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3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2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3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3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3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2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3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3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3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2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3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2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3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2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3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3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2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3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2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3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2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3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2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3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2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3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2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3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3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2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3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3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2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3">
        <v>46010</v>
      </c>
      <c r="B220" s="116" t="s">
        <v>12</v>
      </c>
      <c r="C220" s="157" t="s">
        <v>22</v>
      </c>
      <c r="D220" s="39" t="s">
        <v>356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2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3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2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3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2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3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3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2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3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2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3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3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3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2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3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2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3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3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3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2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3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2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3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2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3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2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3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2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3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3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2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3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2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3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2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3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2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3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3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2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3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2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3">
        <v>46029</v>
      </c>
      <c r="B245" s="116" t="s">
        <v>30</v>
      </c>
      <c r="C245" s="157" t="s">
        <v>264</v>
      </c>
      <c r="D245" s="39" t="s">
        <v>264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3">
        <v>46029</v>
      </c>
      <c r="B246" s="116" t="s">
        <v>30</v>
      </c>
      <c r="C246" s="157" t="s">
        <v>264</v>
      </c>
      <c r="D246" s="39" t="s">
        <v>332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3">
        <v>46029</v>
      </c>
      <c r="B247" s="116" t="s">
        <v>30</v>
      </c>
      <c r="C247" s="157" t="s">
        <v>264</v>
      </c>
      <c r="D247" s="39" t="s">
        <v>333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3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3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2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3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2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3">
        <v>46030</v>
      </c>
      <c r="B251" s="116" t="s">
        <v>30</v>
      </c>
      <c r="C251" s="157" t="s">
        <v>334</v>
      </c>
      <c r="D251" s="39" t="s">
        <v>265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3">
        <v>46030</v>
      </c>
      <c r="B252" s="116" t="s">
        <v>30</v>
      </c>
      <c r="C252" s="157" t="s">
        <v>334</v>
      </c>
      <c r="D252" s="39" t="s">
        <v>335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3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3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2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3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2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3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2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3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2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3">
        <v>46031</v>
      </c>
      <c r="B258" s="116" t="s">
        <v>30</v>
      </c>
      <c r="C258" s="157" t="s">
        <v>328</v>
      </c>
      <c r="D258" s="39" t="s">
        <v>211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3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3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2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3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2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3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3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2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3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2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3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3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2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3">
        <v>46034</v>
      </c>
      <c r="B267" s="116" t="s">
        <v>30</v>
      </c>
      <c r="C267" s="157" t="s">
        <v>328</v>
      </c>
      <c r="D267" s="39" t="s">
        <v>211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3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3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2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3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3">
        <v>46035</v>
      </c>
      <c r="B271" s="116" t="s">
        <v>12</v>
      </c>
      <c r="C271" s="157" t="s">
        <v>13</v>
      </c>
      <c r="D271" s="39" t="s">
        <v>171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3">
        <v>46035</v>
      </c>
      <c r="B272" s="116" t="s">
        <v>12</v>
      </c>
      <c r="C272" s="157" t="s">
        <v>13</v>
      </c>
      <c r="D272" s="39" t="s">
        <v>171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3">
        <v>46035</v>
      </c>
      <c r="B273" s="116" t="s">
        <v>12</v>
      </c>
      <c r="C273" s="157" t="s">
        <v>13</v>
      </c>
      <c r="D273" s="39" t="s">
        <v>171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2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3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3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2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3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2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3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2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3">
        <v>46035</v>
      </c>
      <c r="B278" s="116" t="s">
        <v>30</v>
      </c>
      <c r="C278" s="157" t="s">
        <v>328</v>
      </c>
      <c r="D278" s="39" t="s">
        <v>211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3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3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2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3">
        <v>46036</v>
      </c>
      <c r="B281" s="116" t="s">
        <v>30</v>
      </c>
      <c r="C281" s="157" t="s">
        <v>328</v>
      </c>
      <c r="D281" s="39" t="s">
        <v>211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3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3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2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3">
        <v>46037</v>
      </c>
      <c r="B284" s="116" t="s">
        <v>30</v>
      </c>
      <c r="C284" s="157" t="s">
        <v>328</v>
      </c>
      <c r="D284" s="39" t="s">
        <v>211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3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3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2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3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2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3">
        <v>46038</v>
      </c>
      <c r="B288" s="116" t="s">
        <v>30</v>
      </c>
      <c r="C288" s="157" t="s">
        <v>328</v>
      </c>
      <c r="D288" s="39" t="s">
        <v>211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3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3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3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2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3">
        <v>46039</v>
      </c>
      <c r="B292" s="116" t="s">
        <v>30</v>
      </c>
      <c r="C292" s="157" t="s">
        <v>328</v>
      </c>
      <c r="D292" s="39" t="s">
        <v>211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3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3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2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3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3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2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3">
        <v>46041</v>
      </c>
      <c r="B297" s="116" t="s">
        <v>30</v>
      </c>
      <c r="C297" s="157" t="s">
        <v>328</v>
      </c>
      <c r="D297" s="39" t="s">
        <v>214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3">
        <v>46041</v>
      </c>
      <c r="B298" s="116" t="s">
        <v>30</v>
      </c>
      <c r="C298" s="157" t="s">
        <v>328</v>
      </c>
      <c r="D298" s="39" t="s">
        <v>213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3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3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2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3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2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3">
        <v>46042</v>
      </c>
      <c r="B302" s="116" t="s">
        <v>12</v>
      </c>
      <c r="C302" s="157" t="s">
        <v>13</v>
      </c>
      <c r="D302" s="39" t="s">
        <v>343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2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3">
        <v>46042</v>
      </c>
      <c r="B303" s="116" t="s">
        <v>12</v>
      </c>
      <c r="C303" s="157" t="s">
        <v>13</v>
      </c>
      <c r="D303" s="39" t="s">
        <v>343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2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3">
        <v>46042</v>
      </c>
      <c r="B304" s="116" t="s">
        <v>12</v>
      </c>
      <c r="C304" s="157" t="s">
        <v>13</v>
      </c>
      <c r="D304" s="39" t="s">
        <v>343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2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3">
        <v>46042</v>
      </c>
      <c r="B305" s="116" t="s">
        <v>30</v>
      </c>
      <c r="C305" s="157" t="s">
        <v>328</v>
      </c>
      <c r="D305" s="39" t="s">
        <v>212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3">
        <v>46042</v>
      </c>
      <c r="B306" s="116" t="s">
        <v>30</v>
      </c>
      <c r="C306" s="157" t="s">
        <v>328</v>
      </c>
      <c r="D306" s="39" t="s">
        <v>215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2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3">
        <v>46042</v>
      </c>
      <c r="B307" s="116" t="s">
        <v>30</v>
      </c>
      <c r="C307" s="157" t="s">
        <v>328</v>
      </c>
      <c r="D307" s="39" t="s">
        <v>338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3">
        <v>46042</v>
      </c>
      <c r="B308" s="116" t="s">
        <v>30</v>
      </c>
      <c r="C308" s="157" t="s">
        <v>328</v>
      </c>
      <c r="D308" s="39" t="s">
        <v>218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3">
        <v>46042</v>
      </c>
      <c r="B309" s="116" t="s">
        <v>30</v>
      </c>
      <c r="C309" s="157" t="s">
        <v>328</v>
      </c>
      <c r="D309" s="39" t="s">
        <v>217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3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3">
        <v>46043</v>
      </c>
      <c r="B311" s="116" t="s">
        <v>30</v>
      </c>
      <c r="C311" s="157" t="s">
        <v>328</v>
      </c>
      <c r="D311" s="39" t="s">
        <v>340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3">
        <v>46043</v>
      </c>
      <c r="B312" s="116" t="s">
        <v>30</v>
      </c>
      <c r="C312" s="157" t="s">
        <v>328</v>
      </c>
      <c r="D312" s="39" t="s">
        <v>220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3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3">
        <v>46044</v>
      </c>
      <c r="B314" s="116" t="s">
        <v>30</v>
      </c>
      <c r="C314" s="157" t="s">
        <v>328</v>
      </c>
      <c r="D314" s="39" t="s">
        <v>223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3">
        <v>46044</v>
      </c>
      <c r="B315" s="116" t="s">
        <v>30</v>
      </c>
      <c r="C315" s="157" t="s">
        <v>328</v>
      </c>
      <c r="D315" s="39" t="s">
        <v>243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3">
        <v>46044</v>
      </c>
      <c r="B316" s="116" t="s">
        <v>30</v>
      </c>
      <c r="C316" s="157" t="s">
        <v>328</v>
      </c>
      <c r="D316" s="39" t="s">
        <v>216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3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3">
        <v>46045</v>
      </c>
      <c r="B318" s="116" t="s">
        <v>30</v>
      </c>
      <c r="C318" s="157" t="s">
        <v>328</v>
      </c>
      <c r="D318" s="39" t="s">
        <v>216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2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3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3">
        <v>46048</v>
      </c>
      <c r="B320" s="116" t="s">
        <v>30</v>
      </c>
      <c r="C320" s="157" t="s">
        <v>328</v>
      </c>
      <c r="D320" s="39" t="s">
        <v>241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3">
        <v>46048</v>
      </c>
      <c r="B321" s="116" t="s">
        <v>30</v>
      </c>
      <c r="C321" s="157" t="s">
        <v>328</v>
      </c>
      <c r="D321" s="39" t="s">
        <v>252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3">
        <v>46048</v>
      </c>
      <c r="B322" s="116" t="s">
        <v>30</v>
      </c>
      <c r="C322" s="157" t="s">
        <v>328</v>
      </c>
      <c r="D322" s="39" t="s">
        <v>253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3">
        <v>46048</v>
      </c>
      <c r="B323" s="116" t="s">
        <v>30</v>
      </c>
      <c r="C323" s="157" t="s">
        <v>328</v>
      </c>
      <c r="D323" s="39" t="s">
        <v>345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3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3">
        <v>46049</v>
      </c>
      <c r="B325" s="116" t="s">
        <v>30</v>
      </c>
      <c r="C325" s="157" t="s">
        <v>328</v>
      </c>
      <c r="D325" s="39" t="s">
        <v>224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2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3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4">
        <v>46050</v>
      </c>
      <c r="B327" s="201" t="s">
        <v>30</v>
      </c>
      <c r="C327" s="202" t="s">
        <v>328</v>
      </c>
      <c r="D327" s="203" t="s">
        <v>239</v>
      </c>
      <c r="E327" s="375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3">
        <v>46050</v>
      </c>
      <c r="B328" s="116" t="s">
        <v>30</v>
      </c>
      <c r="C328" s="157" t="s">
        <v>328</v>
      </c>
      <c r="D328" s="39" t="s">
        <v>230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3">
        <v>46050</v>
      </c>
      <c r="B329" s="116" t="s">
        <v>30</v>
      </c>
      <c r="C329" s="157" t="s">
        <v>328</v>
      </c>
      <c r="D329" s="39" t="s">
        <v>232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3">
        <v>46050</v>
      </c>
      <c r="B330" s="116" t="s">
        <v>30</v>
      </c>
      <c r="C330" s="157" t="s">
        <v>328</v>
      </c>
      <c r="D330" s="39" t="s">
        <v>234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3">
        <v>46050</v>
      </c>
      <c r="B331" s="116" t="s">
        <v>30</v>
      </c>
      <c r="C331" s="157" t="s">
        <v>328</v>
      </c>
      <c r="D331" s="39" t="s">
        <v>226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3">
        <v>46050</v>
      </c>
      <c r="B332" s="116" t="s">
        <v>30</v>
      </c>
      <c r="C332" s="157" t="s">
        <v>328</v>
      </c>
      <c r="D332" s="39" t="s">
        <v>224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3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3">
        <v>46051</v>
      </c>
      <c r="B334" s="116" t="s">
        <v>30</v>
      </c>
      <c r="C334" s="157" t="s">
        <v>328</v>
      </c>
      <c r="D334" s="39" t="s">
        <v>244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3">
        <v>46051</v>
      </c>
      <c r="B335" s="116" t="s">
        <v>30</v>
      </c>
      <c r="C335" s="157" t="s">
        <v>328</v>
      </c>
      <c r="D335" s="39" t="s">
        <v>245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3">
        <v>46051</v>
      </c>
      <c r="B336" s="116" t="s">
        <v>30</v>
      </c>
      <c r="C336" s="157" t="s">
        <v>328</v>
      </c>
      <c r="D336" s="39" t="s">
        <v>247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3">
        <v>46051</v>
      </c>
      <c r="B337" s="116" t="s">
        <v>30</v>
      </c>
      <c r="C337" s="157" t="s">
        <v>328</v>
      </c>
      <c r="D337" s="39" t="s">
        <v>248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3">
        <v>46051</v>
      </c>
      <c r="B338" s="116" t="s">
        <v>30</v>
      </c>
      <c r="C338" s="157" t="s">
        <v>328</v>
      </c>
      <c r="D338" s="39" t="s">
        <v>251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3">
        <v>46051</v>
      </c>
      <c r="B339" s="116" t="s">
        <v>30</v>
      </c>
      <c r="C339" s="157" t="s">
        <v>328</v>
      </c>
      <c r="D339" s="39" t="s">
        <v>254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3">
        <v>46051</v>
      </c>
      <c r="B340" s="116" t="s">
        <v>30</v>
      </c>
      <c r="C340" s="157" t="s">
        <v>328</v>
      </c>
      <c r="D340" s="39" t="s">
        <v>249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3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3">
        <v>46057</v>
      </c>
      <c r="B342" s="116" t="s">
        <v>30</v>
      </c>
      <c r="C342" s="157" t="s">
        <v>328</v>
      </c>
      <c r="D342" s="39" t="s">
        <v>216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4">
        <v>46057</v>
      </c>
      <c r="B343" s="201" t="s">
        <v>30</v>
      </c>
      <c r="C343" s="202" t="s">
        <v>328</v>
      </c>
      <c r="D343" s="203" t="s">
        <v>339</v>
      </c>
      <c r="E343" s="375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3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3">
        <v>46058</v>
      </c>
      <c r="B345" s="116" t="s">
        <v>30</v>
      </c>
      <c r="C345" s="157" t="s">
        <v>328</v>
      </c>
      <c r="D345" s="39" t="s">
        <v>221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3">
        <v>46058</v>
      </c>
      <c r="B346" s="116" t="s">
        <v>30</v>
      </c>
      <c r="C346" s="157" t="s">
        <v>328</v>
      </c>
      <c r="D346" s="39" t="s">
        <v>222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3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3">
        <v>46062</v>
      </c>
      <c r="B348" s="116" t="s">
        <v>30</v>
      </c>
      <c r="C348" s="157" t="s">
        <v>328</v>
      </c>
      <c r="D348" s="39" t="s">
        <v>216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3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3">
        <v>46063</v>
      </c>
      <c r="B350" s="116" t="s">
        <v>30</v>
      </c>
      <c r="C350" s="157" t="s">
        <v>328</v>
      </c>
      <c r="D350" s="39" t="s">
        <v>238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3">
        <v>46063</v>
      </c>
      <c r="B351" s="116" t="s">
        <v>30</v>
      </c>
      <c r="C351" s="157" t="s">
        <v>328</v>
      </c>
      <c r="D351" s="39" t="s">
        <v>250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4">
        <v>46063</v>
      </c>
      <c r="B352" s="201" t="s">
        <v>30</v>
      </c>
      <c r="C352" s="202" t="s">
        <v>328</v>
      </c>
      <c r="D352" s="203" t="s">
        <v>239</v>
      </c>
      <c r="E352" s="375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3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3">
        <v>46064</v>
      </c>
      <c r="B354" s="116" t="s">
        <v>30</v>
      </c>
      <c r="C354" s="157" t="s">
        <v>328</v>
      </c>
      <c r="D354" s="39" t="s">
        <v>224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3">
        <v>46064</v>
      </c>
      <c r="B355" s="116" t="s">
        <v>30</v>
      </c>
      <c r="C355" s="157" t="s">
        <v>328</v>
      </c>
      <c r="D355" s="39" t="s">
        <v>240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4">
        <v>46064</v>
      </c>
      <c r="B356" s="201" t="s">
        <v>30</v>
      </c>
      <c r="C356" s="202" t="s">
        <v>328</v>
      </c>
      <c r="D356" s="203" t="s">
        <v>352</v>
      </c>
      <c r="E356" s="375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3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4">
        <v>46065</v>
      </c>
      <c r="B358" s="201" t="s">
        <v>30</v>
      </c>
      <c r="C358" s="202" t="s">
        <v>407</v>
      </c>
      <c r="D358" s="203" t="s">
        <v>263</v>
      </c>
      <c r="E358" s="375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3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3">
        <v>46111</v>
      </c>
      <c r="B360" s="116" t="s">
        <v>12</v>
      </c>
      <c r="C360" s="157" t="s">
        <v>328</v>
      </c>
      <c r="D360" s="39" t="s">
        <v>211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2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3">
        <v>46112</v>
      </c>
      <c r="B361" s="116" t="s">
        <v>12</v>
      </c>
      <c r="C361" s="157" t="s">
        <v>328</v>
      </c>
      <c r="D361" s="39" t="s">
        <v>211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2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3">
        <v>46113</v>
      </c>
      <c r="B362" s="116" t="s">
        <v>12</v>
      </c>
      <c r="C362" s="157" t="s">
        <v>328</v>
      </c>
      <c r="D362" s="39" t="s">
        <v>211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2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3">
        <v>46114</v>
      </c>
      <c r="B363" s="116" t="s">
        <v>12</v>
      </c>
      <c r="C363" s="157" t="s">
        <v>328</v>
      </c>
      <c r="D363" s="39" t="s">
        <v>211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2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3">
        <v>46115</v>
      </c>
      <c r="B364" s="116" t="s">
        <v>12</v>
      </c>
      <c r="C364" s="157" t="s">
        <v>328</v>
      </c>
      <c r="D364" s="39" t="s">
        <v>211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3">
        <v>46116</v>
      </c>
      <c r="B365" s="116" t="s">
        <v>12</v>
      </c>
      <c r="C365" s="157" t="s">
        <v>407</v>
      </c>
      <c r="D365" s="39" t="s">
        <v>358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2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3">
        <v>46119</v>
      </c>
      <c r="B366" s="116" t="s">
        <v>12</v>
      </c>
      <c r="C366" s="157" t="s">
        <v>328</v>
      </c>
      <c r="D366" s="39" t="s">
        <v>211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3">
        <v>46120</v>
      </c>
      <c r="B367" s="116" t="s">
        <v>12</v>
      </c>
      <c r="C367" s="157" t="s">
        <v>328</v>
      </c>
      <c r="D367" s="39" t="s">
        <v>211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3">
        <v>46120</v>
      </c>
      <c r="B368" s="116" t="s">
        <v>12</v>
      </c>
      <c r="C368" s="157" t="s">
        <v>328</v>
      </c>
      <c r="D368" s="39" t="s">
        <v>211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3">
        <v>46121</v>
      </c>
      <c r="B369" s="116" t="s">
        <v>12</v>
      </c>
      <c r="C369" s="157" t="s">
        <v>328</v>
      </c>
      <c r="D369" s="39" t="s">
        <v>211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2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3">
        <v>46122</v>
      </c>
      <c r="B370" s="116" t="s">
        <v>12</v>
      </c>
      <c r="C370" s="157" t="s">
        <v>328</v>
      </c>
      <c r="D370" s="39" t="s">
        <v>211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2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3">
        <v>46123</v>
      </c>
      <c r="B371" s="116" t="s">
        <v>12</v>
      </c>
      <c r="C371" s="157" t="s">
        <v>328</v>
      </c>
      <c r="D371" s="39" t="s">
        <v>211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3">
        <v>46123</v>
      </c>
      <c r="B372" s="116" t="s">
        <v>12</v>
      </c>
      <c r="C372" s="157" t="s">
        <v>328</v>
      </c>
      <c r="D372" s="39" t="s">
        <v>211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2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3">
        <v>46125</v>
      </c>
      <c r="B373" s="116" t="s">
        <v>12</v>
      </c>
      <c r="C373" s="157" t="s">
        <v>328</v>
      </c>
      <c r="D373" s="39" t="s">
        <v>211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2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3">
        <v>46126</v>
      </c>
      <c r="B374" s="116" t="s">
        <v>12</v>
      </c>
      <c r="C374" s="157" t="s">
        <v>328</v>
      </c>
      <c r="D374" s="39" t="s">
        <v>211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2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3">
        <v>46127</v>
      </c>
      <c r="B375" s="116" t="s">
        <v>12</v>
      </c>
      <c r="C375" s="157" t="s">
        <v>328</v>
      </c>
      <c r="D375" s="39" t="s">
        <v>211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2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3">
        <v>46128</v>
      </c>
      <c r="B376" s="116" t="s">
        <v>12</v>
      </c>
      <c r="C376" s="157" t="s">
        <v>328</v>
      </c>
      <c r="D376" s="39" t="s">
        <v>211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2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3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3">
        <v>46135</v>
      </c>
      <c r="B378" s="116" t="s">
        <v>12</v>
      </c>
      <c r="C378" s="157" t="s">
        <v>328</v>
      </c>
      <c r="D378" s="39" t="s">
        <v>211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2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8" t="s">
        <v>458</v>
      </c>
      <c r="Q378" s="368" t="s">
        <v>459</v>
      </c>
      <c r="R378" s="368" t="s">
        <v>460</v>
      </c>
      <c r="S378" s="374" t="s">
        <v>461</v>
      </c>
      <c r="T378" s="374"/>
      <c r="U378" s="374"/>
      <c r="V378" s="374"/>
      <c r="W378" s="374"/>
    </row>
    <row r="379" spans="1:23" x14ac:dyDescent="0.25">
      <c r="A379" s="353">
        <v>46136</v>
      </c>
      <c r="B379" s="116" t="s">
        <v>12</v>
      </c>
      <c r="C379" s="157" t="s">
        <v>328</v>
      </c>
      <c r="D379" s="39" t="s">
        <v>211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2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1">
        <v>2950</v>
      </c>
      <c r="Q379" s="371">
        <v>3463</v>
      </c>
      <c r="R379" s="372">
        <f>Q379-P379</f>
        <v>513</v>
      </c>
      <c r="S379" t="s">
        <v>462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3">
        <v>46137</v>
      </c>
      <c r="B380" s="116" t="s">
        <v>12</v>
      </c>
      <c r="C380" s="157" t="s">
        <v>328</v>
      </c>
      <c r="D380" s="39" t="s">
        <v>211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2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1">
        <v>4210</v>
      </c>
      <c r="Q380" s="371">
        <v>4322</v>
      </c>
      <c r="R380" s="372">
        <f t="shared" ref="R380:R398" si="0">Q380-P380</f>
        <v>112</v>
      </c>
      <c r="S380" t="s">
        <v>463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3">
        <v>46139</v>
      </c>
      <c r="B381" s="116" t="s">
        <v>12</v>
      </c>
      <c r="C381" s="157" t="s">
        <v>328</v>
      </c>
      <c r="D381" s="39" t="s">
        <v>211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2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1">
        <v>7076</v>
      </c>
      <c r="Q381" s="371">
        <v>7087</v>
      </c>
      <c r="R381" s="372">
        <f t="shared" si="0"/>
        <v>11</v>
      </c>
      <c r="S381" t="s">
        <v>464</v>
      </c>
      <c r="T381" t="str">
        <f t="shared" si="1"/>
        <v>SALTO del 7+076 al 7+087 CRUCE DE CUERPO DE AGUA</v>
      </c>
    </row>
    <row r="382" spans="1:23" x14ac:dyDescent="0.25">
      <c r="A382" s="353">
        <v>46139</v>
      </c>
      <c r="B382" s="116" t="s">
        <v>12</v>
      </c>
      <c r="C382" s="157" t="s">
        <v>328</v>
      </c>
      <c r="D382" s="39" t="s">
        <v>211</v>
      </c>
      <c r="E382" s="40" t="s">
        <v>36</v>
      </c>
      <c r="F382" s="366">
        <v>18707</v>
      </c>
      <c r="G382" s="366">
        <v>18675</v>
      </c>
      <c r="H382" s="367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2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476</v>
      </c>
      <c r="P382" s="371">
        <v>8105</v>
      </c>
      <c r="Q382" s="371">
        <v>8113</v>
      </c>
      <c r="R382" s="372">
        <f t="shared" si="0"/>
        <v>8</v>
      </c>
      <c r="S382" t="s">
        <v>465</v>
      </c>
      <c r="T382" t="str">
        <f t="shared" si="1"/>
        <v>SALTO del 8+105 al 8+113 PROPIEDAD PRIVADA</v>
      </c>
    </row>
    <row r="383" spans="1:23" x14ac:dyDescent="0.25">
      <c r="A383" s="353">
        <v>46139</v>
      </c>
      <c r="B383" s="116" t="s">
        <v>12</v>
      </c>
      <c r="C383" s="157" t="s">
        <v>328</v>
      </c>
      <c r="D383" s="39" t="s">
        <v>211</v>
      </c>
      <c r="E383" s="40" t="s">
        <v>36</v>
      </c>
      <c r="F383" s="366">
        <v>18786</v>
      </c>
      <c r="G383" s="366">
        <v>18716</v>
      </c>
      <c r="H383" s="367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2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477</v>
      </c>
      <c r="P383" s="371">
        <v>8522</v>
      </c>
      <c r="Q383" s="371">
        <v>8563</v>
      </c>
      <c r="R383" s="372">
        <f t="shared" si="0"/>
        <v>41</v>
      </c>
      <c r="S383" t="s">
        <v>465</v>
      </c>
      <c r="T383" t="str">
        <f t="shared" si="1"/>
        <v>SALTO del 8+522 al 8+563 PROPIEDAD PRIVADA</v>
      </c>
    </row>
    <row r="384" spans="1:23" x14ac:dyDescent="0.25">
      <c r="A384" s="353">
        <v>46139</v>
      </c>
      <c r="B384" s="116" t="s">
        <v>12</v>
      </c>
      <c r="C384" s="157" t="s">
        <v>328</v>
      </c>
      <c r="D384" s="39" t="s">
        <v>211</v>
      </c>
      <c r="E384" s="40" t="s">
        <v>36</v>
      </c>
      <c r="F384" s="366">
        <v>18942</v>
      </c>
      <c r="G384" s="366">
        <v>18911</v>
      </c>
      <c r="H384" s="367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2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478</v>
      </c>
      <c r="P384" s="371">
        <v>8572</v>
      </c>
      <c r="Q384" s="371">
        <v>8654</v>
      </c>
      <c r="R384" s="372">
        <f t="shared" si="0"/>
        <v>82</v>
      </c>
      <c r="S384" t="s">
        <v>466</v>
      </c>
      <c r="T384" t="str">
        <f t="shared" si="1"/>
        <v>SALTO del 8+572 al 8+654 ZONA HABITACIONAL</v>
      </c>
    </row>
    <row r="385" spans="1:20" x14ac:dyDescent="0.25">
      <c r="A385" s="353">
        <v>46139</v>
      </c>
      <c r="B385" s="116" t="s">
        <v>12</v>
      </c>
      <c r="C385" s="157" t="s">
        <v>328</v>
      </c>
      <c r="D385" s="39" t="s">
        <v>211</v>
      </c>
      <c r="E385" s="40" t="s">
        <v>36</v>
      </c>
      <c r="F385" s="366">
        <v>19445</v>
      </c>
      <c r="G385" s="366">
        <v>19422</v>
      </c>
      <c r="H385" s="367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2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479</v>
      </c>
      <c r="P385" s="371">
        <v>9915</v>
      </c>
      <c r="Q385" s="371">
        <v>10176</v>
      </c>
      <c r="R385" s="372">
        <f t="shared" si="0"/>
        <v>261</v>
      </c>
      <c r="S385" t="s">
        <v>466</v>
      </c>
      <c r="T385" t="str">
        <f t="shared" si="1"/>
        <v>SALTO del 9+915 al 10+176 ZONA HABITACIONAL</v>
      </c>
    </row>
    <row r="386" spans="1:20" x14ac:dyDescent="0.25">
      <c r="A386" s="353">
        <v>46140</v>
      </c>
      <c r="B386" s="116" t="s">
        <v>12</v>
      </c>
      <c r="C386" s="157" t="s">
        <v>328</v>
      </c>
      <c r="D386" s="39" t="s">
        <v>211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2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1">
        <v>11788</v>
      </c>
      <c r="Q386" s="371">
        <v>11813</v>
      </c>
      <c r="R386" s="372">
        <f t="shared" si="0"/>
        <v>25</v>
      </c>
      <c r="S386" t="s">
        <v>466</v>
      </c>
      <c r="T386" t="str">
        <f t="shared" si="1"/>
        <v>SALTO del 11+788 al 11+813 ZONA HABITACIONAL</v>
      </c>
    </row>
    <row r="387" spans="1:20" x14ac:dyDescent="0.25">
      <c r="A387" s="353">
        <v>46142</v>
      </c>
      <c r="B387" s="116" t="s">
        <v>12</v>
      </c>
      <c r="C387" s="157" t="s">
        <v>328</v>
      </c>
      <c r="D387" s="39" t="s">
        <v>211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2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1">
        <v>18675</v>
      </c>
      <c r="Q387" s="371">
        <v>18707</v>
      </c>
      <c r="R387" s="372">
        <f t="shared" si="0"/>
        <v>32</v>
      </c>
      <c r="S387" t="s">
        <v>467</v>
      </c>
      <c r="T387" t="str">
        <f t="shared" si="1"/>
        <v>SALTO del 18+675 al 18+707 ZONA DE TALLER MECANICO CEA (COMISIÓN DEL AGUA)</v>
      </c>
    </row>
    <row r="388" spans="1:20" x14ac:dyDescent="0.25">
      <c r="A388" s="353">
        <v>46142</v>
      </c>
      <c r="B388" s="116" t="s">
        <v>12</v>
      </c>
      <c r="C388" s="157" t="s">
        <v>328</v>
      </c>
      <c r="D388" s="39" t="s">
        <v>211</v>
      </c>
      <c r="E388" s="40" t="s">
        <v>36</v>
      </c>
      <c r="F388" s="366">
        <v>20716</v>
      </c>
      <c r="G388" s="366">
        <v>20703</v>
      </c>
      <c r="H388" s="367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2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480</v>
      </c>
      <c r="P388" s="371">
        <v>18716</v>
      </c>
      <c r="Q388" s="371">
        <v>18786</v>
      </c>
      <c r="R388" s="372">
        <f t="shared" si="0"/>
        <v>70</v>
      </c>
      <c r="S388" t="s">
        <v>468</v>
      </c>
      <c r="T388" t="str">
        <f t="shared" si="1"/>
        <v>SALTO del 18+716 al 18+786 OFICINAS CEA (COMISIÓN DEL AGUA)</v>
      </c>
    </row>
    <row r="389" spans="1:20" x14ac:dyDescent="0.25">
      <c r="A389" s="353">
        <v>46142</v>
      </c>
      <c r="B389" s="116" t="s">
        <v>12</v>
      </c>
      <c r="C389" s="157" t="s">
        <v>328</v>
      </c>
      <c r="D389" s="39" t="s">
        <v>211</v>
      </c>
      <c r="E389" s="40" t="s">
        <v>36</v>
      </c>
      <c r="F389" s="366">
        <v>20780</v>
      </c>
      <c r="G389" s="366">
        <v>20730</v>
      </c>
      <c r="H389" s="367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2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481</v>
      </c>
      <c r="P389" s="371">
        <v>18911</v>
      </c>
      <c r="Q389" s="371">
        <v>18942</v>
      </c>
      <c r="R389" s="372">
        <f t="shared" si="0"/>
        <v>31</v>
      </c>
      <c r="S389" t="s">
        <v>469</v>
      </c>
      <c r="T389" t="str">
        <f t="shared" si="1"/>
        <v>SALTO del 18+911 al 18+942 CANAL DE AGUAS NEGRAS</v>
      </c>
    </row>
    <row r="390" spans="1:20" x14ac:dyDescent="0.25">
      <c r="A390" s="353">
        <v>46142</v>
      </c>
      <c r="B390" s="116" t="s">
        <v>12</v>
      </c>
      <c r="C390" s="157" t="s">
        <v>328</v>
      </c>
      <c r="D390" s="39" t="s">
        <v>211</v>
      </c>
      <c r="E390" s="40" t="s">
        <v>36</v>
      </c>
      <c r="F390" s="366">
        <v>20835</v>
      </c>
      <c r="G390" s="366">
        <v>20826</v>
      </c>
      <c r="H390" s="367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2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482</v>
      </c>
      <c r="P390" s="371">
        <v>19422</v>
      </c>
      <c r="Q390" s="371">
        <v>19445</v>
      </c>
      <c r="R390" s="372">
        <f t="shared" si="0"/>
        <v>23</v>
      </c>
      <c r="S390" t="s">
        <v>466</v>
      </c>
      <c r="T390" t="str">
        <f t="shared" si="1"/>
        <v>SALTO del 19+422 al 19+445 ZONA HABITACIONAL</v>
      </c>
    </row>
    <row r="391" spans="1:20" x14ac:dyDescent="0.25">
      <c r="A391" s="353">
        <v>46142</v>
      </c>
      <c r="B391" s="116" t="s">
        <v>12</v>
      </c>
      <c r="C391" s="157" t="s">
        <v>328</v>
      </c>
      <c r="D391" s="39" t="s">
        <v>211</v>
      </c>
      <c r="E391" s="40" t="s">
        <v>36</v>
      </c>
      <c r="F391" s="366">
        <v>21023</v>
      </c>
      <c r="G391" s="366">
        <v>20984</v>
      </c>
      <c r="H391" s="367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2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483</v>
      </c>
      <c r="P391" s="371">
        <v>20703</v>
      </c>
      <c r="Q391" s="371">
        <v>20716</v>
      </c>
      <c r="R391" s="372">
        <f t="shared" si="0"/>
        <v>13</v>
      </c>
      <c r="S391" t="s">
        <v>470</v>
      </c>
      <c r="T391" t="str">
        <f t="shared" si="1"/>
        <v>SALTO del 20+703 al 20+716 ZONA DE MATERIAL Y CASETA GEN (PROMOTORA AMBIENTAL)</v>
      </c>
    </row>
    <row r="392" spans="1:20" x14ac:dyDescent="0.25">
      <c r="A392" s="353">
        <v>46142</v>
      </c>
      <c r="B392" s="116" t="s">
        <v>12</v>
      </c>
      <c r="C392" s="157" t="s">
        <v>328</v>
      </c>
      <c r="D392" s="39" t="s">
        <v>211</v>
      </c>
      <c r="E392" s="40" t="s">
        <v>36</v>
      </c>
      <c r="F392" s="366">
        <v>21184</v>
      </c>
      <c r="G392" s="366">
        <v>21127</v>
      </c>
      <c r="H392" s="367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2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484</v>
      </c>
      <c r="P392" s="371">
        <v>20730</v>
      </c>
      <c r="Q392" s="371">
        <v>20780</v>
      </c>
      <c r="R392" s="372">
        <f t="shared" si="0"/>
        <v>50</v>
      </c>
      <c r="S392" t="s">
        <v>471</v>
      </c>
      <c r="T392" t="str">
        <f t="shared" si="1"/>
        <v>SALTO del 20+730 al 20+780 ZONA DE CONTENEDORES GEN (PROMOTORA AMBIENTAL)</v>
      </c>
    </row>
    <row r="393" spans="1:20" x14ac:dyDescent="0.25">
      <c r="A393" s="353">
        <v>46143</v>
      </c>
      <c r="B393" s="116" t="s">
        <v>12</v>
      </c>
      <c r="C393" s="157" t="s">
        <v>328</v>
      </c>
      <c r="D393" s="39" t="s">
        <v>211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2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1">
        <v>20826</v>
      </c>
      <c r="Q393" s="371">
        <v>20835</v>
      </c>
      <c r="R393" s="372">
        <f t="shared" si="0"/>
        <v>9</v>
      </c>
      <c r="S393" t="s">
        <v>472</v>
      </c>
      <c r="T393" t="str">
        <f t="shared" si="1"/>
        <v>SALTO del 20+826 al 20+835 CANAL DE AGUA PLUVIAL</v>
      </c>
    </row>
    <row r="394" spans="1:20" x14ac:dyDescent="0.25">
      <c r="A394" s="353">
        <v>46143</v>
      </c>
      <c r="B394" s="116" t="s">
        <v>12</v>
      </c>
      <c r="C394" s="157" t="s">
        <v>328</v>
      </c>
      <c r="D394" s="39" t="s">
        <v>211</v>
      </c>
      <c r="E394" s="40" t="s">
        <v>36</v>
      </c>
      <c r="F394" s="366">
        <v>8113</v>
      </c>
      <c r="G394" s="366">
        <v>8105</v>
      </c>
      <c r="H394" s="367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2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485</v>
      </c>
      <c r="P394" s="371">
        <v>20984</v>
      </c>
      <c r="Q394" s="371">
        <v>21023</v>
      </c>
      <c r="R394" s="372">
        <f t="shared" si="0"/>
        <v>39</v>
      </c>
      <c r="S394" t="s">
        <v>472</v>
      </c>
      <c r="T394" t="str">
        <f t="shared" si="1"/>
        <v>SALTO del 20+984 al 21+023 CANAL DE AGUA PLUVIAL</v>
      </c>
    </row>
    <row r="395" spans="1:20" x14ac:dyDescent="0.25">
      <c r="A395" s="353">
        <v>46143</v>
      </c>
      <c r="B395" s="116" t="s">
        <v>12</v>
      </c>
      <c r="C395" s="157" t="s">
        <v>328</v>
      </c>
      <c r="D395" s="39" t="s">
        <v>211</v>
      </c>
      <c r="E395" s="40" t="s">
        <v>36</v>
      </c>
      <c r="F395" s="366">
        <v>8563</v>
      </c>
      <c r="G395" s="366">
        <v>8522</v>
      </c>
      <c r="H395" s="367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2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486</v>
      </c>
      <c r="P395" s="371">
        <v>21127</v>
      </c>
      <c r="Q395" s="371">
        <v>21184</v>
      </c>
      <c r="R395" s="372">
        <f t="shared" si="0"/>
        <v>57</v>
      </c>
      <c r="S395" t="s">
        <v>465</v>
      </c>
      <c r="T395" t="str">
        <f t="shared" si="1"/>
        <v>SALTO del 21+127 al 21+184 PROPIEDAD PRIVADA</v>
      </c>
    </row>
    <row r="396" spans="1:20" x14ac:dyDescent="0.25">
      <c r="A396" s="353">
        <v>46143</v>
      </c>
      <c r="B396" s="116" t="s">
        <v>12</v>
      </c>
      <c r="C396" s="157" t="s">
        <v>328</v>
      </c>
      <c r="D396" s="39" t="s">
        <v>211</v>
      </c>
      <c r="E396" s="40" t="s">
        <v>36</v>
      </c>
      <c r="F396" s="366">
        <v>8654</v>
      </c>
      <c r="G396" s="366">
        <v>8572</v>
      </c>
      <c r="H396" s="367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2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487</v>
      </c>
      <c r="P396" s="371">
        <v>21253</v>
      </c>
      <c r="Q396" s="371">
        <v>21265</v>
      </c>
      <c r="R396" s="372">
        <f t="shared" si="0"/>
        <v>12</v>
      </c>
      <c r="S396" t="s">
        <v>473</v>
      </c>
      <c r="T396" t="str">
        <f t="shared" si="1"/>
        <v>SALTO del 21+253 al 21+265 CANAL DE AGUAS NEGRAS ENVALSADORA QUERETARO</v>
      </c>
    </row>
    <row r="397" spans="1:20" x14ac:dyDescent="0.25">
      <c r="A397" s="353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2">
        <f>IF(Tabla1[[#This Row],[Avance_km]]&lt;&gt;"",Tabla1[[#This Row],[Avance_km]],Tabla1[[#This Row],[Avance_Med]])*_xlfn.XLOOKUP(Tabla1[[#This Row],[Codigo_actividad]],Catalogo!$B$6:$B$51,Catalogo!$F$6:$F$51,0)</f>
        <v>0</v>
      </c>
      <c r="P397" s="371">
        <v>21462</v>
      </c>
      <c r="Q397" s="371">
        <v>21466</v>
      </c>
      <c r="R397" s="372">
        <f t="shared" si="0"/>
        <v>4</v>
      </c>
      <c r="S397" t="s">
        <v>474</v>
      </c>
      <c r="T397" t="str">
        <f t="shared" si="1"/>
        <v>SALTO del 21+462 al 21+466 CANAL DE AGUAS NEGRAS VIDRIERA QUERETARO</v>
      </c>
    </row>
    <row r="398" spans="1:20" x14ac:dyDescent="0.25">
      <c r="A398" s="353">
        <v>46146</v>
      </c>
      <c r="B398" s="116" t="s">
        <v>12</v>
      </c>
      <c r="C398" s="157" t="s">
        <v>328</v>
      </c>
      <c r="D398" s="39" t="s">
        <v>211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2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1">
        <v>24233</v>
      </c>
      <c r="Q398" s="371">
        <v>24240</v>
      </c>
      <c r="R398" s="372">
        <f t="shared" si="0"/>
        <v>7</v>
      </c>
      <c r="S398" t="s">
        <v>475</v>
      </c>
      <c r="T398" t="str">
        <f t="shared" si="1"/>
        <v>SALTO del 24+233 al 24+240 PRESA DE AGUAS NEGRAS (ITP)</v>
      </c>
    </row>
    <row r="399" spans="1:20" x14ac:dyDescent="0.25">
      <c r="A399" s="353">
        <v>46147</v>
      </c>
      <c r="B399" s="116" t="s">
        <v>12</v>
      </c>
      <c r="C399" s="157" t="s">
        <v>328</v>
      </c>
      <c r="D399" s="39" t="s">
        <v>211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2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69"/>
      <c r="Q399" s="370" t="s">
        <v>92</v>
      </c>
      <c r="R399" s="373">
        <f>SUM(R379:R398)</f>
        <v>1400</v>
      </c>
    </row>
    <row r="400" spans="1:20" x14ac:dyDescent="0.25">
      <c r="A400" s="353">
        <v>46147</v>
      </c>
      <c r="B400" s="116" t="s">
        <v>12</v>
      </c>
      <c r="C400" s="157" t="s">
        <v>328</v>
      </c>
      <c r="D400" s="39" t="s">
        <v>211</v>
      </c>
      <c r="E400" s="40" t="s">
        <v>36</v>
      </c>
      <c r="F400" s="366">
        <v>7087</v>
      </c>
      <c r="G400" s="366">
        <v>7076</v>
      </c>
      <c r="H400" s="367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2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488</v>
      </c>
    </row>
    <row r="401" spans="1:18" x14ac:dyDescent="0.25">
      <c r="A401" s="353">
        <v>46148</v>
      </c>
      <c r="B401" s="116" t="s">
        <v>12</v>
      </c>
      <c r="C401" s="157" t="s">
        <v>328</v>
      </c>
      <c r="D401" s="39" t="s">
        <v>211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2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3">
        <v>46148</v>
      </c>
      <c r="B402" s="116" t="s">
        <v>12</v>
      </c>
      <c r="C402" s="157" t="s">
        <v>328</v>
      </c>
      <c r="D402" s="39" t="s">
        <v>211</v>
      </c>
      <c r="E402" s="40" t="s">
        <v>36</v>
      </c>
      <c r="F402" s="366">
        <v>4322</v>
      </c>
      <c r="G402" s="366">
        <v>4210</v>
      </c>
      <c r="H402" s="367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2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489</v>
      </c>
    </row>
    <row r="403" spans="1:18" x14ac:dyDescent="0.25">
      <c r="A403" s="353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3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3">
        <v>46149</v>
      </c>
      <c r="B405" s="116" t="s">
        <v>12</v>
      </c>
      <c r="C405" s="157" t="s">
        <v>328</v>
      </c>
      <c r="D405" s="39" t="s">
        <v>211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2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3">
        <v>46149</v>
      </c>
      <c r="B406" s="116" t="s">
        <v>12</v>
      </c>
      <c r="C406" s="157" t="s">
        <v>328</v>
      </c>
      <c r="D406" s="39" t="s">
        <v>211</v>
      </c>
      <c r="E406" s="40" t="s">
        <v>36</v>
      </c>
      <c r="F406" s="366">
        <v>3463</v>
      </c>
      <c r="G406" s="366">
        <v>2950</v>
      </c>
      <c r="H406" s="367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2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490</v>
      </c>
    </row>
    <row r="407" spans="1:18" x14ac:dyDescent="0.25">
      <c r="A407" s="353">
        <v>46150</v>
      </c>
      <c r="B407" s="116" t="s">
        <v>12</v>
      </c>
      <c r="C407" s="157" t="s">
        <v>328</v>
      </c>
      <c r="D407" s="39" t="s">
        <v>211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2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3">
        <v>46150</v>
      </c>
      <c r="B408" s="116" t="s">
        <v>12</v>
      </c>
      <c r="C408" s="157" t="s">
        <v>328</v>
      </c>
      <c r="D408" s="39" t="s">
        <v>211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2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3">
        <v>46150</v>
      </c>
      <c r="B409" s="116" t="s">
        <v>12</v>
      </c>
      <c r="C409" s="157" t="s">
        <v>328</v>
      </c>
      <c r="D409" s="39" t="s">
        <v>211</v>
      </c>
      <c r="E409" s="40" t="s">
        <v>36</v>
      </c>
      <c r="F409" s="366">
        <v>10176</v>
      </c>
      <c r="G409" s="366">
        <v>9915</v>
      </c>
      <c r="H409" s="367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2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491</v>
      </c>
    </row>
    <row r="410" spans="1:18" x14ac:dyDescent="0.25">
      <c r="A410" s="353">
        <v>46151</v>
      </c>
      <c r="B410" s="116" t="s">
        <v>12</v>
      </c>
      <c r="C410" s="157" t="s">
        <v>328</v>
      </c>
      <c r="D410" s="39" t="s">
        <v>211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2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3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3">
        <v>46153</v>
      </c>
      <c r="B412" s="116" t="s">
        <v>12</v>
      </c>
      <c r="C412" s="157" t="s">
        <v>328</v>
      </c>
      <c r="D412" s="39" t="s">
        <v>211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2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3">
        <v>46153</v>
      </c>
      <c r="B413" s="116" t="s">
        <v>12</v>
      </c>
      <c r="C413" s="157" t="s">
        <v>328</v>
      </c>
      <c r="D413" s="39" t="s">
        <v>211</v>
      </c>
      <c r="E413" s="40" t="s">
        <v>36</v>
      </c>
      <c r="F413" s="366">
        <v>11813</v>
      </c>
      <c r="G413" s="366">
        <v>11788</v>
      </c>
      <c r="H413" s="367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2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492</v>
      </c>
    </row>
    <row r="414" spans="1:18" x14ac:dyDescent="0.25">
      <c r="A414" s="353">
        <v>46154</v>
      </c>
      <c r="B414" s="116" t="s">
        <v>12</v>
      </c>
      <c r="C414" s="157" t="s">
        <v>328</v>
      </c>
      <c r="D414" s="39" t="s">
        <v>211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2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3">
        <v>46155</v>
      </c>
      <c r="B415" s="116" t="s">
        <v>12</v>
      </c>
      <c r="C415" s="157" t="s">
        <v>328</v>
      </c>
      <c r="D415" s="39" t="s">
        <v>211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2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1"/>
      <c r="R415" s="351"/>
    </row>
    <row r="416" spans="1:18" x14ac:dyDescent="0.25">
      <c r="A416" s="353">
        <v>46156</v>
      </c>
      <c r="B416" s="116" t="s">
        <v>12</v>
      </c>
      <c r="C416" s="157" t="s">
        <v>328</v>
      </c>
      <c r="D416" s="39" t="s">
        <v>211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2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1"/>
    </row>
    <row r="417" spans="1:17" x14ac:dyDescent="0.25">
      <c r="A417" s="353">
        <v>46157</v>
      </c>
      <c r="B417" s="116" t="s">
        <v>12</v>
      </c>
      <c r="C417" s="157" t="s">
        <v>328</v>
      </c>
      <c r="D417" s="39" t="s">
        <v>211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2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3">
        <v>46158</v>
      </c>
      <c r="B418" s="116" t="s">
        <v>12</v>
      </c>
      <c r="C418" s="157" t="s">
        <v>328</v>
      </c>
      <c r="D418" s="39" t="s">
        <v>211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2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3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3">
        <v>46160</v>
      </c>
      <c r="B420" s="116" t="s">
        <v>12</v>
      </c>
      <c r="C420" s="157" t="s">
        <v>328</v>
      </c>
      <c r="D420" s="39" t="s">
        <v>211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2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3">
        <v>46160</v>
      </c>
      <c r="B421" s="116" t="s">
        <v>12</v>
      </c>
      <c r="C421" s="157" t="s">
        <v>328</v>
      </c>
      <c r="D421" s="39" t="s">
        <v>211</v>
      </c>
      <c r="E421" s="40" t="s">
        <v>36</v>
      </c>
      <c r="F421" s="366">
        <v>21265</v>
      </c>
      <c r="G421" s="366">
        <v>21253</v>
      </c>
      <c r="H421" s="367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2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493</v>
      </c>
    </row>
    <row r="422" spans="1:17" x14ac:dyDescent="0.25">
      <c r="A422" s="353">
        <v>46160</v>
      </c>
      <c r="B422" s="116" t="s">
        <v>12</v>
      </c>
      <c r="C422" s="157" t="s">
        <v>328</v>
      </c>
      <c r="D422" s="39" t="s">
        <v>211</v>
      </c>
      <c r="E422" s="40" t="s">
        <v>36</v>
      </c>
      <c r="F422" s="366">
        <v>21466</v>
      </c>
      <c r="G422" s="366">
        <v>21462</v>
      </c>
      <c r="H422" s="367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2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494</v>
      </c>
    </row>
    <row r="423" spans="1:17" x14ac:dyDescent="0.25">
      <c r="A423" s="353">
        <v>46161</v>
      </c>
      <c r="B423" s="116" t="s">
        <v>12</v>
      </c>
      <c r="C423" s="157" t="s">
        <v>328</v>
      </c>
      <c r="D423" s="39" t="s">
        <v>211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2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3">
        <v>46161</v>
      </c>
      <c r="B424" s="116" t="s">
        <v>12</v>
      </c>
      <c r="C424" s="157" t="s">
        <v>328</v>
      </c>
      <c r="D424" s="39" t="s">
        <v>211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2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3">
        <v>46162</v>
      </c>
      <c r="B425" s="116" t="s">
        <v>12</v>
      </c>
      <c r="C425" s="157" t="s">
        <v>328</v>
      </c>
      <c r="D425" s="39" t="s">
        <v>211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2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3">
        <v>46162</v>
      </c>
      <c r="B426" s="116" t="s">
        <v>12</v>
      </c>
      <c r="C426" s="157" t="s">
        <v>328</v>
      </c>
      <c r="D426" s="39" t="s">
        <v>211</v>
      </c>
      <c r="E426" s="40" t="s">
        <v>36</v>
      </c>
      <c r="F426" s="366">
        <v>24240</v>
      </c>
      <c r="G426" s="366">
        <v>24233</v>
      </c>
      <c r="H426" s="367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2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495</v>
      </c>
    </row>
    <row r="427" spans="1:17" x14ac:dyDescent="0.25">
      <c r="A427" s="353">
        <v>46163</v>
      </c>
      <c r="B427" s="116" t="s">
        <v>12</v>
      </c>
      <c r="C427" s="157" t="s">
        <v>328</v>
      </c>
      <c r="D427" s="39" t="s">
        <v>211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2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3">
        <v>46164</v>
      </c>
      <c r="B428" s="116" t="s">
        <v>12</v>
      </c>
      <c r="C428" s="157" t="s">
        <v>328</v>
      </c>
      <c r="D428" s="39" t="s">
        <v>211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2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3">
        <v>46165</v>
      </c>
      <c r="B429" s="116" t="s">
        <v>12</v>
      </c>
      <c r="C429" s="157" t="s">
        <v>328</v>
      </c>
      <c r="D429" s="39" t="s">
        <v>211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2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3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3">
        <v>46167</v>
      </c>
      <c r="B431" s="116" t="s">
        <v>12</v>
      </c>
      <c r="C431" s="157" t="s">
        <v>328</v>
      </c>
      <c r="D431" s="39" t="s">
        <v>212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2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8">
        <v>0</v>
      </c>
      <c r="Q431" s="388">
        <v>2410</v>
      </c>
    </row>
    <row r="432" spans="1:17" x14ac:dyDescent="0.25">
      <c r="A432" s="353">
        <v>46167</v>
      </c>
      <c r="B432" s="116" t="s">
        <v>12</v>
      </c>
      <c r="C432" s="157" t="s">
        <v>328</v>
      </c>
      <c r="D432" s="39" t="s">
        <v>212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2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8">
        <v>2410</v>
      </c>
      <c r="Q432" s="388">
        <v>4336</v>
      </c>
    </row>
    <row r="433" spans="1:18" x14ac:dyDescent="0.25">
      <c r="A433" s="353">
        <v>46167</v>
      </c>
      <c r="B433" s="116" t="s">
        <v>12</v>
      </c>
      <c r="C433" s="157" t="s">
        <v>407</v>
      </c>
      <c r="D433" s="39" t="s">
        <v>358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2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8">
        <v>4336</v>
      </c>
      <c r="Q433" s="388">
        <v>6908</v>
      </c>
    </row>
    <row r="434" spans="1:18" x14ac:dyDescent="0.25">
      <c r="A434" s="353">
        <v>46168</v>
      </c>
      <c r="B434" s="116" t="s">
        <v>12</v>
      </c>
      <c r="C434" s="157" t="s">
        <v>328</v>
      </c>
      <c r="D434" s="39" t="s">
        <v>214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2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8">
        <v>6908</v>
      </c>
      <c r="Q434" s="388">
        <v>9461</v>
      </c>
    </row>
    <row r="435" spans="1:18" x14ac:dyDescent="0.25">
      <c r="A435" s="353">
        <v>46169</v>
      </c>
      <c r="B435" s="116" t="s">
        <v>12</v>
      </c>
      <c r="C435" s="157" t="s">
        <v>328</v>
      </c>
      <c r="D435" s="39" t="s">
        <v>244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2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8"/>
      <c r="Q435" s="388"/>
    </row>
    <row r="436" spans="1:18" x14ac:dyDescent="0.25">
      <c r="A436" s="353">
        <v>46170</v>
      </c>
      <c r="B436" s="116" t="s">
        <v>12</v>
      </c>
      <c r="C436" s="157" t="s">
        <v>328</v>
      </c>
      <c r="D436" s="39" t="s">
        <v>248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2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8">
        <v>9461</v>
      </c>
      <c r="Q436" s="388">
        <v>11253</v>
      </c>
    </row>
    <row r="437" spans="1:18" x14ac:dyDescent="0.25">
      <c r="A437" s="353">
        <v>46170</v>
      </c>
      <c r="B437" s="116" t="s">
        <v>12</v>
      </c>
      <c r="C437" s="157" t="s">
        <v>328</v>
      </c>
      <c r="D437" s="39" t="s">
        <v>250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2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8">
        <v>11253</v>
      </c>
      <c r="Q437" s="388">
        <v>13245</v>
      </c>
    </row>
    <row r="438" spans="1:18" x14ac:dyDescent="0.25">
      <c r="A438" s="353">
        <v>46171</v>
      </c>
      <c r="B438" s="116" t="s">
        <v>12</v>
      </c>
      <c r="C438" s="157" t="s">
        <v>328</v>
      </c>
      <c r="D438" s="39" t="s">
        <v>251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2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8">
        <v>13245</v>
      </c>
      <c r="Q438" s="388">
        <v>15238</v>
      </c>
    </row>
    <row r="439" spans="1:18" x14ac:dyDescent="0.25">
      <c r="A439" s="353">
        <v>46171</v>
      </c>
      <c r="B439" s="116" t="s">
        <v>12</v>
      </c>
      <c r="C439" s="157" t="s">
        <v>328</v>
      </c>
      <c r="D439" s="39" t="s">
        <v>352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2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8">
        <v>15238</v>
      </c>
      <c r="Q439" s="388">
        <v>15605</v>
      </c>
    </row>
    <row r="440" spans="1:18" x14ac:dyDescent="0.25">
      <c r="A440" s="353">
        <v>46171</v>
      </c>
      <c r="B440" s="116" t="s">
        <v>12</v>
      </c>
      <c r="C440" s="157" t="s">
        <v>328</v>
      </c>
      <c r="D440" s="39" t="s">
        <v>246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2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8">
        <v>15605</v>
      </c>
      <c r="Q440" s="388">
        <v>16617</v>
      </c>
      <c r="R440" s="351"/>
    </row>
    <row r="441" spans="1:18" x14ac:dyDescent="0.25">
      <c r="A441" s="353">
        <v>46171</v>
      </c>
      <c r="B441" s="116" t="s">
        <v>12</v>
      </c>
      <c r="C441" s="157" t="s">
        <v>328</v>
      </c>
      <c r="D441" s="39" t="s">
        <v>249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2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8">
        <v>16617</v>
      </c>
      <c r="Q441" s="388">
        <v>17605</v>
      </c>
    </row>
    <row r="442" spans="1:18" x14ac:dyDescent="0.25">
      <c r="A442" s="353">
        <v>46172</v>
      </c>
      <c r="B442" s="116" t="s">
        <v>12</v>
      </c>
      <c r="C442" s="157" t="s">
        <v>328</v>
      </c>
      <c r="D442" s="39" t="s">
        <v>243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2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8">
        <v>17605</v>
      </c>
      <c r="Q442" s="388">
        <v>17932</v>
      </c>
    </row>
    <row r="443" spans="1:18" x14ac:dyDescent="0.25">
      <c r="A443" s="353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2">
        <f>IF(Tabla1[[#This Row],[Avance_km]]&lt;&gt;"",Tabla1[[#This Row],[Avance_km]],Tabla1[[#This Row],[Avance_Med]])*_xlfn.XLOOKUP(Tabla1[[#This Row],[Codigo_actividad]],Catalogo!$B$6:$B$51,Catalogo!$F$6:$F$51,0)</f>
        <v>0</v>
      </c>
      <c r="P443" s="388">
        <v>17932</v>
      </c>
      <c r="Q443" s="388">
        <v>18406</v>
      </c>
    </row>
    <row r="444" spans="1:18" x14ac:dyDescent="0.25">
      <c r="A444" s="353">
        <v>46174</v>
      </c>
      <c r="B444" s="116" t="s">
        <v>12</v>
      </c>
      <c r="C444" s="157" t="s">
        <v>328</v>
      </c>
      <c r="D444" s="39" t="s">
        <v>211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2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8">
        <v>18406</v>
      </c>
      <c r="Q444" s="388">
        <v>18873</v>
      </c>
      <c r="R444" s="351"/>
    </row>
    <row r="445" spans="1:18" x14ac:dyDescent="0.25">
      <c r="A445" s="353">
        <v>46175</v>
      </c>
      <c r="B445" s="116" t="s">
        <v>12</v>
      </c>
      <c r="C445" s="157" t="s">
        <v>328</v>
      </c>
      <c r="D445" s="39" t="s">
        <v>211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2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8">
        <v>18873</v>
      </c>
      <c r="Q445" s="388">
        <v>19571</v>
      </c>
      <c r="R445" s="351"/>
    </row>
    <row r="446" spans="1:18" x14ac:dyDescent="0.25">
      <c r="A446" s="353">
        <v>46176</v>
      </c>
      <c r="B446" s="116" t="s">
        <v>12</v>
      </c>
      <c r="C446" s="157" t="s">
        <v>328</v>
      </c>
      <c r="D446" s="39" t="s">
        <v>211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2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8">
        <v>19571</v>
      </c>
      <c r="Q446" s="388">
        <v>19731</v>
      </c>
    </row>
    <row r="447" spans="1:18" x14ac:dyDescent="0.25">
      <c r="A447" s="353">
        <v>46176</v>
      </c>
      <c r="B447" s="116" t="s">
        <v>12</v>
      </c>
      <c r="C447" s="157" t="s">
        <v>328</v>
      </c>
      <c r="D447" s="39" t="s">
        <v>211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2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8">
        <v>19731</v>
      </c>
      <c r="Q447" s="388">
        <v>20170</v>
      </c>
    </row>
    <row r="448" spans="1:18" x14ac:dyDescent="0.25">
      <c r="A448" s="353">
        <v>46177</v>
      </c>
      <c r="B448" s="116" t="s">
        <v>12</v>
      </c>
      <c r="C448" s="157" t="s">
        <v>328</v>
      </c>
      <c r="D448" s="39" t="s">
        <v>211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2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8">
        <v>20170</v>
      </c>
      <c r="Q448" s="388">
        <v>20312</v>
      </c>
    </row>
    <row r="449" spans="1:17" x14ac:dyDescent="0.25">
      <c r="A449" s="353">
        <v>46177</v>
      </c>
      <c r="B449" s="116" t="s">
        <v>12</v>
      </c>
      <c r="C449" s="157" t="s">
        <v>328</v>
      </c>
      <c r="D449" s="39" t="s">
        <v>211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2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8">
        <v>20312</v>
      </c>
      <c r="Q449" s="388">
        <v>21184</v>
      </c>
    </row>
    <row r="450" spans="1:17" x14ac:dyDescent="0.25">
      <c r="A450" s="353">
        <v>46178</v>
      </c>
      <c r="B450" s="116" t="s">
        <v>12</v>
      </c>
      <c r="C450" s="157" t="s">
        <v>328</v>
      </c>
      <c r="D450" s="39" t="s">
        <v>252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2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8">
        <v>21184</v>
      </c>
      <c r="Q450" s="388">
        <v>21466</v>
      </c>
    </row>
    <row r="451" spans="1:17" x14ac:dyDescent="0.25">
      <c r="A451" s="353">
        <v>46178</v>
      </c>
      <c r="B451" s="116" t="s">
        <v>12</v>
      </c>
      <c r="C451" s="157" t="s">
        <v>328</v>
      </c>
      <c r="D451" s="39" t="s">
        <v>345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2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8">
        <v>21466</v>
      </c>
      <c r="Q451" s="388">
        <v>22255</v>
      </c>
    </row>
    <row r="452" spans="1:17" x14ac:dyDescent="0.25">
      <c r="A452" s="353">
        <v>46178</v>
      </c>
      <c r="B452" s="116" t="s">
        <v>12</v>
      </c>
      <c r="C452" s="157" t="s">
        <v>328</v>
      </c>
      <c r="D452" s="39" t="s">
        <v>254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2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8">
        <v>22255</v>
      </c>
      <c r="Q452" s="388">
        <v>22858</v>
      </c>
    </row>
    <row r="453" spans="1:17" x14ac:dyDescent="0.25">
      <c r="A453" s="353">
        <v>46179</v>
      </c>
      <c r="B453" s="116" t="s">
        <v>12</v>
      </c>
      <c r="C453" s="157" t="s">
        <v>328</v>
      </c>
      <c r="D453" s="39" t="s">
        <v>214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2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8">
        <v>22858</v>
      </c>
      <c r="Q453" s="388">
        <v>24240</v>
      </c>
    </row>
    <row r="454" spans="1:17" x14ac:dyDescent="0.25">
      <c r="A454" s="353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2">
        <f>IF(Tabla1[[#This Row],[Avance_km]]&lt;&gt;"",Tabla1[[#This Row],[Avance_km]],Tabla1[[#This Row],[Avance_Med]])*_xlfn.XLOOKUP(Tabla1[[#This Row],[Codigo_actividad]],Catalogo!$B$6:$B$51,Catalogo!$F$6:$F$51,0)</f>
        <v>0</v>
      </c>
      <c r="P454" s="388">
        <v>24240</v>
      </c>
      <c r="Q454" s="388">
        <v>24842</v>
      </c>
    </row>
    <row r="455" spans="1:17" x14ac:dyDescent="0.25">
      <c r="A455" s="353">
        <v>46181</v>
      </c>
      <c r="B455" s="116" t="s">
        <v>12</v>
      </c>
      <c r="C455" s="157" t="s">
        <v>328</v>
      </c>
      <c r="D455" s="39" t="s">
        <v>211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2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3">
        <v>46182</v>
      </c>
      <c r="B456" s="116" t="s">
        <v>12</v>
      </c>
      <c r="C456" s="157" t="s">
        <v>328</v>
      </c>
      <c r="D456" s="39" t="s">
        <v>211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2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3">
        <v>46182</v>
      </c>
      <c r="B457" s="116" t="s">
        <v>12</v>
      </c>
      <c r="C457" s="157" t="s">
        <v>328</v>
      </c>
      <c r="D457" s="39" t="s">
        <v>211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2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3">
        <v>46183</v>
      </c>
      <c r="B458" s="116" t="s">
        <v>12</v>
      </c>
      <c r="C458" s="157" t="s">
        <v>328</v>
      </c>
      <c r="D458" s="39" t="s">
        <v>211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2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3">
        <v>46183</v>
      </c>
      <c r="B459" s="116" t="s">
        <v>12</v>
      </c>
      <c r="C459" s="157" t="s">
        <v>328</v>
      </c>
      <c r="D459" s="39" t="s">
        <v>211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2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3">
        <v>46183</v>
      </c>
      <c r="B460" s="116" t="s">
        <v>12</v>
      </c>
      <c r="C460" s="157" t="s">
        <v>328</v>
      </c>
      <c r="D460" s="39" t="s">
        <v>211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2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3">
        <v>46184</v>
      </c>
      <c r="B461" s="116" t="s">
        <v>12</v>
      </c>
      <c r="C461" s="157" t="s">
        <v>328</v>
      </c>
      <c r="D461" s="39" t="s">
        <v>212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2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3">
        <v>46184</v>
      </c>
      <c r="B462" s="116" t="s">
        <v>12</v>
      </c>
      <c r="C462" s="157" t="s">
        <v>407</v>
      </c>
      <c r="D462" s="39" t="s">
        <v>358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2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3">
        <v>46185</v>
      </c>
      <c r="B463" s="116" t="s">
        <v>12</v>
      </c>
      <c r="C463" s="157" t="s">
        <v>328</v>
      </c>
      <c r="D463" s="39" t="s">
        <v>211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2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3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3">
        <v>46188</v>
      </c>
      <c r="B465" s="116" t="s">
        <v>12</v>
      </c>
      <c r="C465" s="157" t="s">
        <v>328</v>
      </c>
      <c r="D465" s="39" t="s">
        <v>211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2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3">
        <v>46189</v>
      </c>
      <c r="B466" s="116" t="s">
        <v>12</v>
      </c>
      <c r="C466" s="157" t="s">
        <v>328</v>
      </c>
      <c r="D466" s="39" t="s">
        <v>211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2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3">
        <v>46190</v>
      </c>
      <c r="B467" s="116" t="s">
        <v>12</v>
      </c>
      <c r="C467" s="157" t="s">
        <v>328</v>
      </c>
      <c r="D467" s="39" t="s">
        <v>211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2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3">
        <v>46191</v>
      </c>
      <c r="B468" s="116" t="s">
        <v>12</v>
      </c>
      <c r="C468" s="157" t="s">
        <v>328</v>
      </c>
      <c r="D468" s="39" t="s">
        <v>211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2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3">
        <v>46191</v>
      </c>
      <c r="B469" s="116" t="s">
        <v>12</v>
      </c>
      <c r="C469" s="157" t="s">
        <v>328</v>
      </c>
      <c r="D469" s="39" t="s">
        <v>211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2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3">
        <v>46192</v>
      </c>
      <c r="B470" s="116" t="s">
        <v>12</v>
      </c>
      <c r="C470" s="157" t="s">
        <v>328</v>
      </c>
      <c r="D470" s="39" t="s">
        <v>213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2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3">
        <v>46192</v>
      </c>
      <c r="B471" s="116" t="s">
        <v>12</v>
      </c>
      <c r="C471" s="157" t="s">
        <v>328</v>
      </c>
      <c r="D471" s="39" t="s">
        <v>215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2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3">
        <v>46192</v>
      </c>
      <c r="B472" s="116" t="s">
        <v>12</v>
      </c>
      <c r="C472" s="157" t="s">
        <v>328</v>
      </c>
      <c r="D472" s="39" t="s">
        <v>217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2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3">
        <v>46192</v>
      </c>
      <c r="B473" s="116" t="s">
        <v>12</v>
      </c>
      <c r="C473" s="157" t="s">
        <v>328</v>
      </c>
      <c r="D473" s="39" t="s">
        <v>213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3">
        <v>46192</v>
      </c>
      <c r="B474" s="116" t="s">
        <v>12</v>
      </c>
      <c r="C474" s="157" t="s">
        <v>328</v>
      </c>
      <c r="D474" s="39" t="s">
        <v>215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2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3">
        <v>46193</v>
      </c>
      <c r="B475" s="116" t="s">
        <v>12</v>
      </c>
      <c r="C475" s="157" t="s">
        <v>328</v>
      </c>
      <c r="D475" s="39" t="s">
        <v>220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2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3">
        <v>46193</v>
      </c>
      <c r="B476" s="116" t="s">
        <v>12</v>
      </c>
      <c r="C476" s="157" t="s">
        <v>328</v>
      </c>
      <c r="D476" s="39" t="s">
        <v>220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2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3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3">
        <v>46195</v>
      </c>
      <c r="B478" s="116" t="s">
        <v>12</v>
      </c>
      <c r="C478" s="157" t="s">
        <v>328</v>
      </c>
      <c r="D478" s="39" t="s">
        <v>250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2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3">
        <v>46195</v>
      </c>
      <c r="B479" s="116" t="s">
        <v>12</v>
      </c>
      <c r="C479" s="157" t="s">
        <v>328</v>
      </c>
      <c r="D479" s="39" t="s">
        <v>248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3">
        <v>46195</v>
      </c>
      <c r="B480" s="116" t="s">
        <v>12</v>
      </c>
      <c r="C480" s="157" t="s">
        <v>328</v>
      </c>
      <c r="D480" s="39" t="s">
        <v>244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2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3">
        <v>46196</v>
      </c>
      <c r="B481" s="116" t="s">
        <v>12</v>
      </c>
      <c r="C481" s="157" t="s">
        <v>328</v>
      </c>
      <c r="D481" s="39" t="s">
        <v>249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2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3">
        <v>46196</v>
      </c>
      <c r="B482" s="116" t="s">
        <v>12</v>
      </c>
      <c r="C482" s="157" t="s">
        <v>328</v>
      </c>
      <c r="D482" s="39" t="s">
        <v>251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3">
        <v>46196</v>
      </c>
      <c r="B483" s="116" t="s">
        <v>12</v>
      </c>
      <c r="C483" s="157" t="s">
        <v>328</v>
      </c>
      <c r="D483" s="39" t="s">
        <v>246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2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3">
        <v>46198</v>
      </c>
      <c r="B484" s="116" t="s">
        <v>12</v>
      </c>
      <c r="C484" s="157" t="s">
        <v>328</v>
      </c>
      <c r="D484" s="39" t="s">
        <v>217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2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3">
        <v>46198</v>
      </c>
      <c r="B485" s="116" t="s">
        <v>12</v>
      </c>
      <c r="C485" s="157" t="s">
        <v>328</v>
      </c>
      <c r="D485" s="39" t="s">
        <v>221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2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3">
        <v>46198</v>
      </c>
      <c r="B486" s="116" t="s">
        <v>12</v>
      </c>
      <c r="C486" s="157" t="s">
        <v>328</v>
      </c>
      <c r="D486" s="39" t="s">
        <v>222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2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3">
        <v>46198</v>
      </c>
      <c r="B487" s="116" t="s">
        <v>12</v>
      </c>
      <c r="C487" s="157" t="s">
        <v>328</v>
      </c>
      <c r="D487" s="39" t="s">
        <v>221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2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3">
        <v>46198</v>
      </c>
      <c r="B488" s="116" t="s">
        <v>12</v>
      </c>
      <c r="C488" s="157" t="s">
        <v>328</v>
      </c>
      <c r="D488" s="39" t="s">
        <v>222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2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3">
        <v>46199</v>
      </c>
      <c r="B489" s="116" t="s">
        <v>12</v>
      </c>
      <c r="C489" s="157" t="s">
        <v>328</v>
      </c>
      <c r="D489" s="39" t="s">
        <v>223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2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3">
        <v>46199</v>
      </c>
      <c r="B490" s="116" t="s">
        <v>12</v>
      </c>
      <c r="C490" s="157" t="s">
        <v>328</v>
      </c>
      <c r="D490" s="39" t="s">
        <v>223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2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3">
        <v>46199</v>
      </c>
      <c r="B491" s="116" t="s">
        <v>12</v>
      </c>
      <c r="C491" s="157" t="s">
        <v>328</v>
      </c>
      <c r="D491" s="39" t="s">
        <v>238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2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3">
        <v>46199</v>
      </c>
      <c r="B492" s="116" t="s">
        <v>12</v>
      </c>
      <c r="C492" s="157" t="s">
        <v>328</v>
      </c>
      <c r="D492" s="39" t="s">
        <v>218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2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3">
        <v>46200</v>
      </c>
      <c r="B493" s="116" t="s">
        <v>12</v>
      </c>
      <c r="C493" s="157" t="s">
        <v>328</v>
      </c>
      <c r="D493" s="39" t="s">
        <v>224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2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3">
        <v>46200</v>
      </c>
      <c r="B494" s="116" t="s">
        <v>12</v>
      </c>
      <c r="C494" s="157" t="s">
        <v>328</v>
      </c>
      <c r="D494" s="39" t="s">
        <v>244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2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3">
        <v>46200</v>
      </c>
      <c r="B495" s="116" t="s">
        <v>12</v>
      </c>
      <c r="C495" s="157" t="s">
        <v>328</v>
      </c>
      <c r="D495" s="39" t="s">
        <v>500</v>
      </c>
      <c r="E495" s="40" t="s">
        <v>16</v>
      </c>
      <c r="F495" s="28">
        <v>0</v>
      </c>
      <c r="G495" s="28">
        <v>243</v>
      </c>
      <c r="H495" s="369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2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508</v>
      </c>
    </row>
    <row r="496" spans="1:14" x14ac:dyDescent="0.25">
      <c r="A496" s="353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3">
        <v>46202</v>
      </c>
      <c r="B497" s="116" t="s">
        <v>12</v>
      </c>
      <c r="C497" s="157" t="s">
        <v>328</v>
      </c>
      <c r="D497" s="39" t="s">
        <v>345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2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3">
        <v>46203</v>
      </c>
      <c r="B498" s="116" t="s">
        <v>12</v>
      </c>
      <c r="C498" s="157" t="s">
        <v>328</v>
      </c>
      <c r="D498" s="39" t="s">
        <v>254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2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3">
        <v>46203</v>
      </c>
      <c r="B499" s="116" t="s">
        <v>12</v>
      </c>
      <c r="C499" s="157" t="s">
        <v>328</v>
      </c>
      <c r="D499" s="39" t="s">
        <v>254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2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3">
        <v>46204</v>
      </c>
      <c r="B500" s="116" t="s">
        <v>12</v>
      </c>
      <c r="C500" s="157" t="s">
        <v>328</v>
      </c>
      <c r="D500" s="39" t="s">
        <v>243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2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3">
        <v>46204</v>
      </c>
      <c r="B501" s="116" t="s">
        <v>12</v>
      </c>
      <c r="C501" s="157" t="s">
        <v>328</v>
      </c>
      <c r="D501" s="39" t="s">
        <v>218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2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3">
        <v>46204</v>
      </c>
      <c r="B502" s="116" t="s">
        <v>12</v>
      </c>
      <c r="C502" s="157" t="s">
        <v>328</v>
      </c>
      <c r="D502" s="39" t="s">
        <v>352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2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3">
        <v>46205</v>
      </c>
      <c r="B503" s="116" t="s">
        <v>12</v>
      </c>
      <c r="C503" s="157" t="s">
        <v>328</v>
      </c>
      <c r="D503" s="39" t="s">
        <v>224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2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3">
        <v>46205</v>
      </c>
      <c r="B504" s="116" t="s">
        <v>12</v>
      </c>
      <c r="C504" s="157" t="s">
        <v>328</v>
      </c>
      <c r="D504" s="39" t="s">
        <v>226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2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3">
        <v>46206</v>
      </c>
      <c r="B505" s="116" t="s">
        <v>12</v>
      </c>
      <c r="C505" s="157" t="s">
        <v>328</v>
      </c>
      <c r="D505" s="39" t="s">
        <v>224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2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3">
        <v>46206</v>
      </c>
      <c r="B506" s="116" t="s">
        <v>12</v>
      </c>
      <c r="C506" s="157" t="s">
        <v>328</v>
      </c>
      <c r="D506" s="39" t="s">
        <v>232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2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3">
        <v>46207</v>
      </c>
      <c r="B507" s="116" t="s">
        <v>12</v>
      </c>
      <c r="C507" s="157" t="s">
        <v>328</v>
      </c>
      <c r="D507" s="39" t="s">
        <v>224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2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3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2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3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2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3">
        <v>46209</v>
      </c>
      <c r="B510" s="116" t="s">
        <v>12</v>
      </c>
      <c r="C510" s="157" t="s">
        <v>328</v>
      </c>
      <c r="D510" s="39" t="s">
        <v>216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2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3">
        <v>46210</v>
      </c>
      <c r="B511" s="116" t="s">
        <v>12</v>
      </c>
      <c r="C511" s="157" t="s">
        <v>328</v>
      </c>
      <c r="D511" s="39" t="s">
        <v>252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2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3">
        <v>46211</v>
      </c>
      <c r="B512" s="116" t="s">
        <v>12</v>
      </c>
      <c r="C512" s="157" t="s">
        <v>328</v>
      </c>
      <c r="D512" s="39" t="s">
        <v>232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2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3">
        <v>46211</v>
      </c>
      <c r="B513" s="116" t="s">
        <v>12</v>
      </c>
      <c r="C513" s="157" t="s">
        <v>328</v>
      </c>
      <c r="D513" s="39" t="s">
        <v>226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2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3">
        <v>46212</v>
      </c>
      <c r="B514" s="116" t="s">
        <v>12</v>
      </c>
      <c r="C514" s="157" t="s">
        <v>328</v>
      </c>
      <c r="D514" s="39" t="s">
        <v>238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2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507</v>
      </c>
    </row>
    <row r="515" spans="1:17" x14ac:dyDescent="0.25">
      <c r="A515" s="353">
        <v>46212</v>
      </c>
      <c r="B515" s="116" t="s">
        <v>12</v>
      </c>
      <c r="C515" s="157" t="s">
        <v>328</v>
      </c>
      <c r="D515" s="39" t="s">
        <v>500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2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508</v>
      </c>
    </row>
    <row r="516" spans="1:17" x14ac:dyDescent="0.25">
      <c r="A516" s="353">
        <v>46212</v>
      </c>
      <c r="B516" s="116" t="s">
        <v>12</v>
      </c>
      <c r="C516" s="157" t="s">
        <v>328</v>
      </c>
      <c r="D516" s="39" t="s">
        <v>224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2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3">
        <v>46213</v>
      </c>
      <c r="B517" s="116" t="s">
        <v>12</v>
      </c>
      <c r="C517" s="157" t="s">
        <v>328</v>
      </c>
      <c r="D517" s="39" t="s">
        <v>224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2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224</v>
      </c>
    </row>
    <row r="518" spans="1:17" x14ac:dyDescent="0.25">
      <c r="A518" s="353">
        <v>46214</v>
      </c>
      <c r="B518" s="116" t="s">
        <v>12</v>
      </c>
      <c r="C518" s="157" t="s">
        <v>328</v>
      </c>
      <c r="D518" s="39" t="s">
        <v>224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2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8">
        <v>0</v>
      </c>
      <c r="Q518" s="388">
        <v>500</v>
      </c>
    </row>
    <row r="519" spans="1:17" x14ac:dyDescent="0.25">
      <c r="A519" s="353">
        <v>46214</v>
      </c>
      <c r="B519" s="116" t="s">
        <v>12</v>
      </c>
      <c r="C519" s="157" t="s">
        <v>328</v>
      </c>
      <c r="D519" s="39" t="s">
        <v>224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2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8">
        <v>500</v>
      </c>
      <c r="Q519" s="388">
        <v>2200</v>
      </c>
    </row>
    <row r="520" spans="1:17" x14ac:dyDescent="0.25">
      <c r="A520" s="353">
        <v>46215</v>
      </c>
      <c r="B520" s="116" t="s">
        <v>12</v>
      </c>
      <c r="C520" s="157" t="s">
        <v>328</v>
      </c>
      <c r="D520" s="39" t="s">
        <v>224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2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8">
        <v>2200</v>
      </c>
      <c r="Q520" s="388">
        <v>3400</v>
      </c>
    </row>
    <row r="521" spans="1:17" x14ac:dyDescent="0.25">
      <c r="A521" s="353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2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8">
        <v>3400</v>
      </c>
      <c r="Q521" s="388">
        <v>5750</v>
      </c>
    </row>
    <row r="522" spans="1:17" x14ac:dyDescent="0.25">
      <c r="A522" s="353">
        <v>46216</v>
      </c>
      <c r="B522" s="116" t="s">
        <v>12</v>
      </c>
      <c r="C522" s="157" t="s">
        <v>328</v>
      </c>
      <c r="D522" s="39" t="s">
        <v>216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2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3">
        <v>46217</v>
      </c>
      <c r="B523" s="116" t="s">
        <v>12</v>
      </c>
      <c r="C523" s="157" t="s">
        <v>328</v>
      </c>
      <c r="D523" s="39" t="s">
        <v>216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2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3">
        <v>46218</v>
      </c>
      <c r="B524" s="116" t="s">
        <v>12</v>
      </c>
      <c r="C524" s="157" t="s">
        <v>328</v>
      </c>
      <c r="D524" s="39" t="s">
        <v>216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2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3">
        <v>46219</v>
      </c>
      <c r="B525" s="116" t="s">
        <v>12</v>
      </c>
      <c r="C525" s="157" t="s">
        <v>328</v>
      </c>
      <c r="D525" s="39" t="s">
        <v>240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2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3">
        <v>46219</v>
      </c>
      <c r="B526" s="116" t="s">
        <v>12</v>
      </c>
      <c r="C526" s="157" t="s">
        <v>328</v>
      </c>
      <c r="D526" s="39" t="s">
        <v>242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2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3">
        <v>46219</v>
      </c>
      <c r="B527" s="116" t="s">
        <v>12</v>
      </c>
      <c r="C527" s="157" t="s">
        <v>328</v>
      </c>
      <c r="D527" s="39" t="s">
        <v>241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2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3">
        <v>46219</v>
      </c>
      <c r="B528" s="116" t="s">
        <v>12</v>
      </c>
      <c r="C528" s="157" t="s">
        <v>328</v>
      </c>
      <c r="D528" s="39" t="s">
        <v>240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2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3">
        <v>46219</v>
      </c>
      <c r="B529" s="116" t="s">
        <v>12</v>
      </c>
      <c r="C529" s="157" t="s">
        <v>328</v>
      </c>
      <c r="D529" s="39" t="s">
        <v>242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2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3">
        <v>46219</v>
      </c>
      <c r="B530" s="116" t="s">
        <v>12</v>
      </c>
      <c r="C530" s="157" t="s">
        <v>328</v>
      </c>
      <c r="D530" s="39" t="s">
        <v>241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2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3">
        <v>46220</v>
      </c>
      <c r="B531" s="116" t="s">
        <v>12</v>
      </c>
      <c r="C531" s="157" t="s">
        <v>328</v>
      </c>
      <c r="D531" s="39" t="s">
        <v>236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2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3">
        <v>46220</v>
      </c>
      <c r="B532" s="116" t="s">
        <v>12</v>
      </c>
      <c r="C532" s="157" t="s">
        <v>328</v>
      </c>
      <c r="D532" s="39" t="s">
        <v>230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2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3">
        <v>46220</v>
      </c>
      <c r="B533" s="116" t="s">
        <v>12</v>
      </c>
      <c r="C533" s="157" t="s">
        <v>328</v>
      </c>
      <c r="D533" s="39" t="s">
        <v>230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2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3">
        <v>46220</v>
      </c>
      <c r="B534" s="116" t="s">
        <v>12</v>
      </c>
      <c r="C534" s="157" t="s">
        <v>328</v>
      </c>
      <c r="D534" s="39" t="s">
        <v>236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2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3">
        <v>46220</v>
      </c>
      <c r="B535" s="116" t="s">
        <v>12</v>
      </c>
      <c r="C535" s="157" t="s">
        <v>407</v>
      </c>
      <c r="D535" s="39" t="s">
        <v>359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2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3">
        <v>46220</v>
      </c>
      <c r="B536" s="116" t="s">
        <v>12</v>
      </c>
      <c r="C536" s="157" t="s">
        <v>407</v>
      </c>
      <c r="D536" s="39" t="s">
        <v>359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2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3">
        <v>46220</v>
      </c>
      <c r="B537" s="116" t="s">
        <v>12</v>
      </c>
      <c r="C537" s="157" t="s">
        <v>407</v>
      </c>
      <c r="D537" s="39" t="s">
        <v>360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2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3">
        <v>46220</v>
      </c>
      <c r="B538" s="116" t="s">
        <v>12</v>
      </c>
      <c r="C538" s="157" t="s">
        <v>407</v>
      </c>
      <c r="D538" s="39" t="s">
        <v>360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3">
        <v>46221</v>
      </c>
      <c r="B539" s="116" t="s">
        <v>12</v>
      </c>
      <c r="C539" s="157" t="s">
        <v>328</v>
      </c>
      <c r="D539" s="39" t="s">
        <v>216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2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3"/>
      <c r="B540" s="116"/>
      <c r="C540" s="157"/>
      <c r="D540" s="39"/>
      <c r="F540" s="28"/>
      <c r="G540" s="28"/>
      <c r="H540" s="226"/>
      <c r="I540" s="66"/>
      <c r="J540" s="76"/>
      <c r="L540" s="36"/>
      <c r="M54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3">
        <v>46223</v>
      </c>
      <c r="B541" s="116" t="s">
        <v>12</v>
      </c>
      <c r="C541" s="157" t="s">
        <v>407</v>
      </c>
      <c r="D541" s="39" t="s">
        <v>263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2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3">
        <v>46225</v>
      </c>
      <c r="B542" s="116" t="s">
        <v>12</v>
      </c>
      <c r="C542" s="157" t="s">
        <v>328</v>
      </c>
      <c r="D542" s="39" t="s">
        <v>218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2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3">
        <v>46225</v>
      </c>
      <c r="B543" s="116" t="s">
        <v>12</v>
      </c>
      <c r="C543" s="157" t="s">
        <v>328</v>
      </c>
      <c r="D543" s="39" t="s">
        <v>215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2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3">
        <v>46225</v>
      </c>
      <c r="B544" s="116" t="s">
        <v>12</v>
      </c>
      <c r="C544" s="157" t="s">
        <v>328</v>
      </c>
      <c r="D544" s="39" t="s">
        <v>213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3">
        <v>46226</v>
      </c>
      <c r="B545" s="116" t="s">
        <v>12</v>
      </c>
      <c r="C545" s="157" t="s">
        <v>328</v>
      </c>
      <c r="D545" s="39" t="s">
        <v>221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2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3">
        <v>46226</v>
      </c>
      <c r="B546" s="116" t="s">
        <v>12</v>
      </c>
      <c r="C546" s="157" t="s">
        <v>328</v>
      </c>
      <c r="D546" s="39" t="s">
        <v>222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2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3">
        <v>46226</v>
      </c>
      <c r="B547" s="116" t="s">
        <v>12</v>
      </c>
      <c r="C547" s="157" t="s">
        <v>328</v>
      </c>
      <c r="D547" s="39" t="s">
        <v>223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2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3">
        <v>46226</v>
      </c>
      <c r="B548" s="116" t="s">
        <v>12</v>
      </c>
      <c r="C548" s="157" t="s">
        <v>328</v>
      </c>
      <c r="D548" s="39" t="s">
        <v>352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2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3">
        <v>46226</v>
      </c>
      <c r="B549" s="116" t="s">
        <v>12</v>
      </c>
      <c r="C549" s="157" t="s">
        <v>328</v>
      </c>
      <c r="D549" s="39" t="s">
        <v>220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2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3">
        <v>46226</v>
      </c>
      <c r="B550" s="116" t="s">
        <v>12</v>
      </c>
      <c r="C550" s="157" t="s">
        <v>328</v>
      </c>
      <c r="D550" s="39" t="s">
        <v>246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2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3">
        <v>46226</v>
      </c>
      <c r="B551" s="116" t="s">
        <v>12</v>
      </c>
      <c r="C551" s="157" t="s">
        <v>328</v>
      </c>
      <c r="D551" s="39" t="s">
        <v>248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3">
        <v>46227</v>
      </c>
      <c r="B552" s="116" t="s">
        <v>12</v>
      </c>
      <c r="C552" s="157" t="s">
        <v>328</v>
      </c>
      <c r="D552" s="39" t="s">
        <v>250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2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3">
        <v>46227</v>
      </c>
      <c r="B553" s="116" t="s">
        <v>12</v>
      </c>
      <c r="C553" s="157" t="s">
        <v>328</v>
      </c>
      <c r="D553" s="39" t="s">
        <v>251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3">
        <v>46227</v>
      </c>
      <c r="B554" s="116" t="s">
        <v>12</v>
      </c>
      <c r="C554" s="157" t="s">
        <v>328</v>
      </c>
      <c r="D554" s="39" t="s">
        <v>243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2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3">
        <v>46227</v>
      </c>
      <c r="B555" s="116" t="s">
        <v>12</v>
      </c>
      <c r="C555" s="157" t="s">
        <v>328</v>
      </c>
      <c r="D555" s="39" t="s">
        <v>249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2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3">
        <v>46228</v>
      </c>
      <c r="B556" s="116" t="s">
        <v>12</v>
      </c>
      <c r="C556" s="157" t="s">
        <v>407</v>
      </c>
      <c r="D556" s="39" t="s">
        <v>263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2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3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2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3">
        <v>46230</v>
      </c>
      <c r="B558" s="116" t="s">
        <v>12</v>
      </c>
      <c r="C558" s="157" t="s">
        <v>328</v>
      </c>
      <c r="D558" s="39" t="s">
        <v>254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2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3">
        <v>46230</v>
      </c>
      <c r="B559" s="116" t="s">
        <v>12</v>
      </c>
      <c r="C559" s="157" t="s">
        <v>328</v>
      </c>
      <c r="D559" s="39" t="s">
        <v>345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2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3">
        <v>46230</v>
      </c>
      <c r="B560" s="116" t="s">
        <v>12</v>
      </c>
      <c r="C560" s="157" t="s">
        <v>328</v>
      </c>
      <c r="D560" s="39" t="s">
        <v>252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2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3">
        <v>46231</v>
      </c>
      <c r="B561" s="116" t="s">
        <v>12</v>
      </c>
      <c r="C561" s="157" t="s">
        <v>328</v>
      </c>
      <c r="D561" s="39" t="s">
        <v>217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2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3">
        <v>46232</v>
      </c>
      <c r="B562" s="116" t="s">
        <v>12</v>
      </c>
      <c r="C562" s="157" t="s">
        <v>328</v>
      </c>
      <c r="D562" s="39" t="s">
        <v>240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2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3">
        <v>46232</v>
      </c>
      <c r="B563" s="116" t="s">
        <v>12</v>
      </c>
      <c r="C563" s="157" t="s">
        <v>328</v>
      </c>
      <c r="D563" s="39" t="s">
        <v>242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2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3">
        <v>46232</v>
      </c>
      <c r="B564" s="116" t="s">
        <v>12</v>
      </c>
      <c r="C564" s="157" t="s">
        <v>328</v>
      </c>
      <c r="D564" s="39" t="s">
        <v>232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2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3">
        <v>46232</v>
      </c>
      <c r="B565" s="116" t="s">
        <v>12</v>
      </c>
      <c r="C565" s="157" t="s">
        <v>328</v>
      </c>
      <c r="D565" s="39" t="s">
        <v>226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2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3">
        <v>46232</v>
      </c>
      <c r="B566" s="116" t="s">
        <v>12</v>
      </c>
      <c r="C566" s="157" t="s">
        <v>328</v>
      </c>
      <c r="D566" s="39" t="s">
        <v>500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2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3">
        <v>46232</v>
      </c>
      <c r="B567" s="116" t="s">
        <v>12</v>
      </c>
      <c r="C567" s="157" t="s">
        <v>328</v>
      </c>
      <c r="D567" s="39" t="s">
        <v>238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2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3">
        <v>46233</v>
      </c>
      <c r="B568" s="116" t="s">
        <v>12</v>
      </c>
      <c r="C568" s="157" t="s">
        <v>328</v>
      </c>
      <c r="D568" s="39" t="s">
        <v>224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2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3">
        <v>46234</v>
      </c>
      <c r="B569" s="116" t="s">
        <v>12</v>
      </c>
      <c r="C569" s="157" t="s">
        <v>328</v>
      </c>
      <c r="D569" s="39" t="s">
        <v>224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2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513</v>
      </c>
    </row>
    <row r="570" spans="1:17" x14ac:dyDescent="0.25">
      <c r="A570" s="353">
        <v>46235</v>
      </c>
      <c r="B570" s="116" t="s">
        <v>12</v>
      </c>
      <c r="C570" s="157" t="s">
        <v>328</v>
      </c>
      <c r="D570" s="39" t="s">
        <v>224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2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3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2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3">
        <v>46237</v>
      </c>
      <c r="B572" s="116" t="s">
        <v>12</v>
      </c>
      <c r="C572" s="157" t="s">
        <v>328</v>
      </c>
      <c r="D572" s="39" t="s">
        <v>224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2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3">
        <v>46238</v>
      </c>
      <c r="B573" s="116" t="s">
        <v>12</v>
      </c>
      <c r="C573" s="157" t="s">
        <v>328</v>
      </c>
      <c r="D573" s="39" t="s">
        <v>236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2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3">
        <v>46238</v>
      </c>
      <c r="B574" s="116" t="s">
        <v>12</v>
      </c>
      <c r="C574" s="157" t="s">
        <v>407</v>
      </c>
      <c r="D574" s="39" t="s">
        <v>360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3">
        <v>46238</v>
      </c>
      <c r="B575" s="116" t="s">
        <v>12</v>
      </c>
      <c r="C575" s="157" t="s">
        <v>407</v>
      </c>
      <c r="D575" s="39" t="s">
        <v>359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2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520</v>
      </c>
    </row>
    <row r="576" spans="1:17" x14ac:dyDescent="0.25">
      <c r="A576" s="353">
        <v>46239</v>
      </c>
      <c r="B576" s="116" t="s">
        <v>12</v>
      </c>
      <c r="C576" s="157" t="s">
        <v>328</v>
      </c>
      <c r="D576" s="39" t="s">
        <v>230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2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8">
        <v>0</v>
      </c>
      <c r="Q576" s="388">
        <v>500</v>
      </c>
    </row>
    <row r="577" spans="1:18" x14ac:dyDescent="0.25">
      <c r="A577" s="353">
        <v>46239</v>
      </c>
      <c r="B577" s="116" t="s">
        <v>12</v>
      </c>
      <c r="C577" s="157" t="s">
        <v>328</v>
      </c>
      <c r="D577" s="39" t="s">
        <v>241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8">
        <v>500</v>
      </c>
      <c r="Q577" s="388">
        <v>1600</v>
      </c>
    </row>
    <row r="578" spans="1:18" x14ac:dyDescent="0.25">
      <c r="A578" s="353">
        <v>46239</v>
      </c>
      <c r="B578" s="116" t="s">
        <v>12</v>
      </c>
      <c r="C578" s="157" t="s">
        <v>328</v>
      </c>
      <c r="D578" s="39" t="s">
        <v>241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2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8">
        <v>1600</v>
      </c>
      <c r="Q578" s="388">
        <v>2300</v>
      </c>
    </row>
    <row r="579" spans="1:18" x14ac:dyDescent="0.25">
      <c r="A579" s="353">
        <v>46240</v>
      </c>
      <c r="B579" s="116" t="s">
        <v>12</v>
      </c>
      <c r="C579" s="157" t="s">
        <v>328</v>
      </c>
      <c r="D579" s="39" t="s">
        <v>216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2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1">
        <f>+P580-Q578</f>
        <v>1000</v>
      </c>
    </row>
    <row r="580" spans="1:18" x14ac:dyDescent="0.25">
      <c r="A580" s="353">
        <v>46241</v>
      </c>
      <c r="B580" s="116" t="s">
        <v>12</v>
      </c>
      <c r="C580" s="157" t="s">
        <v>407</v>
      </c>
      <c r="D580" s="39" t="s">
        <v>263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2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8">
        <v>3300</v>
      </c>
      <c r="Q580" s="388">
        <v>3400</v>
      </c>
    </row>
    <row r="581" spans="1:18" x14ac:dyDescent="0.25">
      <c r="A581" s="353">
        <v>46241</v>
      </c>
      <c r="B581" s="116" t="s">
        <v>12</v>
      </c>
      <c r="C581" s="157" t="s">
        <v>328</v>
      </c>
      <c r="D581" s="39" t="s">
        <v>214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2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8">
        <v>3400</v>
      </c>
      <c r="Q581" s="388">
        <v>5872</v>
      </c>
      <c r="R581" s="351"/>
    </row>
    <row r="582" spans="1:18" x14ac:dyDescent="0.25">
      <c r="A582" s="353">
        <v>46243</v>
      </c>
      <c r="B582" s="116" t="s">
        <v>12</v>
      </c>
      <c r="C582" s="157" t="s">
        <v>328</v>
      </c>
      <c r="D582" s="39" t="s">
        <v>216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2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3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2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3">
        <v>46247</v>
      </c>
      <c r="B584" s="116" t="s">
        <v>12</v>
      </c>
      <c r="C584" s="157" t="s">
        <v>328</v>
      </c>
      <c r="D584" s="39" t="s">
        <v>216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2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3">
        <v>46248</v>
      </c>
      <c r="B585" s="116" t="s">
        <v>12</v>
      </c>
      <c r="C585" s="157" t="s">
        <v>328</v>
      </c>
      <c r="D585" s="39" t="s">
        <v>247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2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3">
        <v>46248</v>
      </c>
      <c r="B586" s="116" t="s">
        <v>12</v>
      </c>
      <c r="C586" s="157" t="s">
        <v>328</v>
      </c>
      <c r="D586" s="39" t="s">
        <v>247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2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3">
        <v>46249</v>
      </c>
      <c r="B587" s="116" t="s">
        <v>12</v>
      </c>
      <c r="C587" s="157" t="s">
        <v>407</v>
      </c>
      <c r="D587" s="39" t="s">
        <v>350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2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3">
        <v>46248</v>
      </c>
      <c r="B588" s="116" t="s">
        <v>12</v>
      </c>
      <c r="C588" s="157" t="s">
        <v>328</v>
      </c>
      <c r="D588" s="39" t="s">
        <v>247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2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3">
        <v>46250</v>
      </c>
      <c r="B589" s="116" t="s">
        <v>12</v>
      </c>
      <c r="C589" s="157" t="s">
        <v>407</v>
      </c>
      <c r="D589" s="39" t="s">
        <v>350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2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3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2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3">
        <v>46251</v>
      </c>
      <c r="B591" s="116" t="s">
        <v>12</v>
      </c>
      <c r="C591" s="157" t="s">
        <v>407</v>
      </c>
      <c r="D591" s="39" t="s">
        <v>350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2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3">
        <v>46252</v>
      </c>
      <c r="B592" s="116" t="s">
        <v>12</v>
      </c>
      <c r="C592" s="157" t="s">
        <v>407</v>
      </c>
      <c r="D592" s="39" t="s">
        <v>350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2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3">
        <v>46253</v>
      </c>
      <c r="B593" s="116" t="s">
        <v>12</v>
      </c>
      <c r="C593" s="157" t="s">
        <v>407</v>
      </c>
      <c r="D593" s="39" t="s">
        <v>350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2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3">
        <v>46253</v>
      </c>
      <c r="B594" s="116" t="s">
        <v>12</v>
      </c>
      <c r="C594" s="157" t="s">
        <v>407</v>
      </c>
      <c r="D594" s="39" t="s">
        <v>350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2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3">
        <v>46254</v>
      </c>
      <c r="B595" s="116" t="s">
        <v>12</v>
      </c>
      <c r="C595" s="157" t="s">
        <v>407</v>
      </c>
      <c r="D595" s="39" t="s">
        <v>350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2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3">
        <v>46255</v>
      </c>
      <c r="B596" s="116" t="s">
        <v>12</v>
      </c>
      <c r="C596" s="157" t="s">
        <v>407</v>
      </c>
      <c r="D596" s="39" t="s">
        <v>350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2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3">
        <v>46255</v>
      </c>
      <c r="B597" s="116" t="s">
        <v>12</v>
      </c>
      <c r="C597" s="157" t="s">
        <v>407</v>
      </c>
      <c r="D597" s="39" t="s">
        <v>350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2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3">
        <v>46256</v>
      </c>
      <c r="B598" s="116" t="s">
        <v>12</v>
      </c>
      <c r="C598" s="157" t="s">
        <v>407</v>
      </c>
      <c r="D598" s="39" t="s">
        <v>350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2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3">
        <v>46256</v>
      </c>
      <c r="B599" s="116" t="s">
        <v>12</v>
      </c>
      <c r="C599" s="157" t="s">
        <v>407</v>
      </c>
      <c r="D599" s="39" t="s">
        <v>350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2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3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2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3">
        <v>46258</v>
      </c>
      <c r="B601" s="116" t="s">
        <v>12</v>
      </c>
      <c r="C601" s="157" t="s">
        <v>407</v>
      </c>
      <c r="D601" s="39" t="s">
        <v>350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2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3">
        <v>46258</v>
      </c>
      <c r="B602" s="116" t="s">
        <v>12</v>
      </c>
      <c r="C602" s="157" t="s">
        <v>407</v>
      </c>
      <c r="D602" s="39" t="s">
        <v>350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2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3">
        <v>46262</v>
      </c>
      <c r="B603" s="116" t="s">
        <v>12</v>
      </c>
      <c r="C603" s="157" t="s">
        <v>407</v>
      </c>
      <c r="D603" s="39" t="s">
        <v>350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2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3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2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3">
        <v>46265</v>
      </c>
      <c r="B605" s="116" t="s">
        <v>12</v>
      </c>
      <c r="C605" s="157" t="s">
        <v>407</v>
      </c>
      <c r="D605" s="39" t="s">
        <v>350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2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3">
        <v>46266</v>
      </c>
      <c r="B606" s="116" t="s">
        <v>12</v>
      </c>
      <c r="C606" s="157" t="s">
        <v>407</v>
      </c>
      <c r="D606" s="39" t="s">
        <v>350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2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3">
        <v>46267</v>
      </c>
      <c r="B607" s="116" t="s">
        <v>12</v>
      </c>
      <c r="C607" s="157" t="s">
        <v>407</v>
      </c>
      <c r="D607" s="39" t="s">
        <v>350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2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3">
        <v>46268</v>
      </c>
      <c r="B608" s="116" t="s">
        <v>12</v>
      </c>
      <c r="C608" s="157" t="s">
        <v>407</v>
      </c>
      <c r="D608" s="39" t="s">
        <v>350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2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3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2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3">
        <v>46272</v>
      </c>
      <c r="B610" s="116" t="s">
        <v>12</v>
      </c>
      <c r="C610" s="157" t="s">
        <v>407</v>
      </c>
      <c r="D610" s="39" t="s">
        <v>350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2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3">
        <v>46273</v>
      </c>
      <c r="B611" s="116" t="s">
        <v>12</v>
      </c>
      <c r="C611" s="157" t="s">
        <v>407</v>
      </c>
      <c r="D611" s="39" t="s">
        <v>350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2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3">
        <v>46274</v>
      </c>
      <c r="B612" s="116" t="s">
        <v>12</v>
      </c>
      <c r="C612" s="157" t="s">
        <v>407</v>
      </c>
      <c r="D612" s="39" t="s">
        <v>350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2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3">
        <v>46274</v>
      </c>
      <c r="B613" s="116" t="s">
        <v>12</v>
      </c>
      <c r="C613" s="157" t="s">
        <v>407</v>
      </c>
      <c r="D613" s="39" t="s">
        <v>350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2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3">
        <v>46275</v>
      </c>
      <c r="B614" s="116" t="s">
        <v>12</v>
      </c>
      <c r="C614" s="157" t="s">
        <v>407</v>
      </c>
      <c r="D614" s="39" t="s">
        <v>350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2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3">
        <v>46276</v>
      </c>
      <c r="B615" s="116" t="s">
        <v>12</v>
      </c>
      <c r="C615" s="157" t="s">
        <v>407</v>
      </c>
      <c r="D615" s="39" t="s">
        <v>350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2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3">
        <v>46276</v>
      </c>
      <c r="B616" s="116" t="s">
        <v>12</v>
      </c>
      <c r="C616" s="157" t="s">
        <v>407</v>
      </c>
      <c r="D616" s="39" t="s">
        <v>350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2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3">
        <v>46277</v>
      </c>
      <c r="B617" s="116" t="s">
        <v>12</v>
      </c>
      <c r="C617" s="157" t="s">
        <v>407</v>
      </c>
      <c r="D617" s="39" t="s">
        <v>350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2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3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2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3">
        <v>46279</v>
      </c>
      <c r="B619" s="116" t="s">
        <v>12</v>
      </c>
      <c r="C619" s="157" t="s">
        <v>407</v>
      </c>
      <c r="D619" s="39" t="s">
        <v>350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2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3">
        <v>46280</v>
      </c>
      <c r="B620" s="116" t="s">
        <v>12</v>
      </c>
      <c r="C620" s="157" t="s">
        <v>407</v>
      </c>
      <c r="D620" s="39" t="s">
        <v>350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2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3">
        <v>46281</v>
      </c>
      <c r="B621" s="116" t="s">
        <v>30</v>
      </c>
      <c r="C621" s="157" t="s">
        <v>407</v>
      </c>
      <c r="D621" s="39" t="s">
        <v>358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2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3">
        <v>46281</v>
      </c>
      <c r="B622" s="116" t="s">
        <v>30</v>
      </c>
      <c r="C622" s="157" t="s">
        <v>407</v>
      </c>
      <c r="D622" s="39" t="s">
        <v>360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2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3">
        <v>46281</v>
      </c>
      <c r="B623" s="116" t="s">
        <v>30</v>
      </c>
      <c r="C623" s="157" t="s">
        <v>407</v>
      </c>
      <c r="D623" s="39" t="s">
        <v>359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2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3">
        <v>46284</v>
      </c>
      <c r="B624" s="116" t="s">
        <v>30</v>
      </c>
      <c r="C624" s="157" t="s">
        <v>407</v>
      </c>
      <c r="D624" s="39" t="s">
        <v>358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2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3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2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3">
        <v>46286</v>
      </c>
      <c r="B626" s="116" t="s">
        <v>30</v>
      </c>
      <c r="C626" s="157" t="s">
        <v>557</v>
      </c>
      <c r="D626" s="39" t="s">
        <v>374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2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3">
        <v>46286</v>
      </c>
      <c r="B627" s="116" t="s">
        <v>30</v>
      </c>
      <c r="C627" s="157" t="s">
        <v>557</v>
      </c>
      <c r="D627" s="39" t="s">
        <v>372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2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3">
        <v>46287</v>
      </c>
      <c r="B628" s="116" t="s">
        <v>30</v>
      </c>
      <c r="C628" s="157" t="s">
        <v>557</v>
      </c>
      <c r="D628" s="39" t="s">
        <v>371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2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3">
        <v>46287</v>
      </c>
      <c r="B629" s="116" t="s">
        <v>30</v>
      </c>
      <c r="C629" s="157" t="s">
        <v>557</v>
      </c>
      <c r="D629" s="39" t="s">
        <v>370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2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3">
        <v>46288</v>
      </c>
      <c r="B630" s="116" t="s">
        <v>30</v>
      </c>
      <c r="C630" s="157" t="s">
        <v>557</v>
      </c>
      <c r="D630" s="39" t="s">
        <v>369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2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3">
        <v>46288</v>
      </c>
      <c r="B631" s="116" t="s">
        <v>30</v>
      </c>
      <c r="C631" s="157" t="s">
        <v>557</v>
      </c>
      <c r="D631" s="39" t="s">
        <v>367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2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3">
        <v>46289</v>
      </c>
      <c r="B632" s="116" t="s">
        <v>30</v>
      </c>
      <c r="C632" s="157" t="s">
        <v>557</v>
      </c>
      <c r="D632" s="39" t="s">
        <v>365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2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3">
        <v>46289</v>
      </c>
      <c r="B633" s="116" t="s">
        <v>30</v>
      </c>
      <c r="C633" s="157" t="s">
        <v>557</v>
      </c>
      <c r="D633" s="39" t="s">
        <v>375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2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3">
        <v>46290</v>
      </c>
      <c r="B634" s="116" t="s">
        <v>30</v>
      </c>
      <c r="C634" s="157" t="s">
        <v>557</v>
      </c>
      <c r="D634" s="39" t="s">
        <v>373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2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3">
        <v>46290</v>
      </c>
      <c r="B635" s="116" t="s">
        <v>30</v>
      </c>
      <c r="C635" s="157" t="s">
        <v>557</v>
      </c>
      <c r="D635" s="39" t="s">
        <v>368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2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3">
        <v>46290</v>
      </c>
      <c r="B636" s="116" t="s">
        <v>30</v>
      </c>
      <c r="C636" s="157" t="s">
        <v>557</v>
      </c>
      <c r="D636" s="39" t="s">
        <v>366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2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3">
        <v>46290</v>
      </c>
      <c r="B637" s="116" t="s">
        <v>30</v>
      </c>
      <c r="C637" s="157" t="s">
        <v>557</v>
      </c>
      <c r="D637" s="39" t="s">
        <v>364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2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3">
        <v>46291</v>
      </c>
      <c r="B638" s="116" t="s">
        <v>30</v>
      </c>
      <c r="C638" s="157" t="s">
        <v>328</v>
      </c>
      <c r="D638" s="39" t="s">
        <v>500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2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3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2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3">
        <v>46293</v>
      </c>
      <c r="B640" s="116" t="s">
        <v>12</v>
      </c>
      <c r="C640" s="157" t="s">
        <v>407</v>
      </c>
      <c r="D640" s="39" t="s">
        <v>350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2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3">
        <v>46294</v>
      </c>
      <c r="B641" s="116" t="s">
        <v>12</v>
      </c>
      <c r="C641" s="157" t="s">
        <v>407</v>
      </c>
      <c r="D641" s="39" t="s">
        <v>350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2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3">
        <v>46295</v>
      </c>
      <c r="B642" s="116" t="s">
        <v>12</v>
      </c>
      <c r="C642" s="157" t="s">
        <v>407</v>
      </c>
      <c r="D642" s="39" t="s">
        <v>350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2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3">
        <v>46296</v>
      </c>
      <c r="B643" s="116" t="s">
        <v>12</v>
      </c>
      <c r="C643" s="157" t="s">
        <v>407</v>
      </c>
      <c r="D643" s="39" t="s">
        <v>350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2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3">
        <v>46297</v>
      </c>
      <c r="B644" s="116" t="s">
        <v>12</v>
      </c>
      <c r="C644" s="157" t="s">
        <v>407</v>
      </c>
      <c r="D644" s="39" t="s">
        <v>350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2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3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2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3">
        <v>46300</v>
      </c>
      <c r="B646" s="116" t="s">
        <v>12</v>
      </c>
      <c r="C646" s="157" t="s">
        <v>407</v>
      </c>
      <c r="D646" s="39" t="s">
        <v>350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2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3">
        <v>46301</v>
      </c>
      <c r="B647" s="116" t="s">
        <v>12</v>
      </c>
      <c r="C647" s="157" t="s">
        <v>557</v>
      </c>
      <c r="D647" s="39" t="s">
        <v>374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2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3">
        <v>46301</v>
      </c>
      <c r="B648" s="116" t="s">
        <v>12</v>
      </c>
      <c r="C648" s="157" t="s">
        <v>557</v>
      </c>
      <c r="D648" s="39" t="s">
        <v>371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2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3">
        <v>46301</v>
      </c>
      <c r="B649" s="116" t="s">
        <v>12</v>
      </c>
      <c r="C649" s="157" t="s">
        <v>557</v>
      </c>
      <c r="D649" s="39" t="s">
        <v>364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2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3">
        <v>46301</v>
      </c>
      <c r="B650" s="116" t="s">
        <v>12</v>
      </c>
      <c r="C650" s="157" t="s">
        <v>557</v>
      </c>
      <c r="D650" s="39" t="s">
        <v>366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2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3">
        <v>46301</v>
      </c>
      <c r="B651" s="116" t="s">
        <v>12</v>
      </c>
      <c r="C651" s="157" t="s">
        <v>557</v>
      </c>
      <c r="D651" s="39" t="s">
        <v>367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2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3">
        <v>46301</v>
      </c>
      <c r="B652" s="116" t="s">
        <v>12</v>
      </c>
      <c r="C652" s="157" t="s">
        <v>557</v>
      </c>
      <c r="D652" s="39" t="s">
        <v>368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2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3">
        <v>46302</v>
      </c>
      <c r="B653" s="116" t="s">
        <v>12</v>
      </c>
      <c r="C653" s="157" t="s">
        <v>557</v>
      </c>
      <c r="D653" s="39" t="s">
        <v>372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2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3">
        <v>46302</v>
      </c>
      <c r="B654" s="116" t="s">
        <v>12</v>
      </c>
      <c r="C654" s="157" t="s">
        <v>557</v>
      </c>
      <c r="D654" s="39" t="s">
        <v>375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2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3">
        <v>46302</v>
      </c>
      <c r="B655" s="116" t="s">
        <v>12</v>
      </c>
      <c r="C655" s="157" t="s">
        <v>557</v>
      </c>
      <c r="D655" s="39" t="s">
        <v>373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2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3">
        <v>46302</v>
      </c>
      <c r="B656" s="116" t="s">
        <v>12</v>
      </c>
      <c r="C656" s="157" t="s">
        <v>557</v>
      </c>
      <c r="D656" s="39" t="s">
        <v>370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2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3">
        <v>46302</v>
      </c>
      <c r="B657" s="116" t="s">
        <v>12</v>
      </c>
      <c r="C657" s="157" t="s">
        <v>557</v>
      </c>
      <c r="D657" s="39" t="s">
        <v>369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2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3">
        <v>46303</v>
      </c>
      <c r="B658" s="116" t="s">
        <v>12</v>
      </c>
      <c r="C658" s="157" t="s">
        <v>557</v>
      </c>
      <c r="D658" s="39" t="s">
        <v>374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2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3">
        <v>46303</v>
      </c>
      <c r="B659" s="116" t="s">
        <v>12</v>
      </c>
      <c r="C659" s="157" t="s">
        <v>557</v>
      </c>
      <c r="D659" s="39" t="s">
        <v>371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2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3">
        <v>46303</v>
      </c>
      <c r="B660" s="116" t="s">
        <v>12</v>
      </c>
      <c r="C660" s="157" t="s">
        <v>557</v>
      </c>
      <c r="D660" s="39" t="s">
        <v>364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2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3">
        <v>46303</v>
      </c>
      <c r="B661" s="116" t="s">
        <v>12</v>
      </c>
      <c r="C661" s="157" t="s">
        <v>557</v>
      </c>
      <c r="D661" s="39" t="s">
        <v>366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3">
        <v>46303</v>
      </c>
      <c r="B662" s="116" t="s">
        <v>12</v>
      </c>
      <c r="C662" s="157" t="s">
        <v>557</v>
      </c>
      <c r="D662" s="39" t="s">
        <v>367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2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3">
        <v>46303</v>
      </c>
      <c r="B663" s="116" t="s">
        <v>12</v>
      </c>
      <c r="C663" s="157" t="s">
        <v>557</v>
      </c>
      <c r="D663" s="39" t="s">
        <v>368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2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3">
        <v>46303</v>
      </c>
      <c r="B664" s="116" t="s">
        <v>12</v>
      </c>
      <c r="C664" s="157" t="s">
        <v>557</v>
      </c>
      <c r="D664" s="39" t="s">
        <v>372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2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3">
        <v>46303</v>
      </c>
      <c r="B665" s="116" t="s">
        <v>12</v>
      </c>
      <c r="C665" s="157" t="s">
        <v>557</v>
      </c>
      <c r="D665" s="39" t="s">
        <v>375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2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3">
        <v>46303</v>
      </c>
      <c r="B666" s="116" t="s">
        <v>12</v>
      </c>
      <c r="C666" s="157" t="s">
        <v>557</v>
      </c>
      <c r="D666" s="39" t="s">
        <v>373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3">
        <v>46303</v>
      </c>
      <c r="B667" s="116" t="s">
        <v>12</v>
      </c>
      <c r="C667" s="157" t="s">
        <v>557</v>
      </c>
      <c r="D667" s="39" t="s">
        <v>370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2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3">
        <v>46303</v>
      </c>
      <c r="B668" s="116" t="s">
        <v>12</v>
      </c>
      <c r="C668" s="157" t="s">
        <v>557</v>
      </c>
      <c r="D668" s="39" t="s">
        <v>369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2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3">
        <v>46303</v>
      </c>
      <c r="B669" s="116" t="s">
        <v>12</v>
      </c>
      <c r="C669" s="157" t="s">
        <v>557</v>
      </c>
      <c r="D669" s="39" t="s">
        <v>365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2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3">
        <v>46303</v>
      </c>
      <c r="B670" s="116" t="s">
        <v>12</v>
      </c>
      <c r="C670" s="157" t="s">
        <v>557</v>
      </c>
      <c r="D670" s="39" t="s">
        <v>365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2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3">
        <v>46304</v>
      </c>
      <c r="B671" s="116" t="s">
        <v>12</v>
      </c>
      <c r="C671" s="157" t="s">
        <v>557</v>
      </c>
      <c r="D671" s="39" t="s">
        <v>374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2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3">
        <v>46304</v>
      </c>
      <c r="B672" s="116" t="s">
        <v>12</v>
      </c>
      <c r="C672" s="157" t="s">
        <v>557</v>
      </c>
      <c r="D672" s="39" t="s">
        <v>364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2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3">
        <v>46304</v>
      </c>
      <c r="B673" s="116" t="s">
        <v>12</v>
      </c>
      <c r="C673" s="157" t="s">
        <v>557</v>
      </c>
      <c r="D673" s="39" t="s">
        <v>367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2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3">
        <v>46304</v>
      </c>
      <c r="B674" s="116" t="s">
        <v>12</v>
      </c>
      <c r="C674" s="157" t="s">
        <v>557</v>
      </c>
      <c r="D674" s="39" t="s">
        <v>368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2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3">
        <v>46304</v>
      </c>
      <c r="B675" s="116" t="s">
        <v>12</v>
      </c>
      <c r="C675" s="157" t="s">
        <v>557</v>
      </c>
      <c r="D675" s="39" t="s">
        <v>373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3">
        <v>46304</v>
      </c>
      <c r="B676" s="116" t="s">
        <v>12</v>
      </c>
      <c r="C676" s="157" t="s">
        <v>557</v>
      </c>
      <c r="D676" s="39" t="s">
        <v>370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2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3">
        <v>46304</v>
      </c>
      <c r="B677" s="116" t="s">
        <v>12</v>
      </c>
      <c r="C677" s="157" t="s">
        <v>557</v>
      </c>
      <c r="D677" s="39" t="s">
        <v>369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2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3"/>
      <c r="B678" s="116"/>
      <c r="C678" s="157"/>
      <c r="D678" s="39"/>
      <c r="F678" s="28"/>
      <c r="G678" s="28"/>
      <c r="H678" s="226"/>
      <c r="I678" s="66"/>
      <c r="J678" s="76"/>
      <c r="L678" s="36"/>
      <c r="M678" s="262"/>
    </row>
    <row r="679" spans="1:14" x14ac:dyDescent="0.25">
      <c r="A679" s="353">
        <v>46308</v>
      </c>
      <c r="B679" s="116" t="s">
        <v>12</v>
      </c>
      <c r="C679" s="157" t="s">
        <v>557</v>
      </c>
      <c r="D679" s="39" t="s">
        <v>365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2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3">
        <v>46308</v>
      </c>
      <c r="B680" s="116" t="s">
        <v>12</v>
      </c>
      <c r="C680" s="157" t="s">
        <v>557</v>
      </c>
      <c r="D680" s="39" t="s">
        <v>371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2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3">
        <v>46308</v>
      </c>
      <c r="B681" s="116" t="s">
        <v>12</v>
      </c>
      <c r="C681" s="157" t="s">
        <v>557</v>
      </c>
      <c r="D681" s="39" t="s">
        <v>372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2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3">
        <v>46308</v>
      </c>
      <c r="B682" s="116" t="s">
        <v>12</v>
      </c>
      <c r="C682" s="157" t="s">
        <v>557</v>
      </c>
      <c r="D682" s="39" t="s">
        <v>375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2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3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2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3">
        <v>46309</v>
      </c>
      <c r="B684" s="116" t="s">
        <v>12</v>
      </c>
      <c r="C684" s="157" t="s">
        <v>557</v>
      </c>
      <c r="D684" s="39" t="s">
        <v>366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3">
        <v>46309</v>
      </c>
      <c r="B685" s="116" t="s">
        <v>12</v>
      </c>
      <c r="C685" s="157" t="s">
        <v>407</v>
      </c>
      <c r="D685" s="39" t="s">
        <v>350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2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3">
        <v>46309</v>
      </c>
      <c r="B686" s="116" t="s">
        <v>12</v>
      </c>
      <c r="C686" s="157" t="s">
        <v>407</v>
      </c>
      <c r="D686" s="39" t="s">
        <v>350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2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3">
        <v>46310</v>
      </c>
      <c r="B687" s="116" t="s">
        <v>12</v>
      </c>
      <c r="C687" s="157" t="s">
        <v>407</v>
      </c>
      <c r="D687" s="39" t="s">
        <v>350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2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3">
        <v>46311</v>
      </c>
      <c r="B688" s="116" t="s">
        <v>12</v>
      </c>
      <c r="C688" s="157" t="s">
        <v>407</v>
      </c>
      <c r="D688" s="39" t="s">
        <v>350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2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3">
        <v>46312</v>
      </c>
      <c r="B689" s="116" t="s">
        <v>12</v>
      </c>
      <c r="C689" s="157" t="s">
        <v>407</v>
      </c>
      <c r="D689" s="39" t="s">
        <v>350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2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3">
        <v>46312</v>
      </c>
      <c r="B690" s="116" t="s">
        <v>12</v>
      </c>
      <c r="C690" s="157" t="s">
        <v>407</v>
      </c>
      <c r="D690" s="39" t="s">
        <v>350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2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3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2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3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2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3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2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3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2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3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2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3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2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3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2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3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2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3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2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3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2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3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2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3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2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3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2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3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2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3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2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3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2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3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2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3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2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3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2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3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2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3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2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3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2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3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2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58"/>
      <c r="B714" s="284"/>
      <c r="C714" s="285"/>
      <c r="D714" s="286"/>
      <c r="E714" s="379"/>
      <c r="F714" s="287"/>
      <c r="G714" s="287"/>
      <c r="H714" s="511" t="str">
        <f>IF(Tabla1[[#This Row],[Codigo_actividad]]&lt;&gt;2.5,IF(((Tabla1[[#This Row],[fin]]-Tabla1[[#This Row],[inicio]])/1000)=0,"",((Tabla1[[#This Row],[fin]]-Tabla1[[#This Row],[inicio]])/1000)),"")</f>
        <v/>
      </c>
      <c r="I714" s="512"/>
      <c r="J714" s="512"/>
      <c r="K714" s="512" t="str">
        <f>IF(_xlfn.XLOOKUP($J714,Catalogo!$B$7:$B$21,Catalogo!$I$7:$I$21,"",0)=0,"",_xlfn.XLOOKUP($J714,Catalogo!$B$7:$B$21,Catalogo!$I$7:$I$21,"",0))</f>
        <v/>
      </c>
      <c r="L714" s="513"/>
      <c r="M714" s="514">
        <f>IF(Tabla1[[#This Row],[Avance_km]]&lt;&gt;"",Tabla1[[#This Row],[Avance_km]],Tabla1[[#This Row],[Avance_Med]])*_xlfn.XLOOKUP(Tabla1[[#This Row],[Codigo_actividad]],Catalogo!$B$6:$B$51,Catalogo!$F$6:$F$51,0)</f>
        <v>0</v>
      </c>
      <c r="N714" s="515" t="str">
        <f>_xlfn.IFNA(_xlfn.XLOOKUP(Tabla1[[#This Row],[fin]],$P$379:$P$398,$T$379:$T$398),"")</f>
        <v/>
      </c>
    </row>
    <row r="715" spans="1:14" x14ac:dyDescent="0.25">
      <c r="A715" s="353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2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3">
        <v>46280</v>
      </c>
      <c r="B716" s="116" t="s">
        <v>30</v>
      </c>
      <c r="C716" s="508" t="s">
        <v>13</v>
      </c>
      <c r="D716" s="39" t="s">
        <v>14</v>
      </c>
      <c r="E716" s="40" t="s">
        <v>118</v>
      </c>
      <c r="F716" s="489">
        <v>3901</v>
      </c>
      <c r="G716" s="28" t="s">
        <v>613</v>
      </c>
      <c r="H716" s="226"/>
      <c r="I716" s="497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3">
        <v>46280</v>
      </c>
      <c r="B717" s="116" t="s">
        <v>30</v>
      </c>
      <c r="C717" s="508" t="s">
        <v>13</v>
      </c>
      <c r="D717" s="39" t="s">
        <v>14</v>
      </c>
      <c r="E717" s="40" t="s">
        <v>527</v>
      </c>
      <c r="F717" s="489">
        <v>3901</v>
      </c>
      <c r="G717" s="28" t="s">
        <v>613</v>
      </c>
      <c r="H717" s="226"/>
      <c r="I717" s="497">
        <v>1</v>
      </c>
      <c r="J717" s="76" t="s">
        <v>121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3">
        <v>46280</v>
      </c>
      <c r="B718" s="116" t="s">
        <v>30</v>
      </c>
      <c r="C718" s="508" t="s">
        <v>13</v>
      </c>
      <c r="D718" s="39" t="s">
        <v>14</v>
      </c>
      <c r="E718" s="40" t="s">
        <v>124</v>
      </c>
      <c r="F718" s="489">
        <v>3901</v>
      </c>
      <c r="G718" s="28" t="s">
        <v>613</v>
      </c>
      <c r="H718" s="226"/>
      <c r="I718" s="497">
        <v>1</v>
      </c>
      <c r="J718" s="76" t="s">
        <v>123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3">
        <v>46280</v>
      </c>
      <c r="B719" s="116" t="s">
        <v>30</v>
      </c>
      <c r="C719" s="508" t="s">
        <v>13</v>
      </c>
      <c r="D719" s="39" t="s">
        <v>14</v>
      </c>
      <c r="E719" s="40" t="s">
        <v>127</v>
      </c>
      <c r="F719" s="489">
        <v>3901</v>
      </c>
      <c r="G719" s="28" t="s">
        <v>613</v>
      </c>
      <c r="H719" s="226"/>
      <c r="I719" s="497">
        <v>1</v>
      </c>
      <c r="J719" s="76" t="s">
        <v>126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3">
        <v>46280</v>
      </c>
      <c r="B720" s="116" t="s">
        <v>30</v>
      </c>
      <c r="C720" s="508" t="s">
        <v>13</v>
      </c>
      <c r="D720" s="39" t="s">
        <v>14</v>
      </c>
      <c r="E720" s="40" t="s">
        <v>131</v>
      </c>
      <c r="F720" s="489">
        <v>3901</v>
      </c>
      <c r="G720" s="28" t="s">
        <v>613</v>
      </c>
      <c r="H720" s="226"/>
      <c r="I720" s="497">
        <v>1</v>
      </c>
      <c r="J720" s="76" t="s">
        <v>130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3">
        <v>46280</v>
      </c>
      <c r="B721" s="116" t="s">
        <v>30</v>
      </c>
      <c r="C721" s="508" t="s">
        <v>13</v>
      </c>
      <c r="D721" s="39" t="s">
        <v>14</v>
      </c>
      <c r="E721" s="40" t="s">
        <v>137</v>
      </c>
      <c r="F721" s="489">
        <v>3901</v>
      </c>
      <c r="G721" s="28" t="s">
        <v>613</v>
      </c>
      <c r="H721" s="226"/>
      <c r="I721" s="497">
        <v>1</v>
      </c>
      <c r="J721" s="76" t="s">
        <v>136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3">
        <v>46280</v>
      </c>
      <c r="B722" s="116" t="s">
        <v>30</v>
      </c>
      <c r="C722" s="508" t="s">
        <v>13</v>
      </c>
      <c r="D722" s="39" t="s">
        <v>14</v>
      </c>
      <c r="E722" s="40" t="s">
        <v>139</v>
      </c>
      <c r="F722" s="489">
        <v>3901</v>
      </c>
      <c r="G722" s="28" t="s">
        <v>613</v>
      </c>
      <c r="H722" s="226"/>
      <c r="I722" s="497">
        <v>1</v>
      </c>
      <c r="J722" s="76" t="s">
        <v>138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3"/>
      <c r="B723" s="116"/>
      <c r="C723" s="508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2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3">
        <v>46259</v>
      </c>
      <c r="B724" s="116" t="s">
        <v>30</v>
      </c>
      <c r="C724" s="508" t="s">
        <v>13</v>
      </c>
      <c r="D724" s="39" t="s">
        <v>14</v>
      </c>
      <c r="E724" s="40" t="s">
        <v>118</v>
      </c>
      <c r="F724" s="489">
        <v>12165.28</v>
      </c>
      <c r="G724" s="28" t="s">
        <v>613</v>
      </c>
      <c r="H724" s="226"/>
      <c r="I724" s="497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556</v>
      </c>
    </row>
    <row r="725" spans="1:14" x14ac:dyDescent="0.25">
      <c r="A725" s="353">
        <v>46259</v>
      </c>
      <c r="B725" s="116" t="s">
        <v>30</v>
      </c>
      <c r="C725" s="508" t="s">
        <v>13</v>
      </c>
      <c r="D725" s="39" t="s">
        <v>14</v>
      </c>
      <c r="E725" s="40" t="s">
        <v>527</v>
      </c>
      <c r="F725" s="489">
        <v>12165.28</v>
      </c>
      <c r="G725" s="28" t="s">
        <v>613</v>
      </c>
      <c r="H725" s="226"/>
      <c r="I725" s="497">
        <v>1</v>
      </c>
      <c r="J725" s="76" t="s">
        <v>121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556</v>
      </c>
    </row>
    <row r="726" spans="1:14" x14ac:dyDescent="0.25">
      <c r="A726" s="353">
        <v>46259</v>
      </c>
      <c r="B726" s="116" t="s">
        <v>30</v>
      </c>
      <c r="C726" s="508" t="s">
        <v>13</v>
      </c>
      <c r="D726" s="39" t="s">
        <v>14</v>
      </c>
      <c r="E726" s="40" t="s">
        <v>124</v>
      </c>
      <c r="F726" s="489">
        <v>12165.28</v>
      </c>
      <c r="G726" s="28" t="s">
        <v>613</v>
      </c>
      <c r="H726" s="226"/>
      <c r="I726" s="497">
        <v>1</v>
      </c>
      <c r="J726" s="76" t="s">
        <v>123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556</v>
      </c>
    </row>
    <row r="727" spans="1:14" x14ac:dyDescent="0.25">
      <c r="A727" s="353">
        <v>46259</v>
      </c>
      <c r="B727" s="116" t="s">
        <v>30</v>
      </c>
      <c r="C727" s="508" t="s">
        <v>13</v>
      </c>
      <c r="D727" s="39" t="s">
        <v>14</v>
      </c>
      <c r="E727" s="40" t="s">
        <v>127</v>
      </c>
      <c r="F727" s="489">
        <v>12165.28</v>
      </c>
      <c r="G727" s="28" t="s">
        <v>613</v>
      </c>
      <c r="H727" s="226"/>
      <c r="I727" s="497">
        <v>1</v>
      </c>
      <c r="J727" s="76" t="s">
        <v>126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556</v>
      </c>
    </row>
    <row r="728" spans="1:14" x14ac:dyDescent="0.25">
      <c r="A728" s="353">
        <v>46259</v>
      </c>
      <c r="B728" s="116" t="s">
        <v>30</v>
      </c>
      <c r="C728" s="508" t="s">
        <v>13</v>
      </c>
      <c r="D728" s="39" t="s">
        <v>14</v>
      </c>
      <c r="E728" s="40" t="s">
        <v>131</v>
      </c>
      <c r="F728" s="489">
        <v>12165.28</v>
      </c>
      <c r="G728" s="28" t="s">
        <v>613</v>
      </c>
      <c r="H728" s="226"/>
      <c r="I728" s="497">
        <v>1</v>
      </c>
      <c r="J728" s="76" t="s">
        <v>130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556</v>
      </c>
    </row>
    <row r="729" spans="1:14" x14ac:dyDescent="0.25">
      <c r="A729" s="353">
        <v>46259</v>
      </c>
      <c r="B729" s="116" t="s">
        <v>30</v>
      </c>
      <c r="C729" s="508" t="s">
        <v>13</v>
      </c>
      <c r="D729" s="39" t="s">
        <v>14</v>
      </c>
      <c r="E729" s="40" t="s">
        <v>137</v>
      </c>
      <c r="F729" s="489">
        <v>12165.28</v>
      </c>
      <c r="G729" s="28" t="s">
        <v>613</v>
      </c>
      <c r="H729" s="226"/>
      <c r="I729" s="497">
        <v>1</v>
      </c>
      <c r="J729" s="76" t="s">
        <v>136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2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556</v>
      </c>
    </row>
    <row r="730" spans="1:14" x14ac:dyDescent="0.25">
      <c r="A730" s="353">
        <v>46259</v>
      </c>
      <c r="B730" s="116" t="s">
        <v>30</v>
      </c>
      <c r="C730" s="508" t="s">
        <v>13</v>
      </c>
      <c r="D730" s="39" t="s">
        <v>14</v>
      </c>
      <c r="E730" s="40" t="s">
        <v>139</v>
      </c>
      <c r="F730" s="489">
        <v>12165.28</v>
      </c>
      <c r="G730" s="28" t="s">
        <v>613</v>
      </c>
      <c r="H730" s="226"/>
      <c r="I730" s="497">
        <v>1</v>
      </c>
      <c r="J730" s="76" t="s">
        <v>138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2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556</v>
      </c>
    </row>
    <row r="731" spans="1:14" x14ac:dyDescent="0.25">
      <c r="A731" s="353"/>
      <c r="C731" s="508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2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3">
        <v>46282</v>
      </c>
      <c r="B732" s="116" t="s">
        <v>30</v>
      </c>
      <c r="C732" s="508" t="s">
        <v>13</v>
      </c>
      <c r="D732" s="39" t="s">
        <v>14</v>
      </c>
      <c r="E732" s="40" t="s">
        <v>118</v>
      </c>
      <c r="F732" s="489">
        <v>12168</v>
      </c>
      <c r="G732" s="28" t="s">
        <v>613</v>
      </c>
      <c r="H732" s="226"/>
      <c r="I732" s="497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555</v>
      </c>
    </row>
    <row r="733" spans="1:14" x14ac:dyDescent="0.25">
      <c r="A733" s="353">
        <v>46282</v>
      </c>
      <c r="B733" s="116" t="s">
        <v>30</v>
      </c>
      <c r="C733" s="508" t="s">
        <v>13</v>
      </c>
      <c r="D733" s="39" t="s">
        <v>14</v>
      </c>
      <c r="E733" s="40" t="s">
        <v>527</v>
      </c>
      <c r="F733" s="489">
        <v>12168</v>
      </c>
      <c r="G733" s="28" t="s">
        <v>613</v>
      </c>
      <c r="H733" s="226"/>
      <c r="I733" s="497">
        <v>1</v>
      </c>
      <c r="J733" s="76" t="s">
        <v>121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555</v>
      </c>
    </row>
    <row r="734" spans="1:14" x14ac:dyDescent="0.25">
      <c r="A734" s="353">
        <v>46282</v>
      </c>
      <c r="B734" s="116" t="s">
        <v>30</v>
      </c>
      <c r="C734" s="508" t="s">
        <v>13</v>
      </c>
      <c r="D734" s="39" t="s">
        <v>14</v>
      </c>
      <c r="E734" s="40" t="s">
        <v>124</v>
      </c>
      <c r="F734" s="489">
        <v>12168</v>
      </c>
      <c r="G734" s="28" t="s">
        <v>613</v>
      </c>
      <c r="H734" s="226"/>
      <c r="I734" s="497">
        <v>1</v>
      </c>
      <c r="J734" s="76" t="s">
        <v>123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555</v>
      </c>
    </row>
    <row r="735" spans="1:14" x14ac:dyDescent="0.25">
      <c r="A735" s="353">
        <v>46282</v>
      </c>
      <c r="B735" s="116" t="s">
        <v>30</v>
      </c>
      <c r="C735" s="508" t="s">
        <v>13</v>
      </c>
      <c r="D735" s="39" t="s">
        <v>14</v>
      </c>
      <c r="E735" s="40" t="s">
        <v>127</v>
      </c>
      <c r="F735" s="489">
        <v>12168</v>
      </c>
      <c r="G735" s="28" t="s">
        <v>613</v>
      </c>
      <c r="H735" s="226"/>
      <c r="I735" s="497">
        <v>1</v>
      </c>
      <c r="J735" s="76" t="s">
        <v>126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555</v>
      </c>
    </row>
    <row r="736" spans="1:14" x14ac:dyDescent="0.25">
      <c r="A736" s="353">
        <v>46282</v>
      </c>
      <c r="B736" s="116" t="s">
        <v>30</v>
      </c>
      <c r="C736" s="508" t="s">
        <v>13</v>
      </c>
      <c r="D736" s="39" t="s">
        <v>14</v>
      </c>
      <c r="E736" s="40" t="s">
        <v>131</v>
      </c>
      <c r="F736" s="489">
        <v>12168</v>
      </c>
      <c r="G736" s="28" t="s">
        <v>613</v>
      </c>
      <c r="H736" s="226"/>
      <c r="I736" s="497">
        <v>1</v>
      </c>
      <c r="J736" s="76" t="s">
        <v>130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555</v>
      </c>
    </row>
    <row r="737" spans="1:14" x14ac:dyDescent="0.25">
      <c r="A737" s="353">
        <v>46282</v>
      </c>
      <c r="B737" s="116" t="s">
        <v>30</v>
      </c>
      <c r="C737" s="508" t="s">
        <v>13</v>
      </c>
      <c r="D737" s="39" t="s">
        <v>14</v>
      </c>
      <c r="E737" s="40" t="s">
        <v>137</v>
      </c>
      <c r="F737" s="489">
        <v>12168</v>
      </c>
      <c r="G737" s="28" t="s">
        <v>613</v>
      </c>
      <c r="H737" s="226"/>
      <c r="I737" s="497">
        <v>1</v>
      </c>
      <c r="J737" s="76" t="s">
        <v>136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2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555</v>
      </c>
    </row>
    <row r="738" spans="1:14" x14ac:dyDescent="0.25">
      <c r="A738" s="353">
        <v>46282</v>
      </c>
      <c r="B738" s="116" t="s">
        <v>30</v>
      </c>
      <c r="C738" s="508" t="s">
        <v>13</v>
      </c>
      <c r="D738" s="39" t="s">
        <v>14</v>
      </c>
      <c r="E738" s="40" t="s">
        <v>139</v>
      </c>
      <c r="F738" s="489">
        <v>12168</v>
      </c>
      <c r="G738" s="28" t="s">
        <v>613</v>
      </c>
      <c r="H738" s="226"/>
      <c r="I738" s="497">
        <v>1</v>
      </c>
      <c r="J738" s="76" t="s">
        <v>138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2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555</v>
      </c>
    </row>
    <row r="739" spans="1:14" x14ac:dyDescent="0.25">
      <c r="A739" s="353"/>
      <c r="B739" s="116"/>
      <c r="C739" s="508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2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3">
        <v>46261</v>
      </c>
      <c r="B740" s="116" t="s">
        <v>30</v>
      </c>
      <c r="C740" s="508" t="s">
        <v>13</v>
      </c>
      <c r="D740" s="39" t="s">
        <v>14</v>
      </c>
      <c r="E740" s="40" t="s">
        <v>118</v>
      </c>
      <c r="F740" s="489">
        <v>15734.73</v>
      </c>
      <c r="G740" s="28" t="s">
        <v>613</v>
      </c>
      <c r="H740" s="226"/>
      <c r="I740" s="497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3">
        <v>46261</v>
      </c>
      <c r="B741" s="116" t="s">
        <v>30</v>
      </c>
      <c r="C741" s="508" t="s">
        <v>13</v>
      </c>
      <c r="D741" s="39" t="s">
        <v>14</v>
      </c>
      <c r="E741" s="40" t="s">
        <v>527</v>
      </c>
      <c r="F741" s="489">
        <v>15734.73</v>
      </c>
      <c r="G741" s="28" t="s">
        <v>613</v>
      </c>
      <c r="H741" s="226"/>
      <c r="I741" s="497">
        <v>1</v>
      </c>
      <c r="J741" s="76" t="s">
        <v>121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3">
        <v>46261</v>
      </c>
      <c r="B742" s="116" t="s">
        <v>30</v>
      </c>
      <c r="C742" s="508" t="s">
        <v>13</v>
      </c>
      <c r="D742" s="39" t="s">
        <v>14</v>
      </c>
      <c r="E742" s="40" t="s">
        <v>124</v>
      </c>
      <c r="F742" s="489">
        <v>15734.73</v>
      </c>
      <c r="G742" s="28" t="s">
        <v>613</v>
      </c>
      <c r="H742" s="226"/>
      <c r="I742" s="497">
        <v>1</v>
      </c>
      <c r="J742" s="76" t="s">
        <v>123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3">
        <v>46261</v>
      </c>
      <c r="B743" s="116" t="s">
        <v>30</v>
      </c>
      <c r="C743" s="508" t="s">
        <v>13</v>
      </c>
      <c r="D743" s="39" t="s">
        <v>14</v>
      </c>
      <c r="E743" s="40" t="s">
        <v>127</v>
      </c>
      <c r="F743" s="489">
        <v>15734.73</v>
      </c>
      <c r="G743" s="28" t="s">
        <v>613</v>
      </c>
      <c r="H743" s="226"/>
      <c r="I743" s="497">
        <v>1</v>
      </c>
      <c r="J743" s="76" t="s">
        <v>126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3">
        <v>46261</v>
      </c>
      <c r="B744" s="116" t="s">
        <v>30</v>
      </c>
      <c r="C744" s="508" t="s">
        <v>13</v>
      </c>
      <c r="D744" s="39" t="s">
        <v>14</v>
      </c>
      <c r="E744" s="40" t="s">
        <v>131</v>
      </c>
      <c r="F744" s="489">
        <v>15734.73</v>
      </c>
      <c r="G744" s="28" t="s">
        <v>613</v>
      </c>
      <c r="H744" s="226"/>
      <c r="I744" s="497">
        <v>1</v>
      </c>
      <c r="J744" s="76" t="s">
        <v>130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3">
        <v>46261</v>
      </c>
      <c r="B745" s="116" t="s">
        <v>30</v>
      </c>
      <c r="C745" s="508" t="s">
        <v>13</v>
      </c>
      <c r="D745" s="39" t="s">
        <v>14</v>
      </c>
      <c r="E745" s="40" t="s">
        <v>137</v>
      </c>
      <c r="F745" s="489">
        <v>15734.73</v>
      </c>
      <c r="G745" s="28" t="s">
        <v>613</v>
      </c>
      <c r="H745" s="226"/>
      <c r="I745" s="497">
        <v>1</v>
      </c>
      <c r="J745" s="76" t="s">
        <v>136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2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3">
        <v>46261</v>
      </c>
      <c r="B746" s="116" t="s">
        <v>30</v>
      </c>
      <c r="C746" s="508" t="s">
        <v>13</v>
      </c>
      <c r="D746" s="39" t="s">
        <v>14</v>
      </c>
      <c r="E746" s="40" t="s">
        <v>139</v>
      </c>
      <c r="F746" s="489">
        <v>15734.73</v>
      </c>
      <c r="G746" s="28" t="s">
        <v>613</v>
      </c>
      <c r="H746" s="226"/>
      <c r="I746" s="497">
        <v>1</v>
      </c>
      <c r="J746" s="76" t="s">
        <v>138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2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3"/>
      <c r="B747" s="116"/>
      <c r="C747" s="508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2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3">
        <v>46296</v>
      </c>
      <c r="B748" s="116" t="s">
        <v>30</v>
      </c>
      <c r="C748" s="508" t="s">
        <v>13</v>
      </c>
      <c r="D748" s="39" t="s">
        <v>14</v>
      </c>
      <c r="E748" s="40" t="s">
        <v>118</v>
      </c>
      <c r="F748" s="489">
        <v>22765</v>
      </c>
      <c r="G748" s="520" t="s">
        <v>614</v>
      </c>
      <c r="H748" s="226"/>
      <c r="I748" s="497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3">
        <v>46296</v>
      </c>
      <c r="B749" s="116" t="s">
        <v>30</v>
      </c>
      <c r="C749" s="508" t="s">
        <v>13</v>
      </c>
      <c r="D749" s="39" t="s">
        <v>14</v>
      </c>
      <c r="E749" s="40" t="s">
        <v>527</v>
      </c>
      <c r="F749" s="489">
        <v>22765</v>
      </c>
      <c r="G749" s="520" t="s">
        <v>614</v>
      </c>
      <c r="H749" s="226"/>
      <c r="I749" s="497">
        <v>1</v>
      </c>
      <c r="J749" s="76" t="s">
        <v>121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1">
        <v>46296</v>
      </c>
      <c r="B750" s="442" t="s">
        <v>30</v>
      </c>
      <c r="C750" s="518" t="s">
        <v>13</v>
      </c>
      <c r="D750" s="443" t="s">
        <v>14</v>
      </c>
      <c r="E750" s="440" t="s">
        <v>124</v>
      </c>
      <c r="F750" s="175">
        <v>22765</v>
      </c>
      <c r="G750" s="519" t="s">
        <v>614</v>
      </c>
      <c r="H750" s="444"/>
      <c r="I750" s="283">
        <v>1</v>
      </c>
      <c r="J750" s="283" t="s">
        <v>123</v>
      </c>
      <c r="K750" s="283" t="str">
        <f>IF(_xlfn.XLOOKUP($J750,Catalogo!$B$7:$B$210,Catalogo!$I$7:$I$210,"",0)=0,"",_xlfn.XLOOKUP($J750,Catalogo!$B$7:$B$210,Catalogo!$I$7:$I$210,"",0))</f>
        <v>SANIDAD Y ESPESORES</v>
      </c>
      <c r="L750" s="163"/>
      <c r="M750" s="445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3">
        <v>46296</v>
      </c>
      <c r="B751" s="116" t="s">
        <v>30</v>
      </c>
      <c r="C751" s="508" t="s">
        <v>13</v>
      </c>
      <c r="D751" s="39" t="s">
        <v>14</v>
      </c>
      <c r="E751" s="40" t="s">
        <v>127</v>
      </c>
      <c r="F751" s="489">
        <v>22765</v>
      </c>
      <c r="G751" s="520" t="s">
        <v>614</v>
      </c>
      <c r="H751" s="226"/>
      <c r="I751" s="497">
        <v>1</v>
      </c>
      <c r="J751" s="76" t="s">
        <v>126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1">
        <v>46296</v>
      </c>
      <c r="B752" s="442" t="s">
        <v>30</v>
      </c>
      <c r="C752" s="518" t="s">
        <v>13</v>
      </c>
      <c r="D752" s="443" t="s">
        <v>14</v>
      </c>
      <c r="E752" s="440" t="s">
        <v>131</v>
      </c>
      <c r="F752" s="175">
        <v>22765</v>
      </c>
      <c r="G752" s="519" t="s">
        <v>614</v>
      </c>
      <c r="H752" s="444"/>
      <c r="I752" s="283">
        <v>1</v>
      </c>
      <c r="J752" s="283" t="s">
        <v>130</v>
      </c>
      <c r="K752" s="283" t="str">
        <f>IF(_xlfn.XLOOKUP($J752,Catalogo!$B$7:$B$210,Catalogo!$I$7:$I$210,"",0)=0,"",_xlfn.XLOOKUP($J752,Catalogo!$B$7:$B$210,Catalogo!$I$7:$I$210,"",0))</f>
        <v>UT RECTO</v>
      </c>
      <c r="L752" s="163"/>
      <c r="M752" s="445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3">
        <v>46296</v>
      </c>
      <c r="B753" s="116" t="s">
        <v>30</v>
      </c>
      <c r="C753" s="508" t="s">
        <v>13</v>
      </c>
      <c r="D753" s="39" t="s">
        <v>14</v>
      </c>
      <c r="E753" s="40" t="s">
        <v>137</v>
      </c>
      <c r="F753" s="489">
        <v>22765</v>
      </c>
      <c r="G753" s="520" t="s">
        <v>614</v>
      </c>
      <c r="H753" s="226"/>
      <c r="I753" s="497">
        <v>1</v>
      </c>
      <c r="J753" s="76" t="s">
        <v>136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3">
        <v>46296</v>
      </c>
      <c r="B754" s="116" t="s">
        <v>30</v>
      </c>
      <c r="C754" s="508" t="s">
        <v>13</v>
      </c>
      <c r="D754" s="39" t="s">
        <v>14</v>
      </c>
      <c r="E754" s="40" t="s">
        <v>139</v>
      </c>
      <c r="F754" s="489">
        <v>22765</v>
      </c>
      <c r="G754" s="520" t="s">
        <v>614</v>
      </c>
      <c r="H754" s="226"/>
      <c r="I754" s="497">
        <v>1</v>
      </c>
      <c r="J754" s="76" t="s">
        <v>138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3"/>
      <c r="B755" s="116"/>
      <c r="C755" s="508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2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1">
        <v>46315</v>
      </c>
      <c r="B756" s="116" t="s">
        <v>30</v>
      </c>
      <c r="C756" s="508" t="s">
        <v>13</v>
      </c>
      <c r="D756" s="39" t="s">
        <v>14</v>
      </c>
      <c r="E756" s="40" t="s">
        <v>118</v>
      </c>
      <c r="F756" s="204">
        <v>28512</v>
      </c>
      <c r="G756" s="28"/>
      <c r="H756" s="226"/>
      <c r="I756" s="283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1">
        <v>46315</v>
      </c>
      <c r="B757" s="116" t="s">
        <v>30</v>
      </c>
      <c r="C757" s="508" t="s">
        <v>13</v>
      </c>
      <c r="D757" s="39" t="s">
        <v>14</v>
      </c>
      <c r="E757" s="40" t="s">
        <v>527</v>
      </c>
      <c r="F757" s="204">
        <v>28512</v>
      </c>
      <c r="G757" s="28"/>
      <c r="H757" s="226"/>
      <c r="I757" s="283"/>
      <c r="J757" s="76" t="s">
        <v>121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1">
        <v>46315</v>
      </c>
      <c r="B758" s="116" t="s">
        <v>30</v>
      </c>
      <c r="C758" s="508" t="s">
        <v>13</v>
      </c>
      <c r="D758" s="39" t="s">
        <v>14</v>
      </c>
      <c r="E758" s="40" t="s">
        <v>124</v>
      </c>
      <c r="F758" s="204">
        <v>28512</v>
      </c>
      <c r="G758" s="28"/>
      <c r="H758" s="226"/>
      <c r="I758" s="283"/>
      <c r="J758" s="76" t="s">
        <v>123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1">
        <v>46315</v>
      </c>
      <c r="B759" s="116" t="s">
        <v>30</v>
      </c>
      <c r="C759" s="508" t="s">
        <v>13</v>
      </c>
      <c r="D759" s="39" t="s">
        <v>14</v>
      </c>
      <c r="E759" s="40" t="s">
        <v>127</v>
      </c>
      <c r="F759" s="204">
        <v>28512</v>
      </c>
      <c r="G759" s="28"/>
      <c r="H759" s="226"/>
      <c r="I759" s="283"/>
      <c r="J759" s="76" t="s">
        <v>126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1">
        <v>46315</v>
      </c>
      <c r="B760" s="116" t="s">
        <v>30</v>
      </c>
      <c r="C760" s="508" t="s">
        <v>13</v>
      </c>
      <c r="D760" s="39" t="s">
        <v>14</v>
      </c>
      <c r="E760" s="40" t="s">
        <v>131</v>
      </c>
      <c r="F760" s="204">
        <v>28512</v>
      </c>
      <c r="G760" s="28"/>
      <c r="H760" s="226"/>
      <c r="I760" s="283"/>
      <c r="J760" s="76" t="s">
        <v>130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1">
        <v>46315</v>
      </c>
      <c r="B761" s="116" t="s">
        <v>30</v>
      </c>
      <c r="C761" s="508" t="s">
        <v>13</v>
      </c>
      <c r="D761" s="39" t="s">
        <v>14</v>
      </c>
      <c r="E761" s="40" t="s">
        <v>137</v>
      </c>
      <c r="F761" s="204">
        <v>28512</v>
      </c>
      <c r="G761" s="28"/>
      <c r="H761" s="226"/>
      <c r="I761" s="283"/>
      <c r="J761" s="76" t="s">
        <v>136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1">
        <v>46315</v>
      </c>
      <c r="B762" s="116" t="s">
        <v>30</v>
      </c>
      <c r="C762" s="508" t="s">
        <v>13</v>
      </c>
      <c r="D762" s="39" t="s">
        <v>14</v>
      </c>
      <c r="E762" s="40" t="s">
        <v>139</v>
      </c>
      <c r="F762" s="204">
        <v>28512</v>
      </c>
      <c r="G762" s="28"/>
      <c r="H762" s="226"/>
      <c r="I762" s="283"/>
      <c r="J762" s="76" t="s">
        <v>138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3"/>
      <c r="B763" s="116"/>
      <c r="C763" s="508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2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3">
        <v>46308</v>
      </c>
      <c r="B764" s="116" t="s">
        <v>30</v>
      </c>
      <c r="C764" s="508" t="s">
        <v>13</v>
      </c>
      <c r="D764" s="39" t="s">
        <v>14</v>
      </c>
      <c r="E764" s="40" t="s">
        <v>118</v>
      </c>
      <c r="F764" s="489">
        <v>28591</v>
      </c>
      <c r="G764" s="28" t="s">
        <v>613</v>
      </c>
      <c r="H764" s="226"/>
      <c r="I764" s="497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3">
        <v>46308</v>
      </c>
      <c r="B765" s="116" t="s">
        <v>30</v>
      </c>
      <c r="C765" s="508" t="s">
        <v>13</v>
      </c>
      <c r="D765" s="39" t="s">
        <v>14</v>
      </c>
      <c r="E765" s="40" t="s">
        <v>527</v>
      </c>
      <c r="F765" s="489">
        <v>28591</v>
      </c>
      <c r="G765" s="28" t="s">
        <v>613</v>
      </c>
      <c r="H765" s="226"/>
      <c r="I765" s="497">
        <v>1</v>
      </c>
      <c r="J765" s="76" t="s">
        <v>121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3">
        <v>46308</v>
      </c>
      <c r="B766" s="116" t="s">
        <v>30</v>
      </c>
      <c r="C766" s="508" t="s">
        <v>13</v>
      </c>
      <c r="D766" s="39" t="s">
        <v>14</v>
      </c>
      <c r="E766" s="40" t="s">
        <v>124</v>
      </c>
      <c r="F766" s="489">
        <v>28591</v>
      </c>
      <c r="G766" s="28" t="s">
        <v>613</v>
      </c>
      <c r="H766" s="226"/>
      <c r="I766" s="497">
        <v>1</v>
      </c>
      <c r="J766" s="76" t="s">
        <v>123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3">
        <v>46308</v>
      </c>
      <c r="B767" s="116" t="s">
        <v>30</v>
      </c>
      <c r="C767" s="508" t="s">
        <v>13</v>
      </c>
      <c r="D767" s="39" t="s">
        <v>14</v>
      </c>
      <c r="E767" s="40" t="s">
        <v>127</v>
      </c>
      <c r="F767" s="489">
        <v>28591</v>
      </c>
      <c r="G767" s="28" t="s">
        <v>613</v>
      </c>
      <c r="H767" s="226"/>
      <c r="I767" s="497">
        <v>1</v>
      </c>
      <c r="J767" s="76" t="s">
        <v>126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3">
        <v>46308</v>
      </c>
      <c r="B768" s="116" t="s">
        <v>30</v>
      </c>
      <c r="C768" s="508" t="s">
        <v>13</v>
      </c>
      <c r="D768" s="39" t="s">
        <v>14</v>
      </c>
      <c r="E768" s="40" t="s">
        <v>131</v>
      </c>
      <c r="F768" s="489">
        <v>28591</v>
      </c>
      <c r="G768" s="28" t="s">
        <v>613</v>
      </c>
      <c r="H768" s="226"/>
      <c r="I768" s="497">
        <v>1</v>
      </c>
      <c r="J768" s="76" t="s">
        <v>130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3">
        <v>46308</v>
      </c>
      <c r="B769" s="116" t="s">
        <v>30</v>
      </c>
      <c r="C769" s="508" t="s">
        <v>13</v>
      </c>
      <c r="D769" s="39" t="s">
        <v>14</v>
      </c>
      <c r="E769" s="40" t="s">
        <v>137</v>
      </c>
      <c r="F769" s="489">
        <v>28591</v>
      </c>
      <c r="G769" s="28" t="s">
        <v>613</v>
      </c>
      <c r="H769" s="226"/>
      <c r="I769" s="497">
        <v>1</v>
      </c>
      <c r="J769" s="76" t="s">
        <v>136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3">
        <v>46308</v>
      </c>
      <c r="B770" s="116" t="s">
        <v>30</v>
      </c>
      <c r="C770" s="508" t="s">
        <v>13</v>
      </c>
      <c r="D770" s="39" t="s">
        <v>14</v>
      </c>
      <c r="E770" s="40" t="s">
        <v>139</v>
      </c>
      <c r="F770" s="489">
        <v>28591</v>
      </c>
      <c r="G770" s="28" t="s">
        <v>613</v>
      </c>
      <c r="H770" s="226"/>
      <c r="I770" s="497">
        <v>1</v>
      </c>
      <c r="J770" s="76" t="s">
        <v>138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3"/>
      <c r="B771" s="116"/>
      <c r="C771" s="508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2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3">
        <v>46307</v>
      </c>
      <c r="B772" s="116" t="s">
        <v>30</v>
      </c>
      <c r="C772" s="508" t="s">
        <v>13</v>
      </c>
      <c r="D772" s="39" t="s">
        <v>50</v>
      </c>
      <c r="E772" s="40" t="s">
        <v>118</v>
      </c>
      <c r="F772" s="489">
        <v>5713.29</v>
      </c>
      <c r="G772" s="28" t="s">
        <v>613</v>
      </c>
      <c r="H772" s="226"/>
      <c r="I772" s="497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3">
        <v>46307</v>
      </c>
      <c r="B773" s="116" t="s">
        <v>30</v>
      </c>
      <c r="C773" s="508" t="s">
        <v>13</v>
      </c>
      <c r="D773" s="39" t="s">
        <v>50</v>
      </c>
      <c r="E773" s="40" t="s">
        <v>527</v>
      </c>
      <c r="F773" s="489">
        <v>5713.29</v>
      </c>
      <c r="G773" s="28" t="s">
        <v>613</v>
      </c>
      <c r="H773" s="226"/>
      <c r="I773" s="497">
        <v>1</v>
      </c>
      <c r="J773" s="76" t="s">
        <v>121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3">
        <v>46307</v>
      </c>
      <c r="B774" s="116" t="s">
        <v>30</v>
      </c>
      <c r="C774" s="508" t="s">
        <v>13</v>
      </c>
      <c r="D774" s="39" t="s">
        <v>50</v>
      </c>
      <c r="E774" s="40" t="s">
        <v>124</v>
      </c>
      <c r="F774" s="489">
        <v>5713.29</v>
      </c>
      <c r="G774" s="28" t="s">
        <v>613</v>
      </c>
      <c r="H774" s="226"/>
      <c r="I774" s="497">
        <v>1</v>
      </c>
      <c r="J774" s="76" t="s">
        <v>123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3">
        <v>46307</v>
      </c>
      <c r="B775" s="116" t="s">
        <v>30</v>
      </c>
      <c r="C775" s="508" t="s">
        <v>13</v>
      </c>
      <c r="D775" s="39" t="s">
        <v>50</v>
      </c>
      <c r="E775" s="40" t="s">
        <v>127</v>
      </c>
      <c r="F775" s="489">
        <v>5713.29</v>
      </c>
      <c r="G775" s="28" t="s">
        <v>613</v>
      </c>
      <c r="H775" s="226"/>
      <c r="I775" s="497">
        <v>1</v>
      </c>
      <c r="J775" s="76" t="s">
        <v>126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3">
        <v>46307</v>
      </c>
      <c r="B776" s="116" t="s">
        <v>30</v>
      </c>
      <c r="C776" s="508" t="s">
        <v>13</v>
      </c>
      <c r="D776" s="39" t="s">
        <v>50</v>
      </c>
      <c r="E776" s="40" t="s">
        <v>131</v>
      </c>
      <c r="F776" s="489">
        <v>5713.29</v>
      </c>
      <c r="G776" s="28" t="s">
        <v>613</v>
      </c>
      <c r="H776" s="226"/>
      <c r="I776" s="497">
        <v>1</v>
      </c>
      <c r="J776" s="76" t="s">
        <v>130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3">
        <v>46307</v>
      </c>
      <c r="B777" s="116" t="s">
        <v>30</v>
      </c>
      <c r="C777" s="508" t="s">
        <v>13</v>
      </c>
      <c r="D777" s="39" t="s">
        <v>50</v>
      </c>
      <c r="E777" s="40" t="s">
        <v>137</v>
      </c>
      <c r="F777" s="489">
        <v>5713.29</v>
      </c>
      <c r="G777" s="28" t="s">
        <v>613</v>
      </c>
      <c r="H777" s="226"/>
      <c r="I777" s="497">
        <v>1</v>
      </c>
      <c r="J777" s="76" t="s">
        <v>136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3">
        <v>46307</v>
      </c>
      <c r="B778" s="116" t="s">
        <v>30</v>
      </c>
      <c r="C778" s="508" t="s">
        <v>13</v>
      </c>
      <c r="D778" s="39" t="s">
        <v>50</v>
      </c>
      <c r="E778" s="40" t="s">
        <v>139</v>
      </c>
      <c r="F778" s="489">
        <v>5713.29</v>
      </c>
      <c r="G778" s="28" t="s">
        <v>613</v>
      </c>
      <c r="H778" s="226"/>
      <c r="I778" s="497">
        <v>1</v>
      </c>
      <c r="J778" s="76" t="s">
        <v>138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3"/>
      <c r="B779" s="116"/>
      <c r="C779" s="508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2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3">
        <v>46294</v>
      </c>
      <c r="B780" s="116" t="s">
        <v>30</v>
      </c>
      <c r="C780" s="508" t="s">
        <v>13</v>
      </c>
      <c r="D780" s="39" t="s">
        <v>65</v>
      </c>
      <c r="E780" s="40" t="s">
        <v>118</v>
      </c>
      <c r="F780" s="489">
        <v>9632</v>
      </c>
      <c r="G780" s="28" t="s">
        <v>613</v>
      </c>
      <c r="H780" s="226"/>
      <c r="I780" s="497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3">
        <v>46294</v>
      </c>
      <c r="B781" s="116" t="s">
        <v>30</v>
      </c>
      <c r="C781" s="508" t="s">
        <v>13</v>
      </c>
      <c r="D781" s="39" t="s">
        <v>65</v>
      </c>
      <c r="E781" s="40" t="s">
        <v>527</v>
      </c>
      <c r="F781" s="489">
        <v>9632</v>
      </c>
      <c r="G781" s="28" t="s">
        <v>613</v>
      </c>
      <c r="H781" s="226"/>
      <c r="I781" s="497">
        <v>1</v>
      </c>
      <c r="J781" s="76" t="s">
        <v>121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3">
        <v>46294</v>
      </c>
      <c r="B782" s="116" t="s">
        <v>30</v>
      </c>
      <c r="C782" s="508" t="s">
        <v>13</v>
      </c>
      <c r="D782" s="39" t="s">
        <v>65</v>
      </c>
      <c r="E782" s="40" t="s">
        <v>124</v>
      </c>
      <c r="F782" s="489">
        <v>9632</v>
      </c>
      <c r="G782" s="28" t="s">
        <v>613</v>
      </c>
      <c r="H782" s="226"/>
      <c r="I782" s="497">
        <v>1</v>
      </c>
      <c r="J782" s="76" t="s">
        <v>123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3">
        <v>46294</v>
      </c>
      <c r="B783" s="116" t="s">
        <v>30</v>
      </c>
      <c r="C783" s="508" t="s">
        <v>13</v>
      </c>
      <c r="D783" s="39" t="s">
        <v>65</v>
      </c>
      <c r="E783" s="40" t="s">
        <v>127</v>
      </c>
      <c r="F783" s="489">
        <v>9632</v>
      </c>
      <c r="G783" s="28" t="s">
        <v>613</v>
      </c>
      <c r="H783" s="226"/>
      <c r="I783" s="497">
        <v>1</v>
      </c>
      <c r="J783" s="76" t="s">
        <v>126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3">
        <v>46294</v>
      </c>
      <c r="B784" s="116" t="s">
        <v>30</v>
      </c>
      <c r="C784" s="508" t="s">
        <v>13</v>
      </c>
      <c r="D784" s="39" t="s">
        <v>65</v>
      </c>
      <c r="E784" s="40" t="s">
        <v>131</v>
      </c>
      <c r="F784" s="489">
        <v>9632</v>
      </c>
      <c r="G784" s="28" t="s">
        <v>613</v>
      </c>
      <c r="H784" s="226"/>
      <c r="I784" s="497">
        <v>1</v>
      </c>
      <c r="J784" s="76" t="s">
        <v>130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3">
        <v>46294</v>
      </c>
      <c r="B785" s="116" t="s">
        <v>30</v>
      </c>
      <c r="C785" s="508" t="s">
        <v>13</v>
      </c>
      <c r="D785" s="39" t="s">
        <v>65</v>
      </c>
      <c r="E785" s="40" t="s">
        <v>137</v>
      </c>
      <c r="F785" s="489">
        <v>9632</v>
      </c>
      <c r="G785" s="28" t="s">
        <v>613</v>
      </c>
      <c r="H785" s="226"/>
      <c r="I785" s="497">
        <v>1</v>
      </c>
      <c r="J785" s="76" t="s">
        <v>136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3">
        <v>46294</v>
      </c>
      <c r="B786" s="116" t="s">
        <v>30</v>
      </c>
      <c r="C786" s="508" t="s">
        <v>13</v>
      </c>
      <c r="D786" s="39" t="s">
        <v>65</v>
      </c>
      <c r="E786" s="40" t="s">
        <v>139</v>
      </c>
      <c r="F786" s="489">
        <v>9632</v>
      </c>
      <c r="G786" s="28" t="s">
        <v>613</v>
      </c>
      <c r="H786" s="226"/>
      <c r="I786" s="497">
        <v>1</v>
      </c>
      <c r="J786" s="76" t="s">
        <v>138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3"/>
      <c r="B787" s="116"/>
      <c r="C787" s="508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2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3">
        <v>46274</v>
      </c>
      <c r="B788" s="116" t="s">
        <v>30</v>
      </c>
      <c r="C788" s="508" t="s">
        <v>13</v>
      </c>
      <c r="D788" s="39" t="s">
        <v>71</v>
      </c>
      <c r="E788" s="40" t="s">
        <v>118</v>
      </c>
      <c r="F788" s="489">
        <v>7</v>
      </c>
      <c r="G788" s="28" t="s">
        <v>613</v>
      </c>
      <c r="H788" s="226"/>
      <c r="I788" s="497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3">
        <v>46274</v>
      </c>
      <c r="B789" s="116" t="s">
        <v>30</v>
      </c>
      <c r="C789" s="508" t="s">
        <v>13</v>
      </c>
      <c r="D789" s="39" t="s">
        <v>71</v>
      </c>
      <c r="E789" s="40" t="s">
        <v>527</v>
      </c>
      <c r="F789" s="489">
        <v>7</v>
      </c>
      <c r="G789" s="28" t="s">
        <v>613</v>
      </c>
      <c r="H789" s="226"/>
      <c r="I789" s="497">
        <v>1</v>
      </c>
      <c r="J789" s="76" t="s">
        <v>121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3">
        <v>46274</v>
      </c>
      <c r="B790" s="116" t="s">
        <v>30</v>
      </c>
      <c r="C790" s="508" t="s">
        <v>13</v>
      </c>
      <c r="D790" s="39" t="s">
        <v>71</v>
      </c>
      <c r="E790" s="40" t="s">
        <v>124</v>
      </c>
      <c r="F790" s="489">
        <v>7</v>
      </c>
      <c r="G790" s="28" t="s">
        <v>613</v>
      </c>
      <c r="H790" s="226"/>
      <c r="I790" s="497">
        <v>1</v>
      </c>
      <c r="J790" s="76" t="s">
        <v>123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3">
        <v>46274</v>
      </c>
      <c r="B791" s="116" t="s">
        <v>30</v>
      </c>
      <c r="C791" s="508" t="s">
        <v>13</v>
      </c>
      <c r="D791" s="39" t="s">
        <v>71</v>
      </c>
      <c r="E791" s="40" t="s">
        <v>127</v>
      </c>
      <c r="F791" s="489">
        <v>7</v>
      </c>
      <c r="G791" s="28" t="s">
        <v>613</v>
      </c>
      <c r="H791" s="226"/>
      <c r="I791" s="497">
        <v>1</v>
      </c>
      <c r="J791" s="76" t="s">
        <v>126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3">
        <v>46274</v>
      </c>
      <c r="B792" s="116" t="s">
        <v>30</v>
      </c>
      <c r="C792" s="508" t="s">
        <v>13</v>
      </c>
      <c r="D792" s="39" t="s">
        <v>71</v>
      </c>
      <c r="E792" s="40" t="s">
        <v>131</v>
      </c>
      <c r="F792" s="489">
        <v>7</v>
      </c>
      <c r="G792" s="28" t="s">
        <v>613</v>
      </c>
      <c r="H792" s="226"/>
      <c r="I792" s="497">
        <v>1</v>
      </c>
      <c r="J792" s="76" t="s">
        <v>130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3">
        <v>46274</v>
      </c>
      <c r="B793" s="116" t="s">
        <v>30</v>
      </c>
      <c r="C793" s="508" t="s">
        <v>13</v>
      </c>
      <c r="D793" s="39" t="s">
        <v>71</v>
      </c>
      <c r="E793" s="40" t="s">
        <v>135</v>
      </c>
      <c r="F793" s="489">
        <v>7</v>
      </c>
      <c r="G793" s="28" t="s">
        <v>613</v>
      </c>
      <c r="H793" s="226"/>
      <c r="I793" s="497">
        <v>1</v>
      </c>
      <c r="J793" s="76" t="s">
        <v>134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3">
        <v>46274</v>
      </c>
      <c r="B794" s="116" t="s">
        <v>30</v>
      </c>
      <c r="C794" s="508" t="s">
        <v>13</v>
      </c>
      <c r="D794" s="39" t="s">
        <v>71</v>
      </c>
      <c r="E794" s="40" t="s">
        <v>137</v>
      </c>
      <c r="F794" s="489">
        <v>7</v>
      </c>
      <c r="G794" s="28" t="s">
        <v>613</v>
      </c>
      <c r="H794" s="226"/>
      <c r="I794" s="497">
        <v>1</v>
      </c>
      <c r="J794" s="76" t="s">
        <v>136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2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3">
        <v>46274</v>
      </c>
      <c r="B795" s="116" t="s">
        <v>30</v>
      </c>
      <c r="C795" s="508" t="s">
        <v>13</v>
      </c>
      <c r="D795" s="39" t="s">
        <v>71</v>
      </c>
      <c r="E795" s="40" t="s">
        <v>139</v>
      </c>
      <c r="F795" s="489">
        <v>7</v>
      </c>
      <c r="G795" s="28" t="s">
        <v>613</v>
      </c>
      <c r="H795" s="226"/>
      <c r="I795" s="497">
        <v>1</v>
      </c>
      <c r="J795" s="76" t="s">
        <v>138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2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3"/>
      <c r="B796" s="116"/>
      <c r="C796" s="508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2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3">
        <v>46297</v>
      </c>
      <c r="B797" s="116" t="s">
        <v>30</v>
      </c>
      <c r="C797" s="508" t="s">
        <v>13</v>
      </c>
      <c r="D797" s="39" t="s">
        <v>46</v>
      </c>
      <c r="E797" s="40" t="s">
        <v>118</v>
      </c>
      <c r="F797" s="489">
        <v>271</v>
      </c>
      <c r="G797" s="28" t="s">
        <v>613</v>
      </c>
      <c r="H797" s="226"/>
      <c r="I797" s="497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3">
        <v>46297</v>
      </c>
      <c r="B798" s="116" t="s">
        <v>30</v>
      </c>
      <c r="C798" s="508" t="s">
        <v>13</v>
      </c>
      <c r="D798" s="39" t="s">
        <v>46</v>
      </c>
      <c r="E798" s="40" t="s">
        <v>527</v>
      </c>
      <c r="F798" s="489">
        <v>271</v>
      </c>
      <c r="G798" s="28" t="s">
        <v>613</v>
      </c>
      <c r="H798" s="226"/>
      <c r="I798" s="497">
        <v>1</v>
      </c>
      <c r="J798" s="76" t="s">
        <v>121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3">
        <v>46297</v>
      </c>
      <c r="B799" s="116" t="s">
        <v>30</v>
      </c>
      <c r="C799" s="508" t="s">
        <v>13</v>
      </c>
      <c r="D799" s="39" t="s">
        <v>46</v>
      </c>
      <c r="E799" s="40" t="s">
        <v>124</v>
      </c>
      <c r="F799" s="489">
        <v>271</v>
      </c>
      <c r="G799" s="28" t="s">
        <v>613</v>
      </c>
      <c r="H799" s="226"/>
      <c r="I799" s="497">
        <v>1</v>
      </c>
      <c r="J799" s="76" t="s">
        <v>123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3">
        <v>46297</v>
      </c>
      <c r="B800" s="116" t="s">
        <v>30</v>
      </c>
      <c r="C800" s="508" t="s">
        <v>13</v>
      </c>
      <c r="D800" s="39" t="s">
        <v>46</v>
      </c>
      <c r="E800" s="40" t="s">
        <v>127</v>
      </c>
      <c r="F800" s="489">
        <v>271</v>
      </c>
      <c r="G800" s="28" t="s">
        <v>613</v>
      </c>
      <c r="H800" s="226"/>
      <c r="I800" s="497">
        <v>1</v>
      </c>
      <c r="J800" s="76" t="s">
        <v>126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3">
        <v>46297</v>
      </c>
      <c r="B801" s="116" t="s">
        <v>30</v>
      </c>
      <c r="C801" s="508" t="s">
        <v>13</v>
      </c>
      <c r="D801" s="39" t="s">
        <v>46</v>
      </c>
      <c r="E801" s="40" t="s">
        <v>131</v>
      </c>
      <c r="F801" s="489">
        <v>271</v>
      </c>
      <c r="G801" s="28" t="s">
        <v>613</v>
      </c>
      <c r="H801" s="226"/>
      <c r="I801" s="497">
        <v>1</v>
      </c>
      <c r="J801" s="76" t="s">
        <v>130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3">
        <v>46297</v>
      </c>
      <c r="B802" s="116" t="s">
        <v>30</v>
      </c>
      <c r="C802" s="508" t="s">
        <v>13</v>
      </c>
      <c r="D802" s="39" t="s">
        <v>46</v>
      </c>
      <c r="E802" s="40" t="s">
        <v>137</v>
      </c>
      <c r="F802" s="489">
        <v>271</v>
      </c>
      <c r="G802" s="28" t="s">
        <v>613</v>
      </c>
      <c r="H802" s="226"/>
      <c r="I802" s="497">
        <v>1</v>
      </c>
      <c r="J802" s="76" t="s">
        <v>136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2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3">
        <v>46297</v>
      </c>
      <c r="B803" s="116" t="s">
        <v>30</v>
      </c>
      <c r="C803" s="508" t="s">
        <v>13</v>
      </c>
      <c r="D803" s="39" t="s">
        <v>46</v>
      </c>
      <c r="E803" s="40" t="s">
        <v>139</v>
      </c>
      <c r="F803" s="489">
        <v>271</v>
      </c>
      <c r="G803" s="28" t="s">
        <v>613</v>
      </c>
      <c r="H803" s="226"/>
      <c r="I803" s="497">
        <v>1</v>
      </c>
      <c r="J803" s="76" t="s">
        <v>138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2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3"/>
      <c r="B804" s="116"/>
      <c r="C804" s="508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2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3">
        <v>46282</v>
      </c>
      <c r="B805" s="116" t="s">
        <v>30</v>
      </c>
      <c r="C805" s="508" t="s">
        <v>13</v>
      </c>
      <c r="D805" s="39" t="s">
        <v>38</v>
      </c>
      <c r="E805" s="40" t="s">
        <v>118</v>
      </c>
      <c r="F805" s="489">
        <v>517</v>
      </c>
      <c r="G805" s="28" t="s">
        <v>613</v>
      </c>
      <c r="H805" s="226"/>
      <c r="I805" s="497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3">
        <v>46282</v>
      </c>
      <c r="B806" s="116" t="s">
        <v>30</v>
      </c>
      <c r="C806" s="508" t="s">
        <v>13</v>
      </c>
      <c r="D806" s="39" t="s">
        <v>38</v>
      </c>
      <c r="E806" s="40" t="s">
        <v>527</v>
      </c>
      <c r="F806" s="489">
        <v>517</v>
      </c>
      <c r="G806" s="28" t="s">
        <v>613</v>
      </c>
      <c r="H806" s="226"/>
      <c r="I806" s="497">
        <v>1</v>
      </c>
      <c r="J806" s="76" t="s">
        <v>121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3">
        <v>46282</v>
      </c>
      <c r="B807" s="116" t="s">
        <v>30</v>
      </c>
      <c r="C807" s="508" t="s">
        <v>13</v>
      </c>
      <c r="D807" s="39" t="s">
        <v>38</v>
      </c>
      <c r="E807" s="40" t="s">
        <v>124</v>
      </c>
      <c r="F807" s="489">
        <v>517</v>
      </c>
      <c r="G807" s="28" t="s">
        <v>613</v>
      </c>
      <c r="H807" s="226"/>
      <c r="I807" s="497">
        <v>1</v>
      </c>
      <c r="J807" s="76" t="s">
        <v>123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3">
        <v>46282</v>
      </c>
      <c r="B808" s="116" t="s">
        <v>30</v>
      </c>
      <c r="C808" s="508" t="s">
        <v>13</v>
      </c>
      <c r="D808" s="39" t="s">
        <v>38</v>
      </c>
      <c r="E808" s="40" t="s">
        <v>127</v>
      </c>
      <c r="F808" s="489">
        <v>517</v>
      </c>
      <c r="G808" s="28" t="s">
        <v>613</v>
      </c>
      <c r="H808" s="226"/>
      <c r="I808" s="497">
        <v>1</v>
      </c>
      <c r="J808" s="76" t="s">
        <v>126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3">
        <v>46282</v>
      </c>
      <c r="B809" s="116" t="s">
        <v>30</v>
      </c>
      <c r="C809" s="508" t="s">
        <v>13</v>
      </c>
      <c r="D809" s="39" t="s">
        <v>38</v>
      </c>
      <c r="E809" s="40" t="s">
        <v>131</v>
      </c>
      <c r="F809" s="489">
        <v>517</v>
      </c>
      <c r="G809" s="28" t="s">
        <v>613</v>
      </c>
      <c r="H809" s="226"/>
      <c r="I809" s="497">
        <v>1</v>
      </c>
      <c r="J809" s="76" t="s">
        <v>130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3">
        <v>46282</v>
      </c>
      <c r="B810" s="116" t="s">
        <v>30</v>
      </c>
      <c r="C810" s="508" t="s">
        <v>13</v>
      </c>
      <c r="D810" s="39" t="s">
        <v>38</v>
      </c>
      <c r="E810" s="40" t="s">
        <v>137</v>
      </c>
      <c r="F810" s="489">
        <v>517</v>
      </c>
      <c r="G810" s="28" t="s">
        <v>613</v>
      </c>
      <c r="H810" s="226"/>
      <c r="I810" s="497">
        <v>1</v>
      </c>
      <c r="J810" s="76" t="s">
        <v>136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3">
        <v>46282</v>
      </c>
      <c r="B811" s="116" t="s">
        <v>30</v>
      </c>
      <c r="C811" s="508" t="s">
        <v>13</v>
      </c>
      <c r="D811" s="39" t="s">
        <v>38</v>
      </c>
      <c r="E811" s="40" t="s">
        <v>139</v>
      </c>
      <c r="F811" s="489">
        <v>517</v>
      </c>
      <c r="G811" s="28" t="s">
        <v>613</v>
      </c>
      <c r="H811" s="226"/>
      <c r="I811" s="497">
        <v>1</v>
      </c>
      <c r="J811" s="76" t="s">
        <v>138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3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2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3">
        <v>46269</v>
      </c>
      <c r="B813" s="116" t="s">
        <v>30</v>
      </c>
      <c r="C813" s="509" t="s">
        <v>22</v>
      </c>
      <c r="D813" s="39" t="s">
        <v>35</v>
      </c>
      <c r="E813" s="40" t="s">
        <v>118</v>
      </c>
      <c r="F813" s="489">
        <v>1182</v>
      </c>
      <c r="G813" s="28" t="s">
        <v>613</v>
      </c>
      <c r="H813" s="226"/>
      <c r="I813" s="497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3">
        <v>46269</v>
      </c>
      <c r="B814" s="116" t="s">
        <v>30</v>
      </c>
      <c r="C814" s="509" t="s">
        <v>22</v>
      </c>
      <c r="D814" s="39" t="s">
        <v>35</v>
      </c>
      <c r="E814" s="40" t="s">
        <v>527</v>
      </c>
      <c r="F814" s="489">
        <v>1182</v>
      </c>
      <c r="G814" s="28" t="s">
        <v>613</v>
      </c>
      <c r="H814" s="226"/>
      <c r="I814" s="497">
        <v>1</v>
      </c>
      <c r="J814" s="76" t="s">
        <v>121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3">
        <v>46269</v>
      </c>
      <c r="B815" s="116" t="s">
        <v>30</v>
      </c>
      <c r="C815" s="509" t="s">
        <v>22</v>
      </c>
      <c r="D815" s="39" t="s">
        <v>35</v>
      </c>
      <c r="E815" s="40" t="s">
        <v>124</v>
      </c>
      <c r="F815" s="489">
        <v>1182</v>
      </c>
      <c r="G815" s="28" t="s">
        <v>613</v>
      </c>
      <c r="H815" s="226"/>
      <c r="I815" s="497">
        <v>1</v>
      </c>
      <c r="J815" s="76" t="s">
        <v>123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3">
        <v>46269</v>
      </c>
      <c r="B816" s="116" t="s">
        <v>30</v>
      </c>
      <c r="C816" s="509" t="s">
        <v>22</v>
      </c>
      <c r="D816" s="39" t="s">
        <v>35</v>
      </c>
      <c r="E816" s="40" t="s">
        <v>127</v>
      </c>
      <c r="F816" s="489">
        <v>1182</v>
      </c>
      <c r="G816" s="28" t="s">
        <v>613</v>
      </c>
      <c r="H816" s="226"/>
      <c r="I816" s="497">
        <v>1</v>
      </c>
      <c r="J816" s="76" t="s">
        <v>126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3">
        <v>46269</v>
      </c>
      <c r="B817" s="116" t="s">
        <v>30</v>
      </c>
      <c r="C817" s="509" t="s">
        <v>22</v>
      </c>
      <c r="D817" s="39" t="s">
        <v>35</v>
      </c>
      <c r="E817" s="40" t="s">
        <v>129</v>
      </c>
      <c r="F817" s="489">
        <v>1182</v>
      </c>
      <c r="G817" s="28" t="s">
        <v>613</v>
      </c>
      <c r="H817" s="226"/>
      <c r="I817" s="497">
        <v>1</v>
      </c>
      <c r="J817" s="76" t="s">
        <v>128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3">
        <v>46269</v>
      </c>
      <c r="B818" s="116" t="s">
        <v>30</v>
      </c>
      <c r="C818" s="509" t="s">
        <v>22</v>
      </c>
      <c r="D818" s="39" t="s">
        <v>35</v>
      </c>
      <c r="E818" s="40" t="s">
        <v>131</v>
      </c>
      <c r="F818" s="489">
        <v>1182</v>
      </c>
      <c r="G818" s="28" t="s">
        <v>613</v>
      </c>
      <c r="H818" s="226"/>
      <c r="I818" s="497">
        <v>1</v>
      </c>
      <c r="J818" s="76" t="s">
        <v>130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3">
        <v>46269</v>
      </c>
      <c r="B819" s="116" t="s">
        <v>30</v>
      </c>
      <c r="C819" s="509" t="s">
        <v>22</v>
      </c>
      <c r="D819" s="39" t="s">
        <v>35</v>
      </c>
      <c r="E819" s="40" t="s">
        <v>133</v>
      </c>
      <c r="F819" s="489">
        <v>1182</v>
      </c>
      <c r="G819" s="28" t="s">
        <v>613</v>
      </c>
      <c r="H819" s="226"/>
      <c r="I819" s="497">
        <v>1</v>
      </c>
      <c r="J819" s="76" t="s">
        <v>132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3">
        <v>46269</v>
      </c>
      <c r="B820" s="116" t="s">
        <v>30</v>
      </c>
      <c r="C820" s="509" t="s">
        <v>22</v>
      </c>
      <c r="D820" s="39" t="s">
        <v>35</v>
      </c>
      <c r="E820" s="40" t="s">
        <v>135</v>
      </c>
      <c r="F820" s="489">
        <v>1182</v>
      </c>
      <c r="G820" s="28" t="s">
        <v>613</v>
      </c>
      <c r="H820" s="226"/>
      <c r="I820" s="497">
        <v>1</v>
      </c>
      <c r="J820" s="76" t="s">
        <v>134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3">
        <v>46269</v>
      </c>
      <c r="B821" s="116" t="s">
        <v>30</v>
      </c>
      <c r="C821" s="509" t="s">
        <v>22</v>
      </c>
      <c r="D821" s="39" t="s">
        <v>35</v>
      </c>
      <c r="E821" s="40" t="s">
        <v>137</v>
      </c>
      <c r="F821" s="489">
        <v>1182</v>
      </c>
      <c r="G821" s="28" t="s">
        <v>613</v>
      </c>
      <c r="H821" s="226"/>
      <c r="I821" s="497">
        <v>1</v>
      </c>
      <c r="J821" s="76" t="s">
        <v>136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2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3">
        <v>46269</v>
      </c>
      <c r="B822" s="116" t="s">
        <v>30</v>
      </c>
      <c r="C822" s="509" t="s">
        <v>22</v>
      </c>
      <c r="D822" s="39" t="s">
        <v>35</v>
      </c>
      <c r="E822" s="40" t="s">
        <v>139</v>
      </c>
      <c r="F822" s="489">
        <v>1182</v>
      </c>
      <c r="G822" s="28" t="s">
        <v>613</v>
      </c>
      <c r="H822" s="226"/>
      <c r="I822" s="497">
        <v>1</v>
      </c>
      <c r="J822" s="76" t="s">
        <v>138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2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3"/>
      <c r="B823" s="116"/>
      <c r="C823" s="509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2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3">
        <v>46272</v>
      </c>
      <c r="B824" s="116" t="s">
        <v>30</v>
      </c>
      <c r="C824" s="509" t="s">
        <v>22</v>
      </c>
      <c r="D824" s="39" t="s">
        <v>74</v>
      </c>
      <c r="E824" s="40" t="s">
        <v>118</v>
      </c>
      <c r="F824" s="489">
        <v>7</v>
      </c>
      <c r="G824" s="28" t="s">
        <v>613</v>
      </c>
      <c r="H824" s="226"/>
      <c r="I824" s="497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3">
        <v>46272</v>
      </c>
      <c r="B825" s="116" t="s">
        <v>30</v>
      </c>
      <c r="C825" s="509" t="s">
        <v>22</v>
      </c>
      <c r="D825" s="39" t="s">
        <v>74</v>
      </c>
      <c r="E825" s="40" t="s">
        <v>527</v>
      </c>
      <c r="F825" s="489">
        <v>7</v>
      </c>
      <c r="G825" s="28" t="s">
        <v>613</v>
      </c>
      <c r="H825" s="226"/>
      <c r="I825" s="497">
        <v>1</v>
      </c>
      <c r="J825" s="76" t="s">
        <v>121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3">
        <v>46272</v>
      </c>
      <c r="B826" s="116" t="s">
        <v>30</v>
      </c>
      <c r="C826" s="509" t="s">
        <v>22</v>
      </c>
      <c r="D826" s="39" t="s">
        <v>74</v>
      </c>
      <c r="E826" s="40" t="s">
        <v>124</v>
      </c>
      <c r="F826" s="489">
        <v>7</v>
      </c>
      <c r="G826" s="28" t="s">
        <v>613</v>
      </c>
      <c r="H826" s="226"/>
      <c r="I826" s="497">
        <v>1</v>
      </c>
      <c r="J826" s="76" t="s">
        <v>123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3">
        <v>46272</v>
      </c>
      <c r="B827" s="116" t="s">
        <v>30</v>
      </c>
      <c r="C827" s="509" t="s">
        <v>22</v>
      </c>
      <c r="D827" s="39" t="s">
        <v>74</v>
      </c>
      <c r="E827" s="40" t="s">
        <v>127</v>
      </c>
      <c r="F827" s="489">
        <v>7</v>
      </c>
      <c r="G827" s="28" t="s">
        <v>613</v>
      </c>
      <c r="H827" s="226"/>
      <c r="I827" s="497">
        <v>1</v>
      </c>
      <c r="J827" s="76" t="s">
        <v>126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3">
        <v>46272</v>
      </c>
      <c r="B828" s="116" t="s">
        <v>30</v>
      </c>
      <c r="C828" s="509" t="s">
        <v>22</v>
      </c>
      <c r="D828" s="39" t="s">
        <v>74</v>
      </c>
      <c r="E828" s="40" t="s">
        <v>131</v>
      </c>
      <c r="F828" s="489">
        <v>7</v>
      </c>
      <c r="G828" s="28" t="s">
        <v>613</v>
      </c>
      <c r="H828" s="226"/>
      <c r="I828" s="497">
        <v>1</v>
      </c>
      <c r="J828" s="76" t="s">
        <v>130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3">
        <v>46272</v>
      </c>
      <c r="B829" s="116" t="s">
        <v>30</v>
      </c>
      <c r="C829" s="509" t="s">
        <v>22</v>
      </c>
      <c r="D829" s="39" t="s">
        <v>74</v>
      </c>
      <c r="E829" s="40" t="s">
        <v>137</v>
      </c>
      <c r="F829" s="489">
        <v>7</v>
      </c>
      <c r="G829" s="28" t="s">
        <v>613</v>
      </c>
      <c r="H829" s="226"/>
      <c r="I829" s="497">
        <v>1</v>
      </c>
      <c r="J829" s="76" t="s">
        <v>136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2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3">
        <v>46272</v>
      </c>
      <c r="B830" s="116" t="s">
        <v>30</v>
      </c>
      <c r="C830" s="509" t="s">
        <v>22</v>
      </c>
      <c r="D830" s="39" t="s">
        <v>74</v>
      </c>
      <c r="E830" s="40" t="s">
        <v>139</v>
      </c>
      <c r="F830" s="489">
        <v>7</v>
      </c>
      <c r="G830" s="28" t="s">
        <v>613</v>
      </c>
      <c r="H830" s="226"/>
      <c r="I830" s="497">
        <v>1</v>
      </c>
      <c r="J830" s="76" t="s">
        <v>138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2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3"/>
      <c r="B831" s="116"/>
      <c r="C831" s="509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2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3">
        <v>46272</v>
      </c>
      <c r="B832" s="116" t="s">
        <v>30</v>
      </c>
      <c r="C832" s="509" t="s">
        <v>22</v>
      </c>
      <c r="D832" s="39" t="s">
        <v>74</v>
      </c>
      <c r="E832" s="40" t="s">
        <v>118</v>
      </c>
      <c r="F832" s="489">
        <v>28</v>
      </c>
      <c r="G832" s="28" t="s">
        <v>613</v>
      </c>
      <c r="H832" s="226"/>
      <c r="I832" s="497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3">
        <v>46272</v>
      </c>
      <c r="B833" s="116" t="s">
        <v>30</v>
      </c>
      <c r="C833" s="509" t="s">
        <v>22</v>
      </c>
      <c r="D833" s="39" t="s">
        <v>74</v>
      </c>
      <c r="E833" s="40" t="s">
        <v>527</v>
      </c>
      <c r="F833" s="489">
        <v>28</v>
      </c>
      <c r="G833" s="28" t="s">
        <v>613</v>
      </c>
      <c r="H833" s="226"/>
      <c r="I833" s="497">
        <v>1</v>
      </c>
      <c r="J833" s="76" t="s">
        <v>121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3">
        <v>46272</v>
      </c>
      <c r="B834" s="116" t="s">
        <v>30</v>
      </c>
      <c r="C834" s="509" t="s">
        <v>22</v>
      </c>
      <c r="D834" s="39" t="s">
        <v>74</v>
      </c>
      <c r="E834" s="40" t="s">
        <v>124</v>
      </c>
      <c r="F834" s="489">
        <v>28</v>
      </c>
      <c r="G834" s="28" t="s">
        <v>613</v>
      </c>
      <c r="H834" s="226"/>
      <c r="I834" s="497">
        <v>1</v>
      </c>
      <c r="J834" s="76" t="s">
        <v>123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3">
        <v>46272</v>
      </c>
      <c r="B835" s="116" t="s">
        <v>30</v>
      </c>
      <c r="C835" s="509" t="s">
        <v>22</v>
      </c>
      <c r="D835" s="39" t="s">
        <v>74</v>
      </c>
      <c r="E835" s="40" t="s">
        <v>127</v>
      </c>
      <c r="F835" s="489">
        <v>28</v>
      </c>
      <c r="G835" s="28" t="s">
        <v>613</v>
      </c>
      <c r="H835" s="226"/>
      <c r="I835" s="497">
        <v>1</v>
      </c>
      <c r="J835" s="76" t="s">
        <v>126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3">
        <v>46272</v>
      </c>
      <c r="B836" s="116" t="s">
        <v>30</v>
      </c>
      <c r="C836" s="509" t="s">
        <v>22</v>
      </c>
      <c r="D836" s="39" t="s">
        <v>74</v>
      </c>
      <c r="E836" s="40" t="s">
        <v>129</v>
      </c>
      <c r="F836" s="489">
        <v>28</v>
      </c>
      <c r="G836" s="28" t="s">
        <v>613</v>
      </c>
      <c r="H836" s="226"/>
      <c r="I836" s="497">
        <v>1</v>
      </c>
      <c r="J836" s="76" t="s">
        <v>128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3">
        <v>46272</v>
      </c>
      <c r="B837" s="116" t="s">
        <v>30</v>
      </c>
      <c r="C837" s="509" t="s">
        <v>22</v>
      </c>
      <c r="D837" s="39" t="s">
        <v>74</v>
      </c>
      <c r="E837" s="40" t="s">
        <v>131</v>
      </c>
      <c r="F837" s="489">
        <v>28</v>
      </c>
      <c r="G837" s="28" t="s">
        <v>613</v>
      </c>
      <c r="H837" s="226"/>
      <c r="I837" s="497">
        <v>1</v>
      </c>
      <c r="J837" s="76" t="s">
        <v>130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3">
        <v>46272</v>
      </c>
      <c r="B838" s="116" t="s">
        <v>30</v>
      </c>
      <c r="C838" s="509" t="s">
        <v>22</v>
      </c>
      <c r="D838" s="39" t="s">
        <v>74</v>
      </c>
      <c r="E838" s="40" t="s">
        <v>133</v>
      </c>
      <c r="F838" s="489">
        <v>28</v>
      </c>
      <c r="G838" s="28" t="s">
        <v>613</v>
      </c>
      <c r="H838" s="226"/>
      <c r="I838" s="497">
        <v>1</v>
      </c>
      <c r="J838" s="76" t="s">
        <v>132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3">
        <v>46272</v>
      </c>
      <c r="B839" s="116" t="s">
        <v>30</v>
      </c>
      <c r="C839" s="509" t="s">
        <v>22</v>
      </c>
      <c r="D839" s="39" t="s">
        <v>74</v>
      </c>
      <c r="E839" s="40" t="s">
        <v>135</v>
      </c>
      <c r="F839" s="489">
        <v>28</v>
      </c>
      <c r="G839" s="28" t="s">
        <v>613</v>
      </c>
      <c r="H839" s="226"/>
      <c r="I839" s="497">
        <v>1</v>
      </c>
      <c r="J839" s="76" t="s">
        <v>134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3">
        <v>46272</v>
      </c>
      <c r="B840" s="116" t="s">
        <v>30</v>
      </c>
      <c r="C840" s="509" t="s">
        <v>22</v>
      </c>
      <c r="D840" s="39" t="s">
        <v>74</v>
      </c>
      <c r="E840" s="40" t="s">
        <v>137</v>
      </c>
      <c r="F840" s="489">
        <v>28</v>
      </c>
      <c r="G840" s="28" t="s">
        <v>613</v>
      </c>
      <c r="H840" s="226"/>
      <c r="I840" s="497">
        <v>1</v>
      </c>
      <c r="J840" s="76" t="s">
        <v>136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2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3">
        <v>46272</v>
      </c>
      <c r="B841" s="116" t="s">
        <v>30</v>
      </c>
      <c r="C841" s="509" t="s">
        <v>22</v>
      </c>
      <c r="D841" s="39" t="s">
        <v>74</v>
      </c>
      <c r="E841" s="40" t="s">
        <v>139</v>
      </c>
      <c r="F841" s="489">
        <v>28</v>
      </c>
      <c r="G841" s="28" t="s">
        <v>613</v>
      </c>
      <c r="H841" s="226"/>
      <c r="I841" s="497">
        <v>1</v>
      </c>
      <c r="J841" s="76" t="s">
        <v>138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2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3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2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58"/>
      <c r="B843" s="284"/>
      <c r="C843" s="285"/>
      <c r="D843" s="286"/>
      <c r="E843" s="379"/>
      <c r="F843" s="287"/>
      <c r="G843" s="287"/>
      <c r="H843" s="511" t="str">
        <f>IF(Tabla1[[#This Row],[Codigo_actividad]]&lt;&gt;2.5,IF(((Tabla1[[#This Row],[fin]]-Tabla1[[#This Row],[inicio]])/1000)=0,"",((Tabla1[[#This Row],[fin]]-Tabla1[[#This Row],[inicio]])/1000)),"")</f>
        <v/>
      </c>
      <c r="I843" s="512"/>
      <c r="J843" s="512"/>
      <c r="K843" s="512" t="str">
        <f>IF(_xlfn.XLOOKUP($J843,Catalogo!$B$7:$B$21,Catalogo!$I$7:$I$21,"",0)=0,"",_xlfn.XLOOKUP($J843,Catalogo!$B$7:$B$21,Catalogo!$I$7:$I$21,"",0))</f>
        <v/>
      </c>
      <c r="L843" s="513"/>
      <c r="M843" s="514">
        <f>IF(Tabla1[[#This Row],[Avance_km]]&lt;&gt;"",Tabla1[[#This Row],[Avance_km]],Tabla1[[#This Row],[Avance_Med]])*_xlfn.XLOOKUP(Tabla1[[#This Row],[Codigo_actividad]],Catalogo!$B$6:$B$51,Catalogo!$F$6:$F$51,0)</f>
        <v>0</v>
      </c>
      <c r="N843" s="515" t="str">
        <f>_xlfn.IFNA(_xlfn.XLOOKUP(Tabla1[[#This Row],[fin]],$P$379:$P$398,$T$379:$T$398),"")</f>
        <v/>
      </c>
    </row>
    <row r="844" spans="1:16" x14ac:dyDescent="0.25">
      <c r="A844" s="353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2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3">
        <v>46297</v>
      </c>
      <c r="B845" s="116" t="s">
        <v>30</v>
      </c>
      <c r="C845" s="510" t="s">
        <v>407</v>
      </c>
      <c r="D845" s="39" t="s">
        <v>350</v>
      </c>
      <c r="E845" s="40" t="s">
        <v>527</v>
      </c>
      <c r="F845" s="204">
        <v>3564</v>
      </c>
      <c r="G845" s="28"/>
      <c r="H845" s="226"/>
      <c r="I845" s="66">
        <v>1</v>
      </c>
      <c r="J845" s="76" t="s">
        <v>121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3">
        <v>46297</v>
      </c>
      <c r="B846" s="116" t="s">
        <v>30</v>
      </c>
      <c r="C846" s="510" t="s">
        <v>407</v>
      </c>
      <c r="D846" s="39" t="s">
        <v>350</v>
      </c>
      <c r="E846" s="40" t="s">
        <v>124</v>
      </c>
      <c r="F846" s="489">
        <v>3564</v>
      </c>
      <c r="G846" s="28" t="s">
        <v>613</v>
      </c>
      <c r="H846" s="226"/>
      <c r="I846" s="497">
        <v>1</v>
      </c>
      <c r="J846" s="76" t="s">
        <v>123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3">
        <v>46297</v>
      </c>
      <c r="B847" s="116" t="s">
        <v>30</v>
      </c>
      <c r="C847" s="510" t="s">
        <v>407</v>
      </c>
      <c r="D847" s="39" t="s">
        <v>350</v>
      </c>
      <c r="E847" s="40" t="s">
        <v>127</v>
      </c>
      <c r="F847" s="204">
        <v>3564</v>
      </c>
      <c r="G847" s="28"/>
      <c r="H847" s="226"/>
      <c r="I847" s="66">
        <v>1</v>
      </c>
      <c r="J847" s="76" t="s">
        <v>126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3">
        <v>46297</v>
      </c>
      <c r="B848" s="116" t="s">
        <v>30</v>
      </c>
      <c r="C848" s="510" t="s">
        <v>407</v>
      </c>
      <c r="D848" s="39" t="s">
        <v>350</v>
      </c>
      <c r="E848" s="40" t="s">
        <v>131</v>
      </c>
      <c r="F848" s="489">
        <v>3564</v>
      </c>
      <c r="G848" s="28" t="s">
        <v>613</v>
      </c>
      <c r="H848" s="226"/>
      <c r="I848" s="497">
        <v>1</v>
      </c>
      <c r="J848" s="76" t="s">
        <v>130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3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2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58"/>
      <c r="B850" s="284"/>
      <c r="C850" s="285"/>
      <c r="D850" s="286"/>
      <c r="E850" s="379"/>
      <c r="F850" s="287"/>
      <c r="G850" s="287"/>
      <c r="H850" s="511" t="str">
        <f>IF(Tabla1[[#This Row],[Codigo_actividad]]&lt;&gt;2.5,IF(((Tabla1[[#This Row],[fin]]-Tabla1[[#This Row],[inicio]])/1000)=0,"",((Tabla1[[#This Row],[fin]]-Tabla1[[#This Row],[inicio]])/1000)),"")</f>
        <v/>
      </c>
      <c r="I850" s="512"/>
      <c r="J850" s="512"/>
      <c r="K850" s="512" t="str">
        <f>IF(_xlfn.XLOOKUP($J850,Catalogo!$B$7:$B$21,Catalogo!$I$7:$I$21,"",0)=0,"",_xlfn.XLOOKUP($J850,Catalogo!$B$7:$B$21,Catalogo!$I$7:$I$21,"",0))</f>
        <v/>
      </c>
      <c r="L850" s="513"/>
      <c r="M850" s="514">
        <f>IF(Tabla1[[#This Row],[Avance_km]]&lt;&gt;"",Tabla1[[#This Row],[Avance_km]],Tabla1[[#This Row],[Avance_Med]])*_xlfn.XLOOKUP(Tabla1[[#This Row],[Codigo_actividad]],Catalogo!$B$6:$B$51,Catalogo!$F$6:$F$51,0)</f>
        <v>0</v>
      </c>
      <c r="N850" s="515" t="str">
        <f>_xlfn.IFNA(_xlfn.XLOOKUP(Tabla1[[#This Row],[fin]],$P$379:$P$398,$T$379:$T$398),"")</f>
        <v/>
      </c>
    </row>
    <row r="851" spans="1:18" x14ac:dyDescent="0.25">
      <c r="A851" s="353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2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2">
        <f>+SUM(M852:M865)</f>
        <v>682944.57</v>
      </c>
      <c r="Q851">
        <v>3</v>
      </c>
    </row>
    <row r="852" spans="1:18" x14ac:dyDescent="0.25">
      <c r="A852" s="353">
        <v>46259</v>
      </c>
      <c r="B852" s="116" t="s">
        <v>12</v>
      </c>
      <c r="C852" s="157" t="s">
        <v>407</v>
      </c>
      <c r="D852" s="39" t="s">
        <v>350</v>
      </c>
      <c r="E852" s="40" t="s">
        <v>560</v>
      </c>
      <c r="F852" s="489">
        <v>0</v>
      </c>
      <c r="G852" s="489">
        <v>47584</v>
      </c>
      <c r="H852" s="498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57" t="s">
        <v>551</v>
      </c>
      <c r="M852" s="481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3">
        <v>58</v>
      </c>
      <c r="P852" s="482" t="e">
        <f>+#REF!-P851</f>
        <v>#REF!</v>
      </c>
    </row>
    <row r="853" spans="1:18" x14ac:dyDescent="0.25">
      <c r="A853" s="353">
        <v>46259</v>
      </c>
      <c r="B853" s="116" t="s">
        <v>29</v>
      </c>
      <c r="C853" s="157" t="s">
        <v>328</v>
      </c>
      <c r="D853" s="39" t="s">
        <v>211</v>
      </c>
      <c r="E853" s="40" t="s">
        <v>560</v>
      </c>
      <c r="F853" s="489">
        <v>0</v>
      </c>
      <c r="G853" s="489">
        <v>16250</v>
      </c>
      <c r="H853" s="498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57" t="s">
        <v>551</v>
      </c>
      <c r="M853" s="262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3">
        <v>17</v>
      </c>
    </row>
    <row r="854" spans="1:18" x14ac:dyDescent="0.25">
      <c r="A854" s="353">
        <v>46260</v>
      </c>
      <c r="B854" s="116" t="s">
        <v>12</v>
      </c>
      <c r="C854" s="157" t="s">
        <v>557</v>
      </c>
      <c r="D854" s="39" t="s">
        <v>525</v>
      </c>
      <c r="E854" s="40" t="s">
        <v>560</v>
      </c>
      <c r="F854" s="489">
        <v>0</v>
      </c>
      <c r="G854" s="489">
        <v>16000</v>
      </c>
      <c r="H854" s="498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57" t="s">
        <v>551</v>
      </c>
      <c r="M854" s="262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3">
        <v>12</v>
      </c>
    </row>
    <row r="855" spans="1:18" x14ac:dyDescent="0.25">
      <c r="A855" s="353">
        <v>46260</v>
      </c>
      <c r="B855" s="116" t="s">
        <v>29</v>
      </c>
      <c r="C855" s="157" t="s">
        <v>328</v>
      </c>
      <c r="D855" s="39" t="s">
        <v>211</v>
      </c>
      <c r="E855" s="40" t="s">
        <v>560</v>
      </c>
      <c r="F855" s="489">
        <v>16250</v>
      </c>
      <c r="G855" s="489">
        <v>27250</v>
      </c>
      <c r="H855" s="498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57" t="s">
        <v>551</v>
      </c>
      <c r="M855" s="262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3">
        <v>25</v>
      </c>
    </row>
    <row r="856" spans="1:18" x14ac:dyDescent="0.25">
      <c r="A856" s="353">
        <v>46260</v>
      </c>
      <c r="B856" s="116" t="s">
        <v>29</v>
      </c>
      <c r="C856" s="157" t="s">
        <v>328</v>
      </c>
      <c r="D856" s="39" t="s">
        <v>224</v>
      </c>
      <c r="E856" s="40" t="s">
        <v>560</v>
      </c>
      <c r="F856" s="489">
        <v>0</v>
      </c>
      <c r="G856" s="489">
        <v>5970</v>
      </c>
      <c r="H856" s="498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57" t="s">
        <v>551</v>
      </c>
      <c r="M856" s="262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3">
        <v>10</v>
      </c>
    </row>
    <row r="857" spans="1:18" x14ac:dyDescent="0.25">
      <c r="A857" s="353">
        <v>46261</v>
      </c>
      <c r="B857" s="116" t="s">
        <v>12</v>
      </c>
      <c r="C857" s="157" t="s">
        <v>328</v>
      </c>
      <c r="D857" s="39" t="s">
        <v>211</v>
      </c>
      <c r="E857" s="40" t="s">
        <v>560</v>
      </c>
      <c r="F857" s="489" t="s">
        <v>526</v>
      </c>
      <c r="G857" s="489"/>
      <c r="H857" s="498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57" t="s">
        <v>551</v>
      </c>
      <c r="M857" s="262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3">
        <v>30</v>
      </c>
    </row>
    <row r="858" spans="1:18" x14ac:dyDescent="0.25">
      <c r="A858" s="353">
        <v>46261</v>
      </c>
      <c r="B858" s="116" t="s">
        <v>29</v>
      </c>
      <c r="C858" s="157" t="s">
        <v>328</v>
      </c>
      <c r="D858" s="39" t="s">
        <v>211</v>
      </c>
      <c r="E858" s="40" t="s">
        <v>560</v>
      </c>
      <c r="F858" s="489">
        <v>22250</v>
      </c>
      <c r="G858" s="489"/>
      <c r="H858" s="498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57" t="s">
        <v>551</v>
      </c>
      <c r="M858" s="262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3">
        <v>5</v>
      </c>
      <c r="P858" t="s">
        <v>551</v>
      </c>
      <c r="Q858" t="s">
        <v>552</v>
      </c>
      <c r="R858" t="s">
        <v>553</v>
      </c>
    </row>
    <row r="859" spans="1:18" x14ac:dyDescent="0.25">
      <c r="A859" s="353"/>
      <c r="B859" s="116"/>
      <c r="C859" s="157"/>
      <c r="D859" s="39"/>
      <c r="F859" s="28"/>
      <c r="G859" s="28"/>
      <c r="H859" s="369"/>
      <c r="I859" s="369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2"/>
    </row>
    <row r="860" spans="1:18" x14ac:dyDescent="0.25">
      <c r="A860" s="353">
        <v>46269</v>
      </c>
      <c r="B860" s="116" t="s">
        <v>12</v>
      </c>
      <c r="C860" s="157" t="s">
        <v>13</v>
      </c>
      <c r="D860" s="39" t="s">
        <v>13</v>
      </c>
      <c r="E860" s="40" t="s">
        <v>561</v>
      </c>
      <c r="F860" s="489" t="s">
        <v>638</v>
      </c>
      <c r="G860" s="489" t="s">
        <v>638</v>
      </c>
      <c r="H860" s="498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57" t="s">
        <v>551</v>
      </c>
      <c r="M860" s="262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3">
        <v>39</v>
      </c>
    </row>
    <row r="861" spans="1:18" x14ac:dyDescent="0.25">
      <c r="A861" s="353">
        <v>46269</v>
      </c>
      <c r="B861" s="116" t="s">
        <v>29</v>
      </c>
      <c r="C861" s="157" t="s">
        <v>22</v>
      </c>
      <c r="D861" s="39" t="s">
        <v>22</v>
      </c>
      <c r="E861" s="40" t="s">
        <v>561</v>
      </c>
      <c r="F861" s="489" t="s">
        <v>638</v>
      </c>
      <c r="G861" s="489" t="s">
        <v>638</v>
      </c>
      <c r="H861" s="498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57" t="s">
        <v>551</v>
      </c>
      <c r="M861" s="262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3">
        <v>51</v>
      </c>
    </row>
    <row r="862" spans="1:18" x14ac:dyDescent="0.25">
      <c r="A862" s="353">
        <v>46270</v>
      </c>
      <c r="B862" s="116" t="s">
        <v>12</v>
      </c>
      <c r="C862" s="157" t="s">
        <v>13</v>
      </c>
      <c r="D862" s="39" t="s">
        <v>13</v>
      </c>
      <c r="E862" s="40" t="s">
        <v>561</v>
      </c>
      <c r="F862" s="489" t="s">
        <v>638</v>
      </c>
      <c r="G862" s="489" t="s">
        <v>638</v>
      </c>
      <c r="H862" s="498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57" t="s">
        <v>551</v>
      </c>
      <c r="M862" s="262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3">
        <v>25</v>
      </c>
    </row>
    <row r="863" spans="1:18" x14ac:dyDescent="0.25">
      <c r="A863" s="353">
        <v>46270</v>
      </c>
      <c r="B863" s="116" t="s">
        <v>29</v>
      </c>
      <c r="C863" s="157" t="s">
        <v>22</v>
      </c>
      <c r="D863" s="39" t="s">
        <v>22</v>
      </c>
      <c r="E863" s="40" t="s">
        <v>561</v>
      </c>
      <c r="F863" s="489" t="s">
        <v>638</v>
      </c>
      <c r="G863" s="489" t="s">
        <v>638</v>
      </c>
      <c r="H863" s="498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57" t="s">
        <v>551</v>
      </c>
      <c r="M863" s="262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3">
        <v>25</v>
      </c>
    </row>
    <row r="864" spans="1:18" x14ac:dyDescent="0.25">
      <c r="A864" s="353">
        <v>46282</v>
      </c>
      <c r="B864" s="116" t="s">
        <v>12</v>
      </c>
      <c r="C864" s="157" t="s">
        <v>532</v>
      </c>
      <c r="D864" s="39" t="s">
        <v>532</v>
      </c>
      <c r="E864" s="40" t="s">
        <v>561</v>
      </c>
      <c r="F864" s="489" t="s">
        <v>638</v>
      </c>
      <c r="G864" s="489" t="s">
        <v>638</v>
      </c>
      <c r="H864" s="498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57" t="s">
        <v>551</v>
      </c>
      <c r="M864" s="262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3">
        <v>22</v>
      </c>
    </row>
    <row r="865" spans="1:16" x14ac:dyDescent="0.25">
      <c r="A865" s="353">
        <v>46283</v>
      </c>
      <c r="B865" s="116" t="s">
        <v>12</v>
      </c>
      <c r="C865" s="157" t="s">
        <v>532</v>
      </c>
      <c r="D865" s="39" t="s">
        <v>532</v>
      </c>
      <c r="E865" s="40" t="s">
        <v>561</v>
      </c>
      <c r="F865" s="489" t="s">
        <v>638</v>
      </c>
      <c r="G865" s="489" t="s">
        <v>638</v>
      </c>
      <c r="H865" s="498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57" t="s">
        <v>551</v>
      </c>
      <c r="M865" s="262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3">
        <v>38</v>
      </c>
    </row>
    <row r="866" spans="1:16" x14ac:dyDescent="0.25">
      <c r="A866" s="353"/>
      <c r="B866" s="116"/>
      <c r="C866" s="157"/>
      <c r="D866" s="39"/>
      <c r="F866" s="28"/>
      <c r="G866" s="28"/>
      <c r="H866" s="369" t="str">
        <f>IF(Tabla1[[#This Row],[Codigo_actividad]]&lt;&gt;2.5,IF(((Tabla1[[#This Row],[fin]]-Tabla1[[#This Row],[inicio]])/1000)=0,"",((Tabla1[[#This Row],[fin]]-Tabla1[[#This Row],[inicio]])/1000)),"")</f>
        <v/>
      </c>
      <c r="I866" s="369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2"/>
      <c r="N866" t="str">
        <f>_xlfn.IFNA(_xlfn.XLOOKUP(Tabla1[[#This Row],[fin]],$P$379:$P$398,$T$379:$T$398),"")</f>
        <v/>
      </c>
    </row>
    <row r="867" spans="1:16" x14ac:dyDescent="0.25">
      <c r="A867" s="353">
        <v>46315</v>
      </c>
      <c r="B867" s="201" t="s">
        <v>12</v>
      </c>
      <c r="C867" s="202" t="s">
        <v>13</v>
      </c>
      <c r="D867" s="203" t="s">
        <v>645</v>
      </c>
      <c r="E867" s="375" t="s">
        <v>533</v>
      </c>
      <c r="F867" s="489" t="s">
        <v>638</v>
      </c>
      <c r="G867" s="489" t="s">
        <v>638</v>
      </c>
      <c r="H867" s="498">
        <f>+(Catalogo!$J$56)*Tabla1[[#This Row],[Observaciones]]</f>
        <v>3.0967824840029552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552</v>
      </c>
      <c r="M867" s="262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67" s="473">
        <v>14</v>
      </c>
      <c r="P867">
        <f>115-SUM(N867:N870)</f>
        <v>101</v>
      </c>
    </row>
    <row r="868" spans="1:16" x14ac:dyDescent="0.25">
      <c r="A868" s="353"/>
      <c r="B868" s="201" t="s">
        <v>29</v>
      </c>
      <c r="C868" s="202" t="s">
        <v>22</v>
      </c>
      <c r="D868" s="203" t="s">
        <v>645</v>
      </c>
      <c r="E868" s="375" t="s">
        <v>533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552</v>
      </c>
      <c r="M868" s="262">
        <f>IF(Tabla1[[#This Row],[Avance_km]]&lt;&gt;"",Tabla1[[#This Row],[Avance_km]],Tabla1[[#This Row],[Avance_Med]])*_xlfn.XLOOKUP(Tabla1[[#This Row],[Codigo_actividad]],Catalogo!$B$6:$B$57,Catalogo!$F$6:$F$57,0)</f>
        <v>0</v>
      </c>
      <c r="N868" s="474"/>
    </row>
    <row r="869" spans="1:16" x14ac:dyDescent="0.25">
      <c r="A869" s="353"/>
      <c r="B869" s="201" t="s">
        <v>12</v>
      </c>
      <c r="C869" s="202" t="s">
        <v>13</v>
      </c>
      <c r="D869" s="203" t="s">
        <v>645</v>
      </c>
      <c r="E869" s="375" t="s">
        <v>533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552</v>
      </c>
      <c r="M869" s="262">
        <f>IF(Tabla1[[#This Row],[Avance_km]]&lt;&gt;"",Tabla1[[#This Row],[Avance_km]],Tabla1[[#This Row],[Avance_Med]])*_xlfn.XLOOKUP(Tabla1[[#This Row],[Codigo_actividad]],Catalogo!$B$6:$B$57,Catalogo!$F$6:$F$57,0)</f>
        <v>0</v>
      </c>
      <c r="N869" s="474"/>
    </row>
    <row r="870" spans="1:16" x14ac:dyDescent="0.25">
      <c r="A870" s="353"/>
      <c r="B870" s="201" t="s">
        <v>29</v>
      </c>
      <c r="C870" s="202" t="s">
        <v>22</v>
      </c>
      <c r="D870" s="203" t="s">
        <v>645</v>
      </c>
      <c r="E870" s="375" t="s">
        <v>533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552</v>
      </c>
      <c r="M870" s="262">
        <f>IF(Tabla1[[#This Row],[Avance_km]]&lt;&gt;"",Tabla1[[#This Row],[Avance_km]],Tabla1[[#This Row],[Avance_Med]])*_xlfn.XLOOKUP(Tabla1[[#This Row],[Codigo_actividad]],Catalogo!$B$6:$B$57,Catalogo!$F$6:$F$57,0)</f>
        <v>0</v>
      </c>
      <c r="N870" s="474"/>
    </row>
    <row r="871" spans="1:16" x14ac:dyDescent="0.25">
      <c r="A871" s="353">
        <v>46314</v>
      </c>
      <c r="B871" s="201" t="s">
        <v>12</v>
      </c>
      <c r="C871" s="202" t="s">
        <v>532</v>
      </c>
      <c r="D871" s="203" t="s">
        <v>532</v>
      </c>
      <c r="E871" s="375" t="s">
        <v>533</v>
      </c>
      <c r="F871" s="489" t="s">
        <v>638</v>
      </c>
      <c r="G871" s="489" t="s">
        <v>638</v>
      </c>
      <c r="H871" s="498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552</v>
      </c>
      <c r="M871" s="262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3">
        <v>15</v>
      </c>
    </row>
    <row r="872" spans="1:16" x14ac:dyDescent="0.25">
      <c r="A872" s="353">
        <v>46315</v>
      </c>
      <c r="B872" s="201" t="s">
        <v>29</v>
      </c>
      <c r="C872" s="202" t="s">
        <v>532</v>
      </c>
      <c r="D872" s="203" t="s">
        <v>532</v>
      </c>
      <c r="E872" s="375" t="s">
        <v>533</v>
      </c>
      <c r="F872" s="489" t="s">
        <v>638</v>
      </c>
      <c r="G872" s="489" t="s">
        <v>638</v>
      </c>
      <c r="H872" s="498">
        <f>+(Catalogo!$J$56)*Tabla1[[#This Row],[Observaciones]]</f>
        <v>3.7603787305750171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552</v>
      </c>
      <c r="M872" s="262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2" s="473">
        <v>17</v>
      </c>
    </row>
    <row r="873" spans="1:16" x14ac:dyDescent="0.25">
      <c r="A873" s="353"/>
      <c r="B873" s="116"/>
      <c r="C873" s="157"/>
      <c r="D873" s="39"/>
      <c r="F873" s="28"/>
      <c r="G873" s="28"/>
      <c r="H873" s="369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2"/>
      <c r="N873" t="str">
        <f>_xlfn.IFNA(_xlfn.XLOOKUP(Tabla1[[#This Row],[fin]],$P$379:$P$398,$T$379:$T$398),"")</f>
        <v/>
      </c>
    </row>
    <row r="874" spans="1:16" x14ac:dyDescent="0.25">
      <c r="A874" s="353">
        <v>46305</v>
      </c>
      <c r="B874" s="201" t="s">
        <v>12</v>
      </c>
      <c r="C874" s="202" t="s">
        <v>13</v>
      </c>
      <c r="D874" s="203" t="s">
        <v>13</v>
      </c>
      <c r="E874" s="375" t="s">
        <v>534</v>
      </c>
      <c r="F874" s="489" t="s">
        <v>638</v>
      </c>
      <c r="G874" s="489" t="s">
        <v>638</v>
      </c>
      <c r="H874" s="498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553</v>
      </c>
      <c r="M874" s="262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3">
        <v>15</v>
      </c>
    </row>
    <row r="875" spans="1:16" x14ac:dyDescent="0.25">
      <c r="A875" s="353">
        <v>46305</v>
      </c>
      <c r="B875" s="201" t="s">
        <v>29</v>
      </c>
      <c r="C875" s="202" t="s">
        <v>22</v>
      </c>
      <c r="D875" s="203" t="s">
        <v>22</v>
      </c>
      <c r="E875" s="375" t="s">
        <v>534</v>
      </c>
      <c r="F875" s="489" t="s">
        <v>638</v>
      </c>
      <c r="G875" s="489" t="s">
        <v>638</v>
      </c>
      <c r="H875" s="498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553</v>
      </c>
      <c r="M875" s="262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3">
        <f>41-15</f>
        <v>26</v>
      </c>
    </row>
    <row r="876" spans="1:16" x14ac:dyDescent="0.25">
      <c r="A876" s="353">
        <v>46306</v>
      </c>
      <c r="B876" s="201" t="s">
        <v>12</v>
      </c>
      <c r="C876" s="202" t="s">
        <v>13</v>
      </c>
      <c r="D876" s="203" t="s">
        <v>13</v>
      </c>
      <c r="E876" s="375" t="s">
        <v>534</v>
      </c>
      <c r="F876" s="489" t="s">
        <v>638</v>
      </c>
      <c r="G876" s="489" t="s">
        <v>638</v>
      </c>
      <c r="H876" s="498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553</v>
      </c>
      <c r="M876" s="262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3">
        <v>20</v>
      </c>
    </row>
    <row r="877" spans="1:16" x14ac:dyDescent="0.25">
      <c r="A877" s="353">
        <v>46306</v>
      </c>
      <c r="B877" s="201" t="s">
        <v>29</v>
      </c>
      <c r="C877" s="202" t="s">
        <v>22</v>
      </c>
      <c r="D877" s="203" t="s">
        <v>22</v>
      </c>
      <c r="E877" s="375" t="s">
        <v>534</v>
      </c>
      <c r="F877" s="489" t="s">
        <v>638</v>
      </c>
      <c r="G877" s="489" t="s">
        <v>638</v>
      </c>
      <c r="H877" s="498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553</v>
      </c>
      <c r="M877" s="262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3">
        <f>57-20</f>
        <v>37</v>
      </c>
    </row>
    <row r="878" spans="1:16" x14ac:dyDescent="0.25">
      <c r="A878" s="353">
        <v>46305</v>
      </c>
      <c r="B878" s="201" t="s">
        <v>12</v>
      </c>
      <c r="C878" s="202" t="s">
        <v>532</v>
      </c>
      <c r="D878" s="203" t="s">
        <v>532</v>
      </c>
      <c r="E878" s="375" t="s">
        <v>534</v>
      </c>
      <c r="F878" s="489" t="s">
        <v>638</v>
      </c>
      <c r="G878" s="489" t="s">
        <v>638</v>
      </c>
      <c r="H878" s="498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553</v>
      </c>
      <c r="M878" s="262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3">
        <v>24</v>
      </c>
    </row>
    <row r="879" spans="1:16" x14ac:dyDescent="0.25">
      <c r="A879" s="353">
        <v>46307</v>
      </c>
      <c r="B879" s="201" t="s">
        <v>12</v>
      </c>
      <c r="C879" s="202" t="s">
        <v>13</v>
      </c>
      <c r="D879" s="203" t="s">
        <v>13</v>
      </c>
      <c r="E879" s="375" t="s">
        <v>534</v>
      </c>
      <c r="F879" s="489" t="s">
        <v>638</v>
      </c>
      <c r="G879" s="489" t="s">
        <v>638</v>
      </c>
      <c r="H879" s="498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553</v>
      </c>
      <c r="M879" s="262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3">
        <f>64-35</f>
        <v>29</v>
      </c>
    </row>
    <row r="880" spans="1:16" x14ac:dyDescent="0.25">
      <c r="A880" s="353">
        <v>46307</v>
      </c>
      <c r="B880" s="201" t="s">
        <v>12</v>
      </c>
      <c r="C880" s="202" t="s">
        <v>22</v>
      </c>
      <c r="D880" s="203" t="s">
        <v>22</v>
      </c>
      <c r="E880" s="375" t="s">
        <v>534</v>
      </c>
      <c r="F880" s="489" t="s">
        <v>638</v>
      </c>
      <c r="G880" s="489" t="s">
        <v>638</v>
      </c>
      <c r="H880" s="498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553</v>
      </c>
      <c r="M880" s="262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3">
        <f>42-29</f>
        <v>13</v>
      </c>
    </row>
    <row r="881" spans="1:14" x14ac:dyDescent="0.25">
      <c r="A881" s="353">
        <v>46307</v>
      </c>
      <c r="B881" s="201" t="s">
        <v>29</v>
      </c>
      <c r="C881" s="202" t="s">
        <v>532</v>
      </c>
      <c r="D881" s="203" t="s">
        <v>532</v>
      </c>
      <c r="E881" s="375" t="s">
        <v>534</v>
      </c>
      <c r="F881" s="489" t="s">
        <v>638</v>
      </c>
      <c r="G881" s="489" t="s">
        <v>638</v>
      </c>
      <c r="H881" s="498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553</v>
      </c>
      <c r="M881" s="262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3">
        <v>36</v>
      </c>
    </row>
    <row r="882" spans="1:14" x14ac:dyDescent="0.25">
      <c r="A882" s="353"/>
      <c r="B882" s="116"/>
      <c r="C882" s="157"/>
      <c r="D882" s="39"/>
      <c r="F882" s="28"/>
      <c r="G882" s="28"/>
      <c r="H882" s="369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2"/>
      <c r="N882" t="str">
        <f>_xlfn.IFNA(_xlfn.XLOOKUP(Tabla1[[#This Row],[fin]],$P$379:$P$398,$T$379:$T$398),"")</f>
        <v/>
      </c>
    </row>
    <row r="883" spans="1:14" x14ac:dyDescent="0.25">
      <c r="A883" s="353"/>
      <c r="B883" s="201" t="s">
        <v>12</v>
      </c>
      <c r="C883" s="202" t="s">
        <v>328</v>
      </c>
      <c r="D883" s="203"/>
      <c r="E883" s="375" t="s">
        <v>535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552</v>
      </c>
      <c r="M883" s="262">
        <f>IF(Tabla1[[#This Row],[Avance_km]]&lt;&gt;"",Tabla1[[#This Row],[Avance_km]],Tabla1[[#This Row],[Avance_Med]])*_xlfn.XLOOKUP(Tabla1[[#This Row],[Codigo_actividad]],Catalogo!$B$6:$B$57,Catalogo!$F$6:$F$57,0)</f>
        <v>0</v>
      </c>
      <c r="N883" s="474"/>
    </row>
    <row r="884" spans="1:14" x14ac:dyDescent="0.25">
      <c r="A884" s="353"/>
      <c r="B884" s="201" t="s">
        <v>29</v>
      </c>
      <c r="C884" s="202" t="s">
        <v>407</v>
      </c>
      <c r="D884" s="203"/>
      <c r="E884" s="375" t="s">
        <v>535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552</v>
      </c>
      <c r="M884" s="262">
        <f>IF(Tabla1[[#This Row],[Avance_km]]&lt;&gt;"",Tabla1[[#This Row],[Avance_km]],Tabla1[[#This Row],[Avance_Med]])*_xlfn.XLOOKUP(Tabla1[[#This Row],[Codigo_actividad]],Catalogo!$B$6:$B$57,Catalogo!$F$6:$F$57,0)</f>
        <v>0</v>
      </c>
      <c r="N884" s="474"/>
    </row>
    <row r="885" spans="1:14" x14ac:dyDescent="0.25">
      <c r="A885" s="353"/>
      <c r="B885" s="201" t="s">
        <v>12</v>
      </c>
      <c r="C885" s="202" t="s">
        <v>328</v>
      </c>
      <c r="D885" s="203"/>
      <c r="E885" s="375" t="s">
        <v>535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552</v>
      </c>
      <c r="M885" s="262">
        <f>IF(Tabla1[[#This Row],[Avance_km]]&lt;&gt;"",Tabla1[[#This Row],[Avance_km]],Tabla1[[#This Row],[Avance_Med]])*_xlfn.XLOOKUP(Tabla1[[#This Row],[Codigo_actividad]],Catalogo!$B$6:$B$57,Catalogo!$F$6:$F$57,0)</f>
        <v>0</v>
      </c>
      <c r="N885" s="474"/>
    </row>
    <row r="886" spans="1:14" x14ac:dyDescent="0.25">
      <c r="A886" s="353"/>
      <c r="B886" s="201" t="s">
        <v>29</v>
      </c>
      <c r="C886" s="202" t="s">
        <v>407</v>
      </c>
      <c r="D886" s="203"/>
      <c r="E886" s="375" t="s">
        <v>535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552</v>
      </c>
      <c r="M886" s="262">
        <f>IF(Tabla1[[#This Row],[Avance_km]]&lt;&gt;"",Tabla1[[#This Row],[Avance_km]],Tabla1[[#This Row],[Avance_Med]])*_xlfn.XLOOKUP(Tabla1[[#This Row],[Codigo_actividad]],Catalogo!$B$6:$B$57,Catalogo!$F$6:$F$57,0)</f>
        <v>0</v>
      </c>
      <c r="N886" s="474"/>
    </row>
    <row r="887" spans="1:14" x14ac:dyDescent="0.25">
      <c r="A887" s="353"/>
      <c r="B887" s="201" t="s">
        <v>12</v>
      </c>
      <c r="C887" s="202" t="s">
        <v>557</v>
      </c>
      <c r="D887" s="203"/>
      <c r="E887" s="375" t="s">
        <v>535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552</v>
      </c>
      <c r="M887" s="262">
        <f>IF(Tabla1[[#This Row],[Avance_km]]&lt;&gt;"",Tabla1[[#This Row],[Avance_km]],Tabla1[[#This Row],[Avance_Med]])*_xlfn.XLOOKUP(Tabla1[[#This Row],[Codigo_actividad]],Catalogo!$B$6:$B$57,Catalogo!$F$6:$F$57,0)</f>
        <v>0</v>
      </c>
      <c r="N887" s="474"/>
    </row>
    <row r="888" spans="1:14" x14ac:dyDescent="0.25">
      <c r="A888" s="353"/>
      <c r="B888" s="201" t="s">
        <v>29</v>
      </c>
      <c r="C888" s="202" t="s">
        <v>557</v>
      </c>
      <c r="D888" s="203"/>
      <c r="E888" s="375" t="s">
        <v>535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552</v>
      </c>
      <c r="M888" s="262">
        <f>IF(Tabla1[[#This Row],[Avance_km]]&lt;&gt;"",Tabla1[[#This Row],[Avance_km]],Tabla1[[#This Row],[Avance_Med]])*_xlfn.XLOOKUP(Tabla1[[#This Row],[Codigo_actividad]],Catalogo!$B$6:$B$57,Catalogo!$F$6:$F$57,0)</f>
        <v>0</v>
      </c>
      <c r="N888" s="474"/>
    </row>
    <row r="889" spans="1:14" x14ac:dyDescent="0.25">
      <c r="A889" s="353"/>
      <c r="B889" s="116"/>
      <c r="C889" s="157"/>
      <c r="D889" s="39"/>
      <c r="F889" s="28"/>
      <c r="G889" s="28"/>
      <c r="H889" s="369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2"/>
    </row>
    <row r="890" spans="1:14" x14ac:dyDescent="0.25">
      <c r="A890" s="353"/>
      <c r="B890" s="201" t="s">
        <v>12</v>
      </c>
      <c r="C890" s="202" t="s">
        <v>328</v>
      </c>
      <c r="D890" s="203"/>
      <c r="E890" s="375" t="s">
        <v>536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553</v>
      </c>
      <c r="M890" s="262">
        <f>IF(Tabla1[[#This Row],[Avance_km]]&lt;&gt;"",Tabla1[[#This Row],[Avance_km]],Tabla1[[#This Row],[Avance_Med]])*_xlfn.XLOOKUP(Tabla1[[#This Row],[Codigo_actividad]],Catalogo!$B$6:$B$57,Catalogo!$F$6:$F$57,0)</f>
        <v>0</v>
      </c>
      <c r="N890" s="474"/>
    </row>
    <row r="891" spans="1:14" x14ac:dyDescent="0.25">
      <c r="A891" s="353"/>
      <c r="B891" s="201" t="s">
        <v>29</v>
      </c>
      <c r="C891" s="202" t="s">
        <v>407</v>
      </c>
      <c r="D891" s="203"/>
      <c r="E891" s="375" t="s">
        <v>536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553</v>
      </c>
      <c r="M891" s="262">
        <f>IF(Tabla1[[#This Row],[Avance_km]]&lt;&gt;"",Tabla1[[#This Row],[Avance_km]],Tabla1[[#This Row],[Avance_Med]])*_xlfn.XLOOKUP(Tabla1[[#This Row],[Codigo_actividad]],Catalogo!$B$6:$B$57,Catalogo!$F$6:$F$57,0)</f>
        <v>0</v>
      </c>
      <c r="N891" s="474"/>
    </row>
    <row r="892" spans="1:14" x14ac:dyDescent="0.25">
      <c r="A892" s="353"/>
      <c r="B892" s="201" t="s">
        <v>12</v>
      </c>
      <c r="C892" s="202" t="s">
        <v>328</v>
      </c>
      <c r="D892" s="203"/>
      <c r="E892" s="375" t="s">
        <v>536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553</v>
      </c>
      <c r="M892" s="262">
        <f>IF(Tabla1[[#This Row],[Avance_km]]&lt;&gt;"",Tabla1[[#This Row],[Avance_km]],Tabla1[[#This Row],[Avance_Med]])*_xlfn.XLOOKUP(Tabla1[[#This Row],[Codigo_actividad]],Catalogo!$B$6:$B$57,Catalogo!$F$6:$F$57,0)</f>
        <v>0</v>
      </c>
      <c r="N892" s="474"/>
    </row>
    <row r="893" spans="1:14" x14ac:dyDescent="0.25">
      <c r="A893" s="353"/>
      <c r="B893" s="201" t="s">
        <v>29</v>
      </c>
      <c r="C893" s="202" t="s">
        <v>407</v>
      </c>
      <c r="D893" s="203"/>
      <c r="E893" s="375" t="s">
        <v>536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553</v>
      </c>
      <c r="M893" s="262">
        <f>IF(Tabla1[[#This Row],[Avance_km]]&lt;&gt;"",Tabla1[[#This Row],[Avance_km]],Tabla1[[#This Row],[Avance_Med]])*_xlfn.XLOOKUP(Tabla1[[#This Row],[Codigo_actividad]],Catalogo!$B$6:$B$57,Catalogo!$F$6:$F$57,0)</f>
        <v>0</v>
      </c>
      <c r="N893" s="474"/>
    </row>
    <row r="894" spans="1:14" x14ac:dyDescent="0.25">
      <c r="A894" s="353"/>
      <c r="B894" s="201" t="s">
        <v>12</v>
      </c>
      <c r="C894" s="202" t="s">
        <v>557</v>
      </c>
      <c r="D894" s="203"/>
      <c r="E894" s="375" t="s">
        <v>536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553</v>
      </c>
      <c r="M894" s="262">
        <f>IF(Tabla1[[#This Row],[Avance_km]]&lt;&gt;"",Tabla1[[#This Row],[Avance_km]],Tabla1[[#This Row],[Avance_Med]])*_xlfn.XLOOKUP(Tabla1[[#This Row],[Codigo_actividad]],Catalogo!$B$6:$B$57,Catalogo!$F$6:$F$57,0)</f>
        <v>0</v>
      </c>
      <c r="N894" s="474"/>
    </row>
    <row r="895" spans="1:14" x14ac:dyDescent="0.25">
      <c r="A895" s="353"/>
      <c r="B895" s="201" t="s">
        <v>29</v>
      </c>
      <c r="C895" s="202" t="s">
        <v>557</v>
      </c>
      <c r="D895" s="203"/>
      <c r="E895" s="375" t="s">
        <v>536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553</v>
      </c>
      <c r="M895" s="262">
        <f>IF(Tabla1[[#This Row],[Avance_km]]&lt;&gt;"",Tabla1[[#This Row],[Avance_km]],Tabla1[[#This Row],[Avance_Med]])*_xlfn.XLOOKUP(Tabla1[[#This Row],[Codigo_actividad]],Catalogo!$B$6:$B$57,Catalogo!$F$6:$F$57,0)</f>
        <v>0</v>
      </c>
      <c r="N895" s="474"/>
    </row>
    <row r="896" spans="1:14" x14ac:dyDescent="0.25">
      <c r="A896" s="353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2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58"/>
      <c r="B897" s="284"/>
      <c r="C897" s="285"/>
      <c r="D897" s="286"/>
      <c r="E897" s="379"/>
      <c r="F897" s="287"/>
      <c r="G897" s="287"/>
      <c r="H897" s="511" t="str">
        <f>IF(Tabla1[[#This Row],[Codigo_actividad]]&lt;&gt;2.5,IF(((Tabla1[[#This Row],[fin]]-Tabla1[[#This Row],[inicio]])/1000)=0,"",((Tabla1[[#This Row],[fin]]-Tabla1[[#This Row],[inicio]])/1000)),"")</f>
        <v/>
      </c>
      <c r="I897" s="515"/>
      <c r="J897" s="512"/>
      <c r="K897" s="512" t="str">
        <f>IF(_xlfn.XLOOKUP($J897,Catalogo!$B$7:$B$21,Catalogo!$I$7:$I$21,"",0)=0,"",_xlfn.XLOOKUP($J897,Catalogo!$B$7:$B$21,Catalogo!$I$7:$I$21,"",0))</f>
        <v/>
      </c>
      <c r="L897" s="513"/>
      <c r="M897" s="514">
        <f>IF(Tabla1[[#This Row],[Avance_km]]&lt;&gt;"",Tabla1[[#This Row],[Avance_km]],Tabla1[[#This Row],[Avance_Med]])*_xlfn.XLOOKUP(Tabla1[[#This Row],[Codigo_actividad]],Catalogo!$B$6:$B$51,Catalogo!$F$6:$F$51,0)</f>
        <v>0</v>
      </c>
      <c r="N897" s="515" t="str">
        <f>_xlfn.IFNA(_xlfn.XLOOKUP(Tabla1[[#This Row],[fin]],$P$379:$P$398,$T$379:$T$398),"")</f>
        <v/>
      </c>
    </row>
    <row r="898" spans="1:14" x14ac:dyDescent="0.25">
      <c r="A898" s="353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2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3">
        <v>46294</v>
      </c>
      <c r="B899" s="116" t="s">
        <v>586</v>
      </c>
      <c r="C899" s="157" t="s">
        <v>13</v>
      </c>
      <c r="D899" s="502" t="s">
        <v>592</v>
      </c>
      <c r="E899" s="40" t="s">
        <v>585</v>
      </c>
      <c r="F899" s="489" t="s">
        <v>170</v>
      </c>
      <c r="G899" s="489" t="s">
        <v>170</v>
      </c>
      <c r="H899" s="498">
        <f>+Catalogo!$J$58*Tabla1[[#This Row],[Observaciones]]</f>
        <v>0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2">
        <f>IF(Tabla1[[#This Row],[Avance_km]]&lt;&gt;"",Tabla1[[#This Row],[Avance_km]],Tabla1[[#This Row],[Avance_Med]])*_xlfn.XLOOKUP(Tabla1[[#This Row],[Codigo_actividad]],Catalogo!$B$6:$B$51,Catalogo!$F$6:$F$51,0)</f>
        <v>0</v>
      </c>
      <c r="N899" s="501"/>
    </row>
    <row r="900" spans="1:14" x14ac:dyDescent="0.25">
      <c r="A900" s="353">
        <v>46294</v>
      </c>
      <c r="B900" s="116" t="s">
        <v>586</v>
      </c>
      <c r="C900" s="157" t="s">
        <v>13</v>
      </c>
      <c r="D900" s="502" t="s">
        <v>42</v>
      </c>
      <c r="E900" s="40" t="s">
        <v>585</v>
      </c>
      <c r="F900" s="489" t="s">
        <v>170</v>
      </c>
      <c r="G900" s="489" t="s">
        <v>170</v>
      </c>
      <c r="H900" s="498">
        <f>+Catalogo!$J$58*Tabla1[[#This Row],[Observaciones]]</f>
        <v>0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2">
        <f>IF(Tabla1[[#This Row],[Avance_km]]&lt;&gt;"",Tabla1[[#This Row],[Avance_km]],Tabla1[[#This Row],[Avance_Med]])*_xlfn.XLOOKUP(Tabla1[[#This Row],[Codigo_actividad]],Catalogo!$B$6:$B$51,Catalogo!$F$6:$F$51,0)</f>
        <v>0</v>
      </c>
      <c r="N900" s="501"/>
    </row>
    <row r="901" spans="1:14" x14ac:dyDescent="0.25">
      <c r="A901" s="353">
        <v>46294</v>
      </c>
      <c r="B901" s="116" t="s">
        <v>586</v>
      </c>
      <c r="C901" s="157" t="s">
        <v>407</v>
      </c>
      <c r="D901" s="502" t="s">
        <v>602</v>
      </c>
      <c r="E901" s="40" t="s">
        <v>585</v>
      </c>
      <c r="F901" s="489" t="s">
        <v>170</v>
      </c>
      <c r="G901" s="489" t="s">
        <v>170</v>
      </c>
      <c r="H901" s="498">
        <f>+Catalogo!$J$58*Tabla1[[#This Row],[Observaciones]]</f>
        <v>0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2">
        <f>IF(Tabla1[[#This Row],[Avance_km]]&lt;&gt;"",Tabla1[[#This Row],[Avance_km]],Tabla1[[#This Row],[Avance_Med]])*_xlfn.XLOOKUP(Tabla1[[#This Row],[Codigo_actividad]],Catalogo!$B$6:$B$51,Catalogo!$F$6:$F$51,0)</f>
        <v>0</v>
      </c>
      <c r="N901" s="501"/>
    </row>
    <row r="902" spans="1:14" x14ac:dyDescent="0.25">
      <c r="A902" s="353">
        <v>46297</v>
      </c>
      <c r="B902" s="116" t="s">
        <v>586</v>
      </c>
      <c r="C902" s="157" t="s">
        <v>328</v>
      </c>
      <c r="D902" s="503" t="s">
        <v>597</v>
      </c>
      <c r="E902" s="40" t="s">
        <v>585</v>
      </c>
      <c r="F902" s="489" t="s">
        <v>170</v>
      </c>
      <c r="G902" s="489" t="s">
        <v>170</v>
      </c>
      <c r="H902" s="498">
        <f>+Catalogo!$J$58*Tabla1[[#This Row],[Observaciones]]</f>
        <v>0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2">
        <f>IF(Tabla1[[#This Row],[Avance_km]]&lt;&gt;"",Tabla1[[#This Row],[Avance_km]],Tabla1[[#This Row],[Avance_Med]])*_xlfn.XLOOKUP(Tabla1[[#This Row],[Codigo_actividad]],Catalogo!$B$6:$B$51,Catalogo!$F$6:$F$51,0)</f>
        <v>0</v>
      </c>
      <c r="N902" s="501"/>
    </row>
    <row r="903" spans="1:14" x14ac:dyDescent="0.25">
      <c r="A903" s="353">
        <v>46296</v>
      </c>
      <c r="B903" s="116" t="s">
        <v>586</v>
      </c>
      <c r="C903" s="157" t="s">
        <v>328</v>
      </c>
      <c r="D903" s="503" t="s">
        <v>600</v>
      </c>
      <c r="E903" s="40" t="s">
        <v>585</v>
      </c>
      <c r="F903" s="489" t="s">
        <v>170</v>
      </c>
      <c r="G903" s="489" t="s">
        <v>170</v>
      </c>
      <c r="H903" s="498">
        <f>+Catalogo!$J$58*Tabla1[[#This Row],[Observaciones]]</f>
        <v>0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2">
        <f>IF(Tabla1[[#This Row],[Avance_km]]&lt;&gt;"",Tabla1[[#This Row],[Avance_km]],Tabla1[[#This Row],[Avance_Med]])*_xlfn.XLOOKUP(Tabla1[[#This Row],[Codigo_actividad]],Catalogo!$B$6:$B$51,Catalogo!$F$6:$F$51,0)</f>
        <v>0</v>
      </c>
      <c r="N903" s="501"/>
    </row>
    <row r="904" spans="1:14" x14ac:dyDescent="0.25">
      <c r="A904" s="353">
        <v>46296</v>
      </c>
      <c r="B904" s="116" t="s">
        <v>586</v>
      </c>
      <c r="C904" s="157" t="s">
        <v>532</v>
      </c>
      <c r="D904" s="503" t="s">
        <v>604</v>
      </c>
      <c r="E904" s="40" t="s">
        <v>585</v>
      </c>
      <c r="F904" s="489" t="s">
        <v>170</v>
      </c>
      <c r="G904" s="489" t="s">
        <v>170</v>
      </c>
      <c r="H904" s="498">
        <f>+Catalogo!$J$58*Tabla1[[#This Row],[Observaciones]]</f>
        <v>0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2">
        <f>IF(Tabla1[[#This Row],[Avance_km]]&lt;&gt;"",Tabla1[[#This Row],[Avance_km]],Tabla1[[#This Row],[Avance_Med]])*_xlfn.XLOOKUP(Tabla1[[#This Row],[Codigo_actividad]],Catalogo!$B$6:$B$51,Catalogo!$F$6:$F$51,0)</f>
        <v>0</v>
      </c>
      <c r="N904" s="501"/>
    </row>
    <row r="905" spans="1:14" x14ac:dyDescent="0.25">
      <c r="A905" s="353">
        <v>46297</v>
      </c>
      <c r="B905" s="116" t="s">
        <v>586</v>
      </c>
      <c r="C905" s="157" t="s">
        <v>532</v>
      </c>
      <c r="D905" s="503" t="s">
        <v>607</v>
      </c>
      <c r="E905" s="40" t="s">
        <v>585</v>
      </c>
      <c r="F905" s="489" t="s">
        <v>170</v>
      </c>
      <c r="G905" s="489" t="s">
        <v>170</v>
      </c>
      <c r="H905" s="498">
        <f>+Catalogo!$J$58*Tabla1[[#This Row],[Observaciones]]</f>
        <v>0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2">
        <f>IF(Tabla1[[#This Row],[Avance_km]]&lt;&gt;"",Tabla1[[#This Row],[Avance_km]],Tabla1[[#This Row],[Avance_Med]])*_xlfn.XLOOKUP(Tabla1[[#This Row],[Codigo_actividad]],Catalogo!$B$6:$B$51,Catalogo!$F$6:$F$51,0)</f>
        <v>0</v>
      </c>
      <c r="N905" s="501"/>
    </row>
    <row r="906" spans="1:14" x14ac:dyDescent="0.25">
      <c r="A906" s="353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2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58"/>
      <c r="B907" s="284"/>
      <c r="C907" s="285"/>
      <c r="D907" s="286"/>
      <c r="E907" s="379"/>
      <c r="F907" s="287"/>
      <c r="G907" s="287"/>
      <c r="H907" s="511" t="str">
        <f>IF(Tabla1[[#This Row],[Codigo_actividad]]&lt;&gt;2.5,IF(((Tabla1[[#This Row],[fin]]-Tabla1[[#This Row],[inicio]])/1000)=0,"",((Tabla1[[#This Row],[fin]]-Tabla1[[#This Row],[inicio]])/1000)),"")</f>
        <v/>
      </c>
      <c r="I907" s="515"/>
      <c r="J907" s="512"/>
      <c r="K907" s="512" t="str">
        <f>IF(_xlfn.XLOOKUP($J907,Catalogo!$B$7:$B$21,Catalogo!$I$7:$I$21,"",0)=0,"",_xlfn.XLOOKUP($J907,Catalogo!$B$7:$B$21,Catalogo!$I$7:$I$21,"",0))</f>
        <v/>
      </c>
      <c r="L907" s="513"/>
      <c r="M907" s="514">
        <f>IF(Tabla1[[#This Row],[Avance_km]]&lt;&gt;"",Tabla1[[#This Row],[Avance_km]],Tabla1[[#This Row],[Avance_Med]])*_xlfn.XLOOKUP(Tabla1[[#This Row],[Codigo_actividad]],Catalogo!$B$6:$B$51,Catalogo!$F$6:$F$51,0)</f>
        <v>0</v>
      </c>
      <c r="N907" s="515" t="str">
        <f>_xlfn.IFNA(_xlfn.XLOOKUP(Tabla1[[#This Row],[fin]],$P$379:$P$398,$T$379:$T$398),"")</f>
        <v/>
      </c>
    </row>
    <row r="908" spans="1:14" x14ac:dyDescent="0.25">
      <c r="A908" s="353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5">
        <v>46111</v>
      </c>
      <c r="B909" s="263" t="s">
        <v>406</v>
      </c>
      <c r="C909" s="264" t="s">
        <v>13</v>
      </c>
      <c r="D909" s="265" t="s">
        <v>399</v>
      </c>
      <c r="E909" s="376" t="s">
        <v>400</v>
      </c>
      <c r="F909" s="266"/>
      <c r="G909" s="266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/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2">
        <f>IF(Tabla1[[#This Row],[Avance_km]]&lt;&gt;"",Tabla1[[#This Row],[Avance_km]],Tabla1[[#This Row],[Avance_Med]])*_xlfn.XLOOKUP(Tabla1[[#This Row],[Codigo_actividad]],Catalogo!$B$6:$B$51,Catalogo!$F$6:$F$51,0)</f>
        <v>0</v>
      </c>
      <c r="N909">
        <v>37</v>
      </c>
    </row>
    <row r="910" spans="1:14" x14ac:dyDescent="0.25">
      <c r="A910" s="355">
        <v>46111</v>
      </c>
      <c r="B910" s="263" t="s">
        <v>406</v>
      </c>
      <c r="C910" s="264" t="s">
        <v>13</v>
      </c>
      <c r="D910" s="265" t="s">
        <v>399</v>
      </c>
      <c r="E910" s="376" t="s">
        <v>401</v>
      </c>
      <c r="F910" s="266"/>
      <c r="G910" s="266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/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2">
        <f>IF(Tabla1[[#This Row],[Avance_km]]&lt;&gt;"",Tabla1[[#This Row],[Avance_km]],Tabla1[[#This Row],[Avance_Med]])*_xlfn.XLOOKUP(Tabla1[[#This Row],[Codigo_actividad]],Catalogo!$B$6:$B$51,Catalogo!$F$6:$F$51,0)</f>
        <v>0</v>
      </c>
      <c r="N910">
        <v>37</v>
      </c>
    </row>
    <row r="911" spans="1:14" x14ac:dyDescent="0.25">
      <c r="A911" s="355">
        <v>46111</v>
      </c>
      <c r="B911" s="263" t="s">
        <v>406</v>
      </c>
      <c r="C911" s="264" t="s">
        <v>13</v>
      </c>
      <c r="D911" s="265" t="s">
        <v>399</v>
      </c>
      <c r="E911" s="376" t="s">
        <v>402</v>
      </c>
      <c r="F911" s="266"/>
      <c r="G911" s="266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/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2">
        <f>IF(Tabla1[[#This Row],[Avance_km]]&lt;&gt;"",Tabla1[[#This Row],[Avance_km]],Tabla1[[#This Row],[Avance_Med]])*_xlfn.XLOOKUP(Tabla1[[#This Row],[Codigo_actividad]],Catalogo!$B$6:$B$51,Catalogo!$F$6:$F$51,0)</f>
        <v>0</v>
      </c>
      <c r="N911">
        <v>37</v>
      </c>
    </row>
    <row r="912" spans="1:14" x14ac:dyDescent="0.25">
      <c r="A912" s="355">
        <v>46111</v>
      </c>
      <c r="B912" s="263" t="s">
        <v>406</v>
      </c>
      <c r="C912" s="264" t="s">
        <v>13</v>
      </c>
      <c r="D912" s="265" t="s">
        <v>399</v>
      </c>
      <c r="E912" s="376" t="s">
        <v>403</v>
      </c>
      <c r="F912" s="266"/>
      <c r="G912" s="266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/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2">
        <f>IF(Tabla1[[#This Row],[Avance_km]]&lt;&gt;"",Tabla1[[#This Row],[Avance_km]],Tabla1[[#This Row],[Avance_Med]])*_xlfn.XLOOKUP(Tabla1[[#This Row],[Codigo_actividad]],Catalogo!$B$6:$B$51,Catalogo!$F$6:$F$51,0)</f>
        <v>0</v>
      </c>
      <c r="N912">
        <v>37</v>
      </c>
    </row>
    <row r="913" spans="1:14" x14ac:dyDescent="0.25">
      <c r="A913" s="355">
        <v>46111</v>
      </c>
      <c r="B913" s="263" t="s">
        <v>406</v>
      </c>
      <c r="C913" s="264" t="s">
        <v>13</v>
      </c>
      <c r="D913" s="265" t="s">
        <v>399</v>
      </c>
      <c r="E913" s="376" t="s">
        <v>404</v>
      </c>
      <c r="F913" s="266"/>
      <c r="G913" s="266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/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2">
        <f>IF(Tabla1[[#This Row],[Avance_km]]&lt;&gt;"",Tabla1[[#This Row],[Avance_km]],Tabla1[[#This Row],[Avance_Med]])*_xlfn.XLOOKUP(Tabla1[[#This Row],[Codigo_actividad]],Catalogo!$B$6:$B$51,Catalogo!$F$6:$F$51,0)</f>
        <v>0</v>
      </c>
      <c r="N913">
        <v>37</v>
      </c>
    </row>
    <row r="914" spans="1:14" x14ac:dyDescent="0.25">
      <c r="A914" s="355">
        <v>46111</v>
      </c>
      <c r="B914" s="263" t="s">
        <v>406</v>
      </c>
      <c r="C914" s="264" t="s">
        <v>13</v>
      </c>
      <c r="D914" s="265" t="s">
        <v>399</v>
      </c>
      <c r="E914" s="376" t="s">
        <v>405</v>
      </c>
      <c r="F914" s="266"/>
      <c r="G914" s="266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/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2">
        <f>IF(Tabla1[[#This Row],[Avance_km]]&lt;&gt;"",Tabla1[[#This Row],[Avance_km]],Tabla1[[#This Row],[Avance_Med]])*_xlfn.XLOOKUP(Tabla1[[#This Row],[Codigo_actividad]],Catalogo!$B$6:$B$51,Catalogo!$F$6:$F$51,0)</f>
        <v>0</v>
      </c>
      <c r="N914">
        <v>37</v>
      </c>
    </row>
    <row r="915" spans="1:14" x14ac:dyDescent="0.25">
      <c r="A915" s="356">
        <v>46111</v>
      </c>
      <c r="B915" s="267" t="s">
        <v>406</v>
      </c>
      <c r="C915" s="268" t="s">
        <v>22</v>
      </c>
      <c r="D915" s="269" t="s">
        <v>399</v>
      </c>
      <c r="E915" s="377" t="s">
        <v>400</v>
      </c>
      <c r="F915" s="270"/>
      <c r="G915" s="270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/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2">
        <f>IF(Tabla1[[#This Row],[Avance_km]]&lt;&gt;"",Tabla1[[#This Row],[Avance_km]],Tabla1[[#This Row],[Avance_Med]])*_xlfn.XLOOKUP(Tabla1[[#This Row],[Codigo_actividad]],Catalogo!$B$6:$B$51,Catalogo!$F$6:$F$51,0)</f>
        <v>0</v>
      </c>
      <c r="N915">
        <v>17</v>
      </c>
    </row>
    <row r="916" spans="1:14" x14ac:dyDescent="0.25">
      <c r="A916" s="356">
        <v>46111</v>
      </c>
      <c r="B916" s="267" t="s">
        <v>406</v>
      </c>
      <c r="C916" s="268" t="s">
        <v>22</v>
      </c>
      <c r="D916" s="269" t="s">
        <v>399</v>
      </c>
      <c r="E916" s="377" t="s">
        <v>401</v>
      </c>
      <c r="F916" s="270"/>
      <c r="G916" s="270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/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2">
        <f>IF(Tabla1[[#This Row],[Avance_km]]&lt;&gt;"",Tabla1[[#This Row],[Avance_km]],Tabla1[[#This Row],[Avance_Med]])*_xlfn.XLOOKUP(Tabla1[[#This Row],[Codigo_actividad]],Catalogo!$B$6:$B$51,Catalogo!$F$6:$F$51,0)</f>
        <v>0</v>
      </c>
      <c r="N916">
        <v>17</v>
      </c>
    </row>
    <row r="917" spans="1:14" x14ac:dyDescent="0.25">
      <c r="A917" s="356">
        <v>46111</v>
      </c>
      <c r="B917" s="267" t="s">
        <v>406</v>
      </c>
      <c r="C917" s="268" t="s">
        <v>22</v>
      </c>
      <c r="D917" s="269" t="s">
        <v>399</v>
      </c>
      <c r="E917" s="377" t="s">
        <v>402</v>
      </c>
      <c r="F917" s="270"/>
      <c r="G917" s="270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/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2">
        <f>IF(Tabla1[[#This Row],[Avance_km]]&lt;&gt;"",Tabla1[[#This Row],[Avance_km]],Tabla1[[#This Row],[Avance_Med]])*_xlfn.XLOOKUP(Tabla1[[#This Row],[Codigo_actividad]],Catalogo!$B$6:$B$51,Catalogo!$F$6:$F$51,0)</f>
        <v>0</v>
      </c>
      <c r="N917">
        <v>17</v>
      </c>
    </row>
    <row r="918" spans="1:14" x14ac:dyDescent="0.25">
      <c r="A918" s="356">
        <v>46111</v>
      </c>
      <c r="B918" s="267" t="s">
        <v>406</v>
      </c>
      <c r="C918" s="268" t="s">
        <v>22</v>
      </c>
      <c r="D918" s="269" t="s">
        <v>399</v>
      </c>
      <c r="E918" s="377" t="s">
        <v>403</v>
      </c>
      <c r="F918" s="270"/>
      <c r="G918" s="270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/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2">
        <f>IF(Tabla1[[#This Row],[Avance_km]]&lt;&gt;"",Tabla1[[#This Row],[Avance_km]],Tabla1[[#This Row],[Avance_Med]])*_xlfn.XLOOKUP(Tabla1[[#This Row],[Codigo_actividad]],Catalogo!$B$6:$B$51,Catalogo!$F$6:$F$51,0)</f>
        <v>0</v>
      </c>
      <c r="N918">
        <v>17</v>
      </c>
    </row>
    <row r="919" spans="1:14" x14ac:dyDescent="0.25">
      <c r="A919" s="356">
        <v>46111</v>
      </c>
      <c r="B919" s="267" t="s">
        <v>406</v>
      </c>
      <c r="C919" s="268" t="s">
        <v>22</v>
      </c>
      <c r="D919" s="269" t="s">
        <v>399</v>
      </c>
      <c r="E919" s="377" t="s">
        <v>404</v>
      </c>
      <c r="F919" s="270"/>
      <c r="G919" s="270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/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2">
        <f>IF(Tabla1[[#This Row],[Avance_km]]&lt;&gt;"",Tabla1[[#This Row],[Avance_km]],Tabla1[[#This Row],[Avance_Med]])*_xlfn.XLOOKUP(Tabla1[[#This Row],[Codigo_actividad]],Catalogo!$B$6:$B$51,Catalogo!$F$6:$F$51,0)</f>
        <v>0</v>
      </c>
      <c r="N919">
        <v>17</v>
      </c>
    </row>
    <row r="920" spans="1:14" x14ac:dyDescent="0.25">
      <c r="A920" s="356">
        <v>46111</v>
      </c>
      <c r="B920" s="267" t="s">
        <v>406</v>
      </c>
      <c r="C920" s="268" t="s">
        <v>22</v>
      </c>
      <c r="D920" s="269" t="s">
        <v>399</v>
      </c>
      <c r="E920" s="377" t="s">
        <v>405</v>
      </c>
      <c r="F920" s="270"/>
      <c r="G920" s="270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/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2">
        <f>IF(Tabla1[[#This Row],[Avance_km]]&lt;&gt;"",Tabla1[[#This Row],[Avance_km]],Tabla1[[#This Row],[Avance_Med]])*_xlfn.XLOOKUP(Tabla1[[#This Row],[Codigo_actividad]],Catalogo!$B$6:$B$51,Catalogo!$F$6:$F$51,0)</f>
        <v>0</v>
      </c>
      <c r="N920">
        <v>17</v>
      </c>
    </row>
    <row r="921" spans="1:14" x14ac:dyDescent="0.25">
      <c r="A921" s="357">
        <v>46111</v>
      </c>
      <c r="B921" s="271" t="s">
        <v>406</v>
      </c>
      <c r="C921" s="272" t="s">
        <v>328</v>
      </c>
      <c r="D921" s="273" t="s">
        <v>399</v>
      </c>
      <c r="E921" s="378" t="s">
        <v>400</v>
      </c>
      <c r="F921" s="274"/>
      <c r="G921" s="274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/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2">
        <f>IF(Tabla1[[#This Row],[Avance_km]]&lt;&gt;"",Tabla1[[#This Row],[Avance_km]],Tabla1[[#This Row],[Avance_Med]])*_xlfn.XLOOKUP(Tabla1[[#This Row],[Codigo_actividad]],Catalogo!$B$6:$B$51,Catalogo!$F$6:$F$51,0)</f>
        <v>0</v>
      </c>
      <c r="N921">
        <v>40</v>
      </c>
    </row>
    <row r="922" spans="1:14" x14ac:dyDescent="0.25">
      <c r="A922" s="357">
        <v>46111</v>
      </c>
      <c r="B922" s="271" t="s">
        <v>406</v>
      </c>
      <c r="C922" s="272" t="s">
        <v>328</v>
      </c>
      <c r="D922" s="273" t="s">
        <v>399</v>
      </c>
      <c r="E922" s="378" t="s">
        <v>401</v>
      </c>
      <c r="F922" s="274"/>
      <c r="G922" s="274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/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2">
        <f>IF(Tabla1[[#This Row],[Avance_km]]&lt;&gt;"",Tabla1[[#This Row],[Avance_km]],Tabla1[[#This Row],[Avance_Med]])*_xlfn.XLOOKUP(Tabla1[[#This Row],[Codigo_actividad]],Catalogo!$B$6:$B$51,Catalogo!$F$6:$F$51,0)</f>
        <v>0</v>
      </c>
      <c r="N922">
        <v>40</v>
      </c>
    </row>
    <row r="923" spans="1:14" x14ac:dyDescent="0.25">
      <c r="A923" s="357">
        <v>46111</v>
      </c>
      <c r="B923" s="271" t="s">
        <v>406</v>
      </c>
      <c r="C923" s="272" t="s">
        <v>328</v>
      </c>
      <c r="D923" s="273" t="s">
        <v>399</v>
      </c>
      <c r="E923" s="378" t="s">
        <v>402</v>
      </c>
      <c r="F923" s="274"/>
      <c r="G923" s="274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/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2">
        <f>IF(Tabla1[[#This Row],[Avance_km]]&lt;&gt;"",Tabla1[[#This Row],[Avance_km]],Tabla1[[#This Row],[Avance_Med]])*_xlfn.XLOOKUP(Tabla1[[#This Row],[Codigo_actividad]],Catalogo!$B$6:$B$51,Catalogo!$F$6:$F$51,0)</f>
        <v>0</v>
      </c>
      <c r="N923">
        <v>40</v>
      </c>
    </row>
    <row r="924" spans="1:14" x14ac:dyDescent="0.25">
      <c r="A924" s="357">
        <v>46111</v>
      </c>
      <c r="B924" s="271" t="s">
        <v>406</v>
      </c>
      <c r="C924" s="272" t="s">
        <v>328</v>
      </c>
      <c r="D924" s="273" t="s">
        <v>399</v>
      </c>
      <c r="E924" s="378" t="s">
        <v>403</v>
      </c>
      <c r="F924" s="274"/>
      <c r="G924" s="274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/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2">
        <f>IF(Tabla1[[#This Row],[Avance_km]]&lt;&gt;"",Tabla1[[#This Row],[Avance_km]],Tabla1[[#This Row],[Avance_Med]])*_xlfn.XLOOKUP(Tabla1[[#This Row],[Codigo_actividad]],Catalogo!$B$6:$B$51,Catalogo!$F$6:$F$51,0)</f>
        <v>0</v>
      </c>
      <c r="N924">
        <v>40</v>
      </c>
    </row>
    <row r="925" spans="1:14" x14ac:dyDescent="0.25">
      <c r="A925" s="357">
        <v>46111</v>
      </c>
      <c r="B925" s="271" t="s">
        <v>406</v>
      </c>
      <c r="C925" s="272" t="s">
        <v>328</v>
      </c>
      <c r="D925" s="273" t="s">
        <v>399</v>
      </c>
      <c r="E925" s="378" t="s">
        <v>404</v>
      </c>
      <c r="F925" s="274"/>
      <c r="G925" s="274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/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2">
        <f>IF(Tabla1[[#This Row],[Avance_km]]&lt;&gt;"",Tabla1[[#This Row],[Avance_km]],Tabla1[[#This Row],[Avance_Med]])*_xlfn.XLOOKUP(Tabla1[[#This Row],[Codigo_actividad]],Catalogo!$B$6:$B$51,Catalogo!$F$6:$F$51,0)</f>
        <v>0</v>
      </c>
      <c r="N925">
        <v>40</v>
      </c>
    </row>
    <row r="926" spans="1:14" x14ac:dyDescent="0.25">
      <c r="A926" s="357">
        <v>46111</v>
      </c>
      <c r="B926" s="271" t="s">
        <v>406</v>
      </c>
      <c r="C926" s="272" t="s">
        <v>328</v>
      </c>
      <c r="D926" s="273" t="s">
        <v>399</v>
      </c>
      <c r="E926" s="378" t="s">
        <v>405</v>
      </c>
      <c r="F926" s="274"/>
      <c r="G926" s="274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/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2">
        <f>IF(Tabla1[[#This Row],[Avance_km]]&lt;&gt;"",Tabla1[[#This Row],[Avance_km]],Tabla1[[#This Row],[Avance_Med]])*_xlfn.XLOOKUP(Tabla1[[#This Row],[Codigo_actividad]],Catalogo!$B$6:$B$51,Catalogo!$F$6:$F$51,0)</f>
        <v>0</v>
      </c>
      <c r="N926">
        <v>40</v>
      </c>
    </row>
    <row r="927" spans="1:14" x14ac:dyDescent="0.25">
      <c r="A927" s="358">
        <v>46134</v>
      </c>
      <c r="B927" s="284" t="s">
        <v>406</v>
      </c>
      <c r="C927" s="285" t="s">
        <v>407</v>
      </c>
      <c r="D927" s="286" t="s">
        <v>399</v>
      </c>
      <c r="E927" s="379" t="s">
        <v>400</v>
      </c>
      <c r="F927" s="287"/>
      <c r="G927" s="287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/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2">
        <f>IF(Tabla1[[#This Row],[Avance_km]]&lt;&gt;"",Tabla1[[#This Row],[Avance_km]],Tabla1[[#This Row],[Avance_Med]])*_xlfn.XLOOKUP(Tabla1[[#This Row],[Codigo_actividad]],Catalogo!$B$6:$B$51,Catalogo!$F$6:$F$51,0)</f>
        <v>0</v>
      </c>
      <c r="N927">
        <v>4</v>
      </c>
    </row>
    <row r="928" spans="1:14" x14ac:dyDescent="0.25">
      <c r="A928" s="358">
        <v>46134</v>
      </c>
      <c r="B928" s="284" t="s">
        <v>406</v>
      </c>
      <c r="C928" s="285" t="s">
        <v>407</v>
      </c>
      <c r="D928" s="286" t="s">
        <v>399</v>
      </c>
      <c r="E928" s="379" t="s">
        <v>401</v>
      </c>
      <c r="F928" s="287"/>
      <c r="G928" s="287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/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2">
        <f>IF(Tabla1[[#This Row],[Avance_km]]&lt;&gt;"",Tabla1[[#This Row],[Avance_km]],Tabla1[[#This Row],[Avance_Med]])*_xlfn.XLOOKUP(Tabla1[[#This Row],[Codigo_actividad]],Catalogo!$B$6:$B$51,Catalogo!$F$6:$F$51,0)</f>
        <v>0</v>
      </c>
      <c r="N928">
        <v>4</v>
      </c>
    </row>
    <row r="929" spans="1:14" x14ac:dyDescent="0.25">
      <c r="A929" s="358">
        <v>46134</v>
      </c>
      <c r="B929" s="284" t="s">
        <v>406</v>
      </c>
      <c r="C929" s="285" t="s">
        <v>407</v>
      </c>
      <c r="D929" s="286" t="s">
        <v>399</v>
      </c>
      <c r="E929" s="379" t="s">
        <v>402</v>
      </c>
      <c r="F929" s="287"/>
      <c r="G929" s="287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/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2">
        <f>IF(Tabla1[[#This Row],[Avance_km]]&lt;&gt;"",Tabla1[[#This Row],[Avance_km]],Tabla1[[#This Row],[Avance_Med]])*_xlfn.XLOOKUP(Tabla1[[#This Row],[Codigo_actividad]],Catalogo!$B$6:$B$51,Catalogo!$F$6:$F$51,0)</f>
        <v>0</v>
      </c>
      <c r="N929">
        <v>4</v>
      </c>
    </row>
    <row r="930" spans="1:14" x14ac:dyDescent="0.25">
      <c r="A930" s="358">
        <v>46134</v>
      </c>
      <c r="B930" s="284" t="s">
        <v>406</v>
      </c>
      <c r="C930" s="285" t="s">
        <v>407</v>
      </c>
      <c r="D930" s="286" t="s">
        <v>399</v>
      </c>
      <c r="E930" s="379" t="s">
        <v>403</v>
      </c>
      <c r="F930" s="287"/>
      <c r="G930" s="287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/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2">
        <f>IF(Tabla1[[#This Row],[Avance_km]]&lt;&gt;"",Tabla1[[#This Row],[Avance_km]],Tabla1[[#This Row],[Avance_Med]])*_xlfn.XLOOKUP(Tabla1[[#This Row],[Codigo_actividad]],Catalogo!$B$6:$B$51,Catalogo!$F$6:$F$51,0)</f>
        <v>0</v>
      </c>
      <c r="N930">
        <v>4</v>
      </c>
    </row>
    <row r="931" spans="1:14" x14ac:dyDescent="0.25">
      <c r="A931" s="358">
        <v>46134</v>
      </c>
      <c r="B931" s="284" t="s">
        <v>406</v>
      </c>
      <c r="C931" s="285" t="s">
        <v>407</v>
      </c>
      <c r="D931" s="286" t="s">
        <v>399</v>
      </c>
      <c r="E931" s="379" t="s">
        <v>404</v>
      </c>
      <c r="F931" s="287"/>
      <c r="G931" s="287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/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2">
        <f>IF(Tabla1[[#This Row],[Avance_km]]&lt;&gt;"",Tabla1[[#This Row],[Avance_km]],Tabla1[[#This Row],[Avance_Med]])*_xlfn.XLOOKUP(Tabla1[[#This Row],[Codigo_actividad]],Catalogo!$B$6:$B$51,Catalogo!$F$6:$F$51,0)</f>
        <v>0</v>
      </c>
      <c r="N931">
        <v>4</v>
      </c>
    </row>
    <row r="932" spans="1:14" x14ac:dyDescent="0.25">
      <c r="A932" s="358">
        <v>46134</v>
      </c>
      <c r="B932" s="284" t="s">
        <v>406</v>
      </c>
      <c r="C932" s="285" t="s">
        <v>407</v>
      </c>
      <c r="D932" s="286" t="s">
        <v>399</v>
      </c>
      <c r="E932" s="379" t="s">
        <v>405</v>
      </c>
      <c r="F932" s="287"/>
      <c r="G932" s="287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/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2">
        <f>IF(Tabla1[[#This Row],[Avance_km]]&lt;&gt;"",Tabla1[[#This Row],[Avance_km]],Tabla1[[#This Row],[Avance_Med]])*_xlfn.XLOOKUP(Tabla1[[#This Row],[Codigo_actividad]],Catalogo!$B$6:$B$51,Catalogo!$F$6:$F$51,0)</f>
        <v>0</v>
      </c>
      <c r="N932">
        <v>4</v>
      </c>
    </row>
    <row r="933" spans="1:14" x14ac:dyDescent="0.25">
      <c r="A933" s="359">
        <v>46135</v>
      </c>
      <c r="B933" s="288" t="s">
        <v>406</v>
      </c>
      <c r="C933" s="289" t="s">
        <v>557</v>
      </c>
      <c r="D933" s="290" t="s">
        <v>399</v>
      </c>
      <c r="E933" s="380" t="s">
        <v>400</v>
      </c>
      <c r="F933" s="291"/>
      <c r="G933" s="291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/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2">
        <f>IF(Tabla1[[#This Row],[Avance_km]]&lt;&gt;"",Tabla1[[#This Row],[Avance_km]],Tabla1[[#This Row],[Avance_Med]])*_xlfn.XLOOKUP(Tabla1[[#This Row],[Codigo_actividad]],Catalogo!$B$6:$B$51,Catalogo!$F$6:$F$51,0)</f>
        <v>0</v>
      </c>
      <c r="N933">
        <v>13</v>
      </c>
    </row>
    <row r="934" spans="1:14" x14ac:dyDescent="0.25">
      <c r="A934" s="359">
        <v>46135</v>
      </c>
      <c r="B934" s="288" t="s">
        <v>406</v>
      </c>
      <c r="C934" s="289" t="s">
        <v>557</v>
      </c>
      <c r="D934" s="290" t="s">
        <v>399</v>
      </c>
      <c r="E934" s="380" t="s">
        <v>401</v>
      </c>
      <c r="F934" s="291"/>
      <c r="G934" s="291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/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2">
        <f>IF(Tabla1[[#This Row],[Avance_km]]&lt;&gt;"",Tabla1[[#This Row],[Avance_km]],Tabla1[[#This Row],[Avance_Med]])*_xlfn.XLOOKUP(Tabla1[[#This Row],[Codigo_actividad]],Catalogo!$B$6:$B$51,Catalogo!$F$6:$F$51,0)</f>
        <v>0</v>
      </c>
      <c r="N934">
        <v>13</v>
      </c>
    </row>
    <row r="935" spans="1:14" x14ac:dyDescent="0.25">
      <c r="A935" s="359">
        <v>46135</v>
      </c>
      <c r="B935" s="288" t="s">
        <v>406</v>
      </c>
      <c r="C935" s="289" t="s">
        <v>557</v>
      </c>
      <c r="D935" s="290" t="s">
        <v>399</v>
      </c>
      <c r="E935" s="380" t="s">
        <v>402</v>
      </c>
      <c r="F935" s="291"/>
      <c r="G935" s="291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/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2">
        <f>IF(Tabla1[[#This Row],[Avance_km]]&lt;&gt;"",Tabla1[[#This Row],[Avance_km]],Tabla1[[#This Row],[Avance_Med]])*_xlfn.XLOOKUP(Tabla1[[#This Row],[Codigo_actividad]],Catalogo!$B$6:$B$51,Catalogo!$F$6:$F$51,0)</f>
        <v>0</v>
      </c>
      <c r="N935">
        <v>13</v>
      </c>
    </row>
    <row r="936" spans="1:14" x14ac:dyDescent="0.25">
      <c r="A936" s="359">
        <v>46135</v>
      </c>
      <c r="B936" s="288" t="s">
        <v>406</v>
      </c>
      <c r="C936" s="289" t="s">
        <v>557</v>
      </c>
      <c r="D936" s="290" t="s">
        <v>399</v>
      </c>
      <c r="E936" s="380" t="s">
        <v>403</v>
      </c>
      <c r="F936" s="291"/>
      <c r="G936" s="291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/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2">
        <f>IF(Tabla1[[#This Row],[Avance_km]]&lt;&gt;"",Tabla1[[#This Row],[Avance_km]],Tabla1[[#This Row],[Avance_Med]])*_xlfn.XLOOKUP(Tabla1[[#This Row],[Codigo_actividad]],Catalogo!$B$6:$B$51,Catalogo!$F$6:$F$51,0)</f>
        <v>0</v>
      </c>
      <c r="N936">
        <v>13</v>
      </c>
    </row>
    <row r="937" spans="1:14" x14ac:dyDescent="0.25">
      <c r="A937" s="359">
        <v>46135</v>
      </c>
      <c r="B937" s="288" t="s">
        <v>406</v>
      </c>
      <c r="C937" s="289" t="s">
        <v>557</v>
      </c>
      <c r="D937" s="290" t="s">
        <v>399</v>
      </c>
      <c r="E937" s="380" t="s">
        <v>404</v>
      </c>
      <c r="F937" s="291"/>
      <c r="G937" s="291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/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2">
        <f>IF(Tabla1[[#This Row],[Avance_km]]&lt;&gt;"",Tabla1[[#This Row],[Avance_km]],Tabla1[[#This Row],[Avance_Med]])*_xlfn.XLOOKUP(Tabla1[[#This Row],[Codigo_actividad]],Catalogo!$B$6:$B$51,Catalogo!$F$6:$F$51,0)</f>
        <v>0</v>
      </c>
      <c r="N937">
        <v>13</v>
      </c>
    </row>
    <row r="938" spans="1:14" x14ac:dyDescent="0.25">
      <c r="A938" s="359">
        <v>46135</v>
      </c>
      <c r="B938" s="288" t="s">
        <v>406</v>
      </c>
      <c r="C938" s="289" t="s">
        <v>557</v>
      </c>
      <c r="D938" s="290" t="s">
        <v>399</v>
      </c>
      <c r="E938" s="380" t="s">
        <v>405</v>
      </c>
      <c r="F938" s="291"/>
      <c r="G938" s="291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/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2">
        <f>IF(Tabla1[[#This Row],[Avance_km]]&lt;&gt;"",Tabla1[[#This Row],[Avance_km]],Tabla1[[#This Row],[Avance_Med]])*_xlfn.XLOOKUP(Tabla1[[#This Row],[Codigo_actividad]],Catalogo!$B$6:$B$51,Catalogo!$F$6:$F$51,0)</f>
        <v>0</v>
      </c>
      <c r="N938">
        <v>13</v>
      </c>
    </row>
    <row r="939" spans="1:14" x14ac:dyDescent="0.25">
      <c r="A939" s="360">
        <v>46111</v>
      </c>
      <c r="B939" s="275" t="s">
        <v>406</v>
      </c>
      <c r="C939" s="276" t="s">
        <v>264</v>
      </c>
      <c r="D939" s="277" t="s">
        <v>399</v>
      </c>
      <c r="E939" s="381" t="s">
        <v>400</v>
      </c>
      <c r="F939" s="278"/>
      <c r="G939" s="278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/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2">
        <f>IF(Tabla1[[#This Row],[Avance_km]]&lt;&gt;"",Tabla1[[#This Row],[Avance_km]],Tabla1[[#This Row],[Avance_Med]])*_xlfn.XLOOKUP(Tabla1[[#This Row],[Codigo_actividad]],Catalogo!$B$6:$B$51,Catalogo!$F$6:$F$51,0)</f>
        <v>0</v>
      </c>
      <c r="N939">
        <v>3</v>
      </c>
    </row>
    <row r="940" spans="1:14" x14ac:dyDescent="0.25">
      <c r="A940" s="360">
        <v>46111</v>
      </c>
      <c r="B940" s="275" t="s">
        <v>406</v>
      </c>
      <c r="C940" s="276" t="s">
        <v>264</v>
      </c>
      <c r="D940" s="277" t="s">
        <v>399</v>
      </c>
      <c r="E940" s="381" t="s">
        <v>401</v>
      </c>
      <c r="F940" s="278"/>
      <c r="G940" s="278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/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2">
        <f>IF(Tabla1[[#This Row],[Avance_km]]&lt;&gt;"",Tabla1[[#This Row],[Avance_km]],Tabla1[[#This Row],[Avance_Med]])*_xlfn.XLOOKUP(Tabla1[[#This Row],[Codigo_actividad]],Catalogo!$B$6:$B$51,Catalogo!$F$6:$F$51,0)</f>
        <v>0</v>
      </c>
      <c r="N940">
        <v>3</v>
      </c>
    </row>
    <row r="941" spans="1:14" x14ac:dyDescent="0.25">
      <c r="A941" s="360">
        <v>46111</v>
      </c>
      <c r="B941" s="275" t="s">
        <v>406</v>
      </c>
      <c r="C941" s="276" t="s">
        <v>264</v>
      </c>
      <c r="D941" s="277" t="s">
        <v>399</v>
      </c>
      <c r="E941" s="381" t="s">
        <v>402</v>
      </c>
      <c r="F941" s="278"/>
      <c r="G941" s="278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/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2">
        <f>IF(Tabla1[[#This Row],[Avance_km]]&lt;&gt;"",Tabla1[[#This Row],[Avance_km]],Tabla1[[#This Row],[Avance_Med]])*_xlfn.XLOOKUP(Tabla1[[#This Row],[Codigo_actividad]],Catalogo!$B$6:$B$51,Catalogo!$F$6:$F$51,0)</f>
        <v>0</v>
      </c>
      <c r="N941">
        <v>3</v>
      </c>
    </row>
    <row r="942" spans="1:14" x14ac:dyDescent="0.25">
      <c r="A942" s="360">
        <v>46111</v>
      </c>
      <c r="B942" s="275" t="s">
        <v>406</v>
      </c>
      <c r="C942" s="276" t="s">
        <v>264</v>
      </c>
      <c r="D942" s="277" t="s">
        <v>399</v>
      </c>
      <c r="E942" s="381" t="s">
        <v>403</v>
      </c>
      <c r="F942" s="278"/>
      <c r="G942" s="278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/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2">
        <f>IF(Tabla1[[#This Row],[Avance_km]]&lt;&gt;"",Tabla1[[#This Row],[Avance_km]],Tabla1[[#This Row],[Avance_Med]])*_xlfn.XLOOKUP(Tabla1[[#This Row],[Codigo_actividad]],Catalogo!$B$6:$B$51,Catalogo!$F$6:$F$51,0)</f>
        <v>0</v>
      </c>
      <c r="N942">
        <v>3</v>
      </c>
    </row>
    <row r="943" spans="1:14" x14ac:dyDescent="0.25">
      <c r="A943" s="360">
        <v>46111</v>
      </c>
      <c r="B943" s="275" t="s">
        <v>406</v>
      </c>
      <c r="C943" s="276" t="s">
        <v>264</v>
      </c>
      <c r="D943" s="277" t="s">
        <v>399</v>
      </c>
      <c r="E943" s="381" t="s">
        <v>404</v>
      </c>
      <c r="F943" s="278"/>
      <c r="G943" s="278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/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2">
        <f>IF(Tabla1[[#This Row],[Avance_km]]&lt;&gt;"",Tabla1[[#This Row],[Avance_km]],Tabla1[[#This Row],[Avance_Med]])*_xlfn.XLOOKUP(Tabla1[[#This Row],[Codigo_actividad]],Catalogo!$B$6:$B$51,Catalogo!$F$6:$F$51,0)</f>
        <v>0</v>
      </c>
      <c r="N943">
        <v>3</v>
      </c>
    </row>
    <row r="944" spans="1:14" x14ac:dyDescent="0.25">
      <c r="A944" s="360">
        <v>46111</v>
      </c>
      <c r="B944" s="275" t="s">
        <v>406</v>
      </c>
      <c r="C944" s="276" t="s">
        <v>264</v>
      </c>
      <c r="D944" s="277" t="s">
        <v>399</v>
      </c>
      <c r="E944" s="381" t="s">
        <v>405</v>
      </c>
      <c r="F944" s="278"/>
      <c r="G944" s="278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/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2">
        <f>IF(Tabla1[[#This Row],[Avance_km]]&lt;&gt;"",Tabla1[[#This Row],[Avance_km]],Tabla1[[#This Row],[Avance_Med]])*_xlfn.XLOOKUP(Tabla1[[#This Row],[Codigo_actividad]],Catalogo!$B$6:$B$51,Catalogo!$F$6:$F$51,0)</f>
        <v>0</v>
      </c>
      <c r="N944">
        <v>3</v>
      </c>
    </row>
    <row r="945" spans="1:14" x14ac:dyDescent="0.25">
      <c r="A945" s="361">
        <v>46111</v>
      </c>
      <c r="B945" s="279" t="s">
        <v>406</v>
      </c>
      <c r="C945" s="280" t="s">
        <v>334</v>
      </c>
      <c r="D945" s="281" t="s">
        <v>399</v>
      </c>
      <c r="E945" s="382" t="s">
        <v>400</v>
      </c>
      <c r="F945" s="282"/>
      <c r="G945" s="282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/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2">
        <f>IF(Tabla1[[#This Row],[Avance_km]]&lt;&gt;"",Tabla1[[#This Row],[Avance_km]],Tabla1[[#This Row],[Avance_Med]])*_xlfn.XLOOKUP(Tabla1[[#This Row],[Codigo_actividad]],Catalogo!$B$6:$B$51,Catalogo!$F$6:$F$51,0)</f>
        <v>0</v>
      </c>
      <c r="N945">
        <v>2</v>
      </c>
    </row>
    <row r="946" spans="1:14" x14ac:dyDescent="0.25">
      <c r="A946" s="361">
        <v>46111</v>
      </c>
      <c r="B946" s="279" t="s">
        <v>406</v>
      </c>
      <c r="C946" s="280" t="s">
        <v>334</v>
      </c>
      <c r="D946" s="281" t="s">
        <v>399</v>
      </c>
      <c r="E946" s="382" t="s">
        <v>401</v>
      </c>
      <c r="F946" s="282"/>
      <c r="G946" s="282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/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2">
        <f>IF(Tabla1[[#This Row],[Avance_km]]&lt;&gt;"",Tabla1[[#This Row],[Avance_km]],Tabla1[[#This Row],[Avance_Med]])*_xlfn.XLOOKUP(Tabla1[[#This Row],[Codigo_actividad]],Catalogo!$B$6:$B$51,Catalogo!$F$6:$F$51,0)</f>
        <v>0</v>
      </c>
      <c r="N946">
        <v>2</v>
      </c>
    </row>
    <row r="947" spans="1:14" x14ac:dyDescent="0.25">
      <c r="A947" s="361">
        <v>46111</v>
      </c>
      <c r="B947" s="279" t="s">
        <v>406</v>
      </c>
      <c r="C947" s="280" t="s">
        <v>334</v>
      </c>
      <c r="D947" s="281" t="s">
        <v>399</v>
      </c>
      <c r="E947" s="382" t="s">
        <v>402</v>
      </c>
      <c r="F947" s="282"/>
      <c r="G947" s="282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/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2">
        <f>IF(Tabla1[[#This Row],[Avance_km]]&lt;&gt;"",Tabla1[[#This Row],[Avance_km]],Tabla1[[#This Row],[Avance_Med]])*_xlfn.XLOOKUP(Tabla1[[#This Row],[Codigo_actividad]],Catalogo!$B$6:$B$51,Catalogo!$F$6:$F$51,0)</f>
        <v>0</v>
      </c>
      <c r="N947">
        <v>2</v>
      </c>
    </row>
    <row r="948" spans="1:14" x14ac:dyDescent="0.25">
      <c r="A948" s="361">
        <v>46111</v>
      </c>
      <c r="B948" s="279" t="s">
        <v>406</v>
      </c>
      <c r="C948" s="280" t="s">
        <v>334</v>
      </c>
      <c r="D948" s="281" t="s">
        <v>399</v>
      </c>
      <c r="E948" s="382" t="s">
        <v>403</v>
      </c>
      <c r="F948" s="282"/>
      <c r="G948" s="282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/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2">
        <f>IF(Tabla1[[#This Row],[Avance_km]]&lt;&gt;"",Tabla1[[#This Row],[Avance_km]],Tabla1[[#This Row],[Avance_Med]])*_xlfn.XLOOKUP(Tabla1[[#This Row],[Codigo_actividad]],Catalogo!$B$6:$B$51,Catalogo!$F$6:$F$51,0)</f>
        <v>0</v>
      </c>
      <c r="N948">
        <v>2</v>
      </c>
    </row>
    <row r="949" spans="1:14" x14ac:dyDescent="0.25">
      <c r="A949" s="361">
        <v>46111</v>
      </c>
      <c r="B949" s="279" t="s">
        <v>406</v>
      </c>
      <c r="C949" s="280" t="s">
        <v>334</v>
      </c>
      <c r="D949" s="281" t="s">
        <v>399</v>
      </c>
      <c r="E949" s="382" t="s">
        <v>404</v>
      </c>
      <c r="F949" s="282"/>
      <c r="G949" s="282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/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2">
        <f>IF(Tabla1[[#This Row],[Avance_km]]&lt;&gt;"",Tabla1[[#This Row],[Avance_km]],Tabla1[[#This Row],[Avance_Med]])*_xlfn.XLOOKUP(Tabla1[[#This Row],[Codigo_actividad]],Catalogo!$B$6:$B$51,Catalogo!$F$6:$F$51,0)</f>
        <v>0</v>
      </c>
      <c r="N949">
        <v>2</v>
      </c>
    </row>
    <row r="950" spans="1:14" x14ac:dyDescent="0.25">
      <c r="A950" s="361">
        <v>46111</v>
      </c>
      <c r="B950" s="279" t="s">
        <v>406</v>
      </c>
      <c r="C950" s="280" t="s">
        <v>334</v>
      </c>
      <c r="D950" s="281" t="s">
        <v>399</v>
      </c>
      <c r="E950" s="382" t="s">
        <v>405</v>
      </c>
      <c r="F950" s="282"/>
      <c r="G950" s="282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/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2">
        <f>IF(Tabla1[[#This Row],[Avance_km]]&lt;&gt;"",Tabla1[[#This Row],[Avance_km]],Tabla1[[#This Row],[Avance_Med]])*_xlfn.XLOOKUP(Tabla1[[#This Row],[Codigo_actividad]],Catalogo!$B$6:$B$51,Catalogo!$F$6:$F$51,0)</f>
        <v>0</v>
      </c>
      <c r="N950">
        <v>2</v>
      </c>
    </row>
    <row r="951" spans="1:14" x14ac:dyDescent="0.25">
      <c r="A951" s="353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3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4" x14ac:dyDescent="0.25">
      <c r="A952" s="355">
        <v>46111</v>
      </c>
      <c r="B952" s="263" t="s">
        <v>406</v>
      </c>
      <c r="C952" s="264" t="s">
        <v>13</v>
      </c>
      <c r="D952" s="265" t="s">
        <v>399</v>
      </c>
      <c r="E952" s="376" t="s">
        <v>408</v>
      </c>
      <c r="F952" s="266"/>
      <c r="G952" s="266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/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2">
        <f>IF(Tabla1[[#This Row],[Avance_km]]&lt;&gt;"",Tabla1[[#This Row],[Avance_km]],Tabla1[[#This Row],[Avance_Med]])*_xlfn.XLOOKUP(Tabla1[[#This Row],[Codigo_actividad]],Catalogo!$B$6:$B$51,Catalogo!$F$6:$F$51,0)</f>
        <v>0</v>
      </c>
      <c r="N952">
        <v>37</v>
      </c>
    </row>
    <row r="953" spans="1:14" x14ac:dyDescent="0.25">
      <c r="A953" s="355">
        <v>46111</v>
      </c>
      <c r="B953" s="263" t="s">
        <v>406</v>
      </c>
      <c r="C953" s="264" t="s">
        <v>13</v>
      </c>
      <c r="D953" s="265" t="s">
        <v>399</v>
      </c>
      <c r="E953" s="376" t="s">
        <v>396</v>
      </c>
      <c r="F953" s="266"/>
      <c r="G953" s="266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/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2">
        <f>IF(Tabla1[[#This Row],[Avance_km]]&lt;&gt;"",Tabla1[[#This Row],[Avance_km]],Tabla1[[#This Row],[Avance_Med]])*_xlfn.XLOOKUP(Tabla1[[#This Row],[Codigo_actividad]],Catalogo!$B$6:$B$51,Catalogo!$F$6:$F$51,0)</f>
        <v>0</v>
      </c>
      <c r="N953">
        <v>37</v>
      </c>
    </row>
    <row r="954" spans="1:14" x14ac:dyDescent="0.25">
      <c r="A954" s="356">
        <v>46111</v>
      </c>
      <c r="B954" s="267" t="s">
        <v>406</v>
      </c>
      <c r="C954" s="268" t="s">
        <v>22</v>
      </c>
      <c r="D954" s="269" t="s">
        <v>399</v>
      </c>
      <c r="E954" s="377" t="s">
        <v>408</v>
      </c>
      <c r="F954" s="270"/>
      <c r="G954" s="270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/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2">
        <f>IF(Tabla1[[#This Row],[Avance_km]]&lt;&gt;"",Tabla1[[#This Row],[Avance_km]],Tabla1[[#This Row],[Avance_Med]])*_xlfn.XLOOKUP(Tabla1[[#This Row],[Codigo_actividad]],Catalogo!$B$6:$B$51,Catalogo!$F$6:$F$51,0)</f>
        <v>0</v>
      </c>
      <c r="N954">
        <v>17</v>
      </c>
    </row>
    <row r="955" spans="1:14" x14ac:dyDescent="0.25">
      <c r="A955" s="356">
        <v>46111</v>
      </c>
      <c r="B955" s="267" t="s">
        <v>406</v>
      </c>
      <c r="C955" s="268" t="s">
        <v>22</v>
      </c>
      <c r="D955" s="269" t="s">
        <v>399</v>
      </c>
      <c r="E955" s="377" t="s">
        <v>396</v>
      </c>
      <c r="F955" s="270"/>
      <c r="G955" s="270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/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2">
        <f>IF(Tabla1[[#This Row],[Avance_km]]&lt;&gt;"",Tabla1[[#This Row],[Avance_km]],Tabla1[[#This Row],[Avance_Med]])*_xlfn.XLOOKUP(Tabla1[[#This Row],[Codigo_actividad]],Catalogo!$B$6:$B$51,Catalogo!$F$6:$F$51,0)</f>
        <v>0</v>
      </c>
      <c r="N955">
        <v>17</v>
      </c>
    </row>
    <row r="956" spans="1:14" x14ac:dyDescent="0.25">
      <c r="A956" s="402">
        <v>46291</v>
      </c>
      <c r="B956" s="271" t="s">
        <v>406</v>
      </c>
      <c r="C956" s="272" t="s">
        <v>328</v>
      </c>
      <c r="D956" s="273" t="s">
        <v>399</v>
      </c>
      <c r="E956" s="378" t="s">
        <v>408</v>
      </c>
      <c r="F956" s="274"/>
      <c r="G956" s="274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/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2">
        <f>IF(Tabla1[[#This Row],[Avance_km]]&lt;&gt;"",Tabla1[[#This Row],[Avance_km]],Tabla1[[#This Row],[Avance_Med]])*_xlfn.XLOOKUP(Tabla1[[#This Row],[Codigo_actividad]],Catalogo!$B$6:$B$51,Catalogo!$F$6:$F$51,0)</f>
        <v>0</v>
      </c>
      <c r="N956">
        <v>34</v>
      </c>
    </row>
    <row r="957" spans="1:14" x14ac:dyDescent="0.25">
      <c r="A957" s="402">
        <v>46291</v>
      </c>
      <c r="B957" s="271" t="s">
        <v>406</v>
      </c>
      <c r="C957" s="272" t="s">
        <v>328</v>
      </c>
      <c r="D957" s="273" t="s">
        <v>399</v>
      </c>
      <c r="E957" s="378" t="s">
        <v>396</v>
      </c>
      <c r="F957" s="274"/>
      <c r="G957" s="274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/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2">
        <f>IF(Tabla1[[#This Row],[Avance_km]]&lt;&gt;"",Tabla1[[#This Row],[Avance_km]],Tabla1[[#This Row],[Avance_Med]])*_xlfn.XLOOKUP(Tabla1[[#This Row],[Codigo_actividad]],Catalogo!$B$6:$B$51,Catalogo!$F$6:$F$51,0)</f>
        <v>0</v>
      </c>
      <c r="N957">
        <v>34</v>
      </c>
    </row>
    <row r="958" spans="1:14" x14ac:dyDescent="0.25">
      <c r="A958" s="403">
        <v>46311</v>
      </c>
      <c r="B958" s="284" t="s">
        <v>406</v>
      </c>
      <c r="C958" s="285" t="s">
        <v>407</v>
      </c>
      <c r="D958" s="286" t="s">
        <v>399</v>
      </c>
      <c r="E958" s="379" t="s">
        <v>408</v>
      </c>
      <c r="F958" s="287"/>
      <c r="G958" s="287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7"/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2">
        <f>IF(Tabla1[[#This Row],[Avance_km]]&lt;&gt;"",Tabla1[[#This Row],[Avance_km]],Tabla1[[#This Row],[Avance_Med]])*_xlfn.XLOOKUP(Tabla1[[#This Row],[Codigo_actividad]],Catalogo!$B$6:$B$51,Catalogo!$F$6:$F$51,0)</f>
        <v>0</v>
      </c>
      <c r="N958">
        <v>4</v>
      </c>
    </row>
    <row r="959" spans="1:14" x14ac:dyDescent="0.25">
      <c r="A959" s="403">
        <v>46311</v>
      </c>
      <c r="B959" s="284" t="s">
        <v>406</v>
      </c>
      <c r="C959" s="285" t="s">
        <v>407</v>
      </c>
      <c r="D959" s="286" t="s">
        <v>399</v>
      </c>
      <c r="E959" s="379" t="s">
        <v>396</v>
      </c>
      <c r="F959" s="287"/>
      <c r="G959" s="287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7"/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2">
        <f>IF(Tabla1[[#This Row],[Avance_km]]&lt;&gt;"",Tabla1[[#This Row],[Avance_km]],Tabla1[[#This Row],[Avance_Med]])*_xlfn.XLOOKUP(Tabla1[[#This Row],[Codigo_actividad]],Catalogo!$B$6:$B$51,Catalogo!$F$6:$F$51,0)</f>
        <v>0</v>
      </c>
      <c r="N959">
        <v>4</v>
      </c>
    </row>
    <row r="960" spans="1:14" x14ac:dyDescent="0.25">
      <c r="A960" s="404"/>
      <c r="B960" s="288" t="s">
        <v>406</v>
      </c>
      <c r="C960" s="289" t="s">
        <v>557</v>
      </c>
      <c r="D960" s="290" t="s">
        <v>399</v>
      </c>
      <c r="E960" s="380" t="s">
        <v>408</v>
      </c>
      <c r="F960" s="291"/>
      <c r="G960" s="291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3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4"/>
      <c r="B961" s="288" t="s">
        <v>406</v>
      </c>
      <c r="C961" s="289" t="s">
        <v>557</v>
      </c>
      <c r="D961" s="290" t="s">
        <v>399</v>
      </c>
      <c r="E961" s="380" t="s">
        <v>396</v>
      </c>
      <c r="F961" s="291"/>
      <c r="G961" s="291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3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0">
        <v>46111</v>
      </c>
      <c r="B962" s="275" t="s">
        <v>406</v>
      </c>
      <c r="C962" s="276" t="s">
        <v>264</v>
      </c>
      <c r="D962" s="277" t="s">
        <v>399</v>
      </c>
      <c r="E962" s="381" t="s">
        <v>408</v>
      </c>
      <c r="F962" s="278"/>
      <c r="G962" s="278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3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0">
        <v>46111</v>
      </c>
      <c r="B963" s="275" t="s">
        <v>406</v>
      </c>
      <c r="C963" s="276" t="s">
        <v>264</v>
      </c>
      <c r="D963" s="277" t="s">
        <v>399</v>
      </c>
      <c r="E963" s="381" t="s">
        <v>396</v>
      </c>
      <c r="F963" s="278"/>
      <c r="G963" s="278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3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1">
        <v>46111</v>
      </c>
      <c r="B964" s="279" t="s">
        <v>406</v>
      </c>
      <c r="C964" s="280" t="s">
        <v>334</v>
      </c>
      <c r="D964" s="281" t="s">
        <v>399</v>
      </c>
      <c r="E964" s="382" t="s">
        <v>408</v>
      </c>
      <c r="F964" s="282"/>
      <c r="G964" s="282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3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1">
        <v>46111</v>
      </c>
      <c r="B965" s="279" t="s">
        <v>406</v>
      </c>
      <c r="C965" s="280" t="s">
        <v>334</v>
      </c>
      <c r="D965" s="281" t="s">
        <v>399</v>
      </c>
      <c r="E965" s="382" t="s">
        <v>396</v>
      </c>
      <c r="F965" s="282"/>
      <c r="G965" s="282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3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3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3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5">
        <v>46111</v>
      </c>
      <c r="B967" s="263" t="s">
        <v>406</v>
      </c>
      <c r="C967" s="264" t="s">
        <v>13</v>
      </c>
      <c r="D967" s="265" t="s">
        <v>399</v>
      </c>
      <c r="E967" s="376" t="s">
        <v>409</v>
      </c>
      <c r="F967" s="266"/>
      <c r="G967" s="266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/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2">
        <f>IF(Tabla1[[#This Row],[Avance_km]]&lt;&gt;"",Tabla1[[#This Row],[Avance_km]],Tabla1[[#This Row],[Avance_Med]])*_xlfn.XLOOKUP(Tabla1[[#This Row],[Codigo_actividad]],Catalogo!$B$6:$B$51,Catalogo!$F$6:$F$51,0)</f>
        <v>0</v>
      </c>
      <c r="N967">
        <v>37</v>
      </c>
    </row>
    <row r="968" spans="1:14" x14ac:dyDescent="0.25">
      <c r="A968" s="356">
        <v>46111</v>
      </c>
      <c r="B968" s="267" t="s">
        <v>406</v>
      </c>
      <c r="C968" s="268" t="s">
        <v>22</v>
      </c>
      <c r="D968" s="269" t="s">
        <v>399</v>
      </c>
      <c r="E968" s="377" t="s">
        <v>409</v>
      </c>
      <c r="F968" s="270"/>
      <c r="G968" s="270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/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2">
        <f>IF(Tabla1[[#This Row],[Avance_km]]&lt;&gt;"",Tabla1[[#This Row],[Avance_km]],Tabla1[[#This Row],[Avance_Med]])*_xlfn.XLOOKUP(Tabla1[[#This Row],[Codigo_actividad]],Catalogo!$B$6:$B$51,Catalogo!$F$6:$F$51,0)</f>
        <v>0</v>
      </c>
      <c r="N968">
        <v>17</v>
      </c>
    </row>
    <row r="969" spans="1:14" x14ac:dyDescent="0.25">
      <c r="A969" s="402">
        <v>46291</v>
      </c>
      <c r="B969" s="271" t="s">
        <v>406</v>
      </c>
      <c r="C969" s="272" t="s">
        <v>328</v>
      </c>
      <c r="D969" s="273" t="s">
        <v>399</v>
      </c>
      <c r="E969" s="378" t="s">
        <v>409</v>
      </c>
      <c r="F969" s="274"/>
      <c r="G969" s="274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/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2">
        <f>IF(Tabla1[[#This Row],[Avance_km]]&lt;&gt;"",Tabla1[[#This Row],[Avance_km]],Tabla1[[#This Row],[Avance_Med]])*_xlfn.XLOOKUP(Tabla1[[#This Row],[Codigo_actividad]],Catalogo!$B$6:$B$51,Catalogo!$F$6:$F$51,0)</f>
        <v>0</v>
      </c>
      <c r="N969">
        <v>34</v>
      </c>
    </row>
    <row r="970" spans="1:14" x14ac:dyDescent="0.25">
      <c r="A970" s="403">
        <v>46311</v>
      </c>
      <c r="B970" s="284" t="s">
        <v>406</v>
      </c>
      <c r="C970" s="285" t="s">
        <v>407</v>
      </c>
      <c r="D970" s="286" t="s">
        <v>399</v>
      </c>
      <c r="E970" s="379" t="s">
        <v>409</v>
      </c>
      <c r="F970" s="287"/>
      <c r="G970" s="287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7"/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2">
        <f>IF(Tabla1[[#This Row],[Avance_km]]&lt;&gt;"",Tabla1[[#This Row],[Avance_km]],Tabla1[[#This Row],[Avance_Med]])*_xlfn.XLOOKUP(Tabla1[[#This Row],[Codigo_actividad]],Catalogo!$B$6:$B$51,Catalogo!$F$6:$F$51,0)</f>
        <v>0</v>
      </c>
      <c r="N970">
        <v>4</v>
      </c>
    </row>
    <row r="971" spans="1:14" x14ac:dyDescent="0.25">
      <c r="A971" s="404"/>
      <c r="B971" s="288" t="s">
        <v>406</v>
      </c>
      <c r="C971" s="289" t="s">
        <v>557</v>
      </c>
      <c r="D971" s="290" t="s">
        <v>399</v>
      </c>
      <c r="E971" s="380" t="s">
        <v>409</v>
      </c>
      <c r="F971" s="291"/>
      <c r="G971" s="291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3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5"/>
      <c r="B972" s="275" t="s">
        <v>406</v>
      </c>
      <c r="C972" s="276" t="s">
        <v>264</v>
      </c>
      <c r="D972" s="277" t="s">
        <v>399</v>
      </c>
      <c r="E972" s="381" t="s">
        <v>409</v>
      </c>
      <c r="F972" s="278"/>
      <c r="G972" s="278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3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1"/>
      <c r="B973" s="279" t="s">
        <v>406</v>
      </c>
      <c r="C973" s="280" t="s">
        <v>334</v>
      </c>
      <c r="D973" s="281" t="s">
        <v>399</v>
      </c>
      <c r="E973" s="382" t="s">
        <v>409</v>
      </c>
      <c r="F973" s="282"/>
      <c r="G973" s="282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3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3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3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2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3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2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3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2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3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2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3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2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3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2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3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2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3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2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3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2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3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2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3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2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3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2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3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2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3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2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58"/>
      <c r="B989" s="379"/>
      <c r="C989" s="285"/>
      <c r="D989" s="286"/>
      <c r="E989" s="379"/>
      <c r="F989" s="287"/>
      <c r="G989" s="287"/>
      <c r="H989" s="511" t="str">
        <f>IF(Tabla1[[#This Row],[Codigo_actividad]]&lt;&gt;2.5,IF(((Tabla1[[#This Row],[fin]]-Tabla1[[#This Row],[inicio]])/1000)=0,"",((Tabla1[[#This Row],[fin]]-Tabla1[[#This Row],[inicio]])/1000)),"")</f>
        <v/>
      </c>
      <c r="I989" s="512"/>
      <c r="J989" s="512"/>
      <c r="K989" s="515" t="str">
        <f>IF(_xlfn.XLOOKUP($J989,Catalogo!$B$7:$B$21,Catalogo!$I$7:$I$21,"",0)=0,"",_xlfn.XLOOKUP($J989,Catalogo!$B$7:$B$21,Catalogo!$I$7:$I$21,"",0))</f>
        <v/>
      </c>
      <c r="L989" s="513"/>
      <c r="M989" s="514">
        <f>IF(Tabla1[[#This Row],[Avance_km]]&lt;&gt;"",Tabla1[[#This Row],[Avance_km]],Tabla1[[#This Row],[Avance_Med]])*_xlfn.XLOOKUP(Tabla1[[#This Row],[Codigo_actividad]],Catalogo!$B$6:$B$51,Catalogo!$F$6:$F$51,0)</f>
        <v>0</v>
      </c>
      <c r="N989" s="515" t="str">
        <f>_xlfn.IFNA(_xlfn.XLOOKUP(Tabla1[[#This Row],[fin]],$P$379:$P$398,$T$379:$T$398),"")</f>
        <v/>
      </c>
    </row>
    <row r="990" spans="1:14" x14ac:dyDescent="0.25">
      <c r="A990" s="353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3">
        <v>46258</v>
      </c>
      <c r="B991" s="40" t="s">
        <v>518</v>
      </c>
      <c r="C991" s="157" t="s">
        <v>13</v>
      </c>
      <c r="D991" s="39" t="s">
        <v>399</v>
      </c>
      <c r="E991" s="40" t="s">
        <v>430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/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2">
        <f>IF(Tabla1[[#This Row],[Avance_km]]&lt;&gt;"",Tabla1[[#This Row],[Avance_km]],Tabla1[[#This Row],[Avance_Med]])*_xlfn.XLOOKUP(Tabla1[[#This Row],[Codigo_actividad]],Catalogo!$B$6:$B$51,Catalogo!$F$6:$F$51,0)</f>
        <v>0</v>
      </c>
      <c r="N991">
        <v>24</v>
      </c>
    </row>
    <row r="992" spans="1:14" x14ac:dyDescent="0.25">
      <c r="A992" s="353">
        <v>46258</v>
      </c>
      <c r="B992" s="40" t="s">
        <v>518</v>
      </c>
      <c r="C992" s="157" t="s">
        <v>22</v>
      </c>
      <c r="D992" s="39" t="s">
        <v>399</v>
      </c>
      <c r="E992" s="40" t="s">
        <v>431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435" t="s">
        <v>519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2">
        <f>IF(Tabla1[[#This Row],[Avance_km]]&lt;&gt;"",Tabla1[[#This Row],[Avance_km]],Tabla1[[#This Row],[Avance_Med]])*_xlfn.XLOOKUP(Tabla1[[#This Row],[Codigo_actividad]],Catalogo!$B$6:$B$51,Catalogo!$F$6:$F$51,0)</f>
        <v>0</v>
      </c>
      <c r="N992">
        <v>24</v>
      </c>
    </row>
    <row r="993" spans="1:13" x14ac:dyDescent="0.25">
      <c r="A993" s="353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3"/>
      <c r="C994" s="157"/>
      <c r="D994" s="39"/>
      <c r="F994" s="28"/>
      <c r="G994" s="28"/>
      <c r="H994" s="226">
        <f>SUBTOTAL(109,Tabla1[Avance_km])</f>
        <v>597.86648082106956</v>
      </c>
      <c r="L994" s="36"/>
      <c r="M994" s="293">
        <f>+SUBTOTAL(9,Tabla1[EV])</f>
        <v>8394446.6052999906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31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328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328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63" t="s">
        <v>83</v>
      </c>
      <c r="E1" s="564"/>
      <c r="F1" s="564"/>
      <c r="G1" s="564"/>
      <c r="H1" s="564"/>
      <c r="I1" s="564"/>
      <c r="J1" s="564"/>
      <c r="K1" s="564"/>
      <c r="L1" s="2"/>
    </row>
    <row r="2" spans="2:15" ht="42.75" customHeight="1" x14ac:dyDescent="0.25">
      <c r="B2" s="2"/>
      <c r="C2" s="2"/>
      <c r="D2" s="564"/>
      <c r="E2" s="564"/>
      <c r="F2" s="564"/>
      <c r="G2" s="564"/>
      <c r="H2" s="564"/>
      <c r="I2" s="564"/>
      <c r="J2" s="564"/>
      <c r="K2" s="564"/>
      <c r="L2" s="2"/>
    </row>
    <row r="3" spans="2:15" x14ac:dyDescent="0.25">
      <c r="B3" s="561" t="s">
        <v>84</v>
      </c>
      <c r="C3" s="561"/>
      <c r="D3" s="561"/>
      <c r="E3" s="561"/>
      <c r="F3" s="561"/>
      <c r="G3" s="561" t="s">
        <v>85</v>
      </c>
      <c r="H3" s="561"/>
      <c r="I3" s="561"/>
      <c r="J3" s="561"/>
      <c r="K3" s="561"/>
      <c r="L3" s="3"/>
    </row>
    <row r="4" spans="2:15" x14ac:dyDescent="0.25">
      <c r="B4" s="565"/>
      <c r="C4" s="565"/>
      <c r="D4" s="565"/>
      <c r="E4" s="565"/>
      <c r="F4" s="565"/>
      <c r="G4" s="566" t="s">
        <v>86</v>
      </c>
      <c r="H4" s="566"/>
      <c r="I4" s="566"/>
      <c r="J4" s="566"/>
      <c r="K4" s="566"/>
      <c r="L4" s="3"/>
    </row>
    <row r="5" spans="2:15" ht="27" x14ac:dyDescent="0.25">
      <c r="B5" s="154" t="s">
        <v>87</v>
      </c>
      <c r="C5" s="561" t="s">
        <v>88</v>
      </c>
      <c r="D5" s="562"/>
      <c r="E5" s="562"/>
      <c r="F5" s="562"/>
      <c r="G5" s="154" t="s">
        <v>89</v>
      </c>
      <c r="H5" s="154" t="s">
        <v>90</v>
      </c>
      <c r="I5" s="4" t="s">
        <v>91</v>
      </c>
      <c r="J5" s="4" t="s">
        <v>92</v>
      </c>
      <c r="K5" s="4" t="s">
        <v>93</v>
      </c>
      <c r="L5" s="3"/>
    </row>
    <row r="6" spans="2:15" x14ac:dyDescent="0.25">
      <c r="B6" s="154">
        <v>1</v>
      </c>
      <c r="C6" s="568" t="s">
        <v>94</v>
      </c>
      <c r="D6" s="568"/>
      <c r="E6" s="568"/>
      <c r="F6" s="568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69" t="s">
        <v>95</v>
      </c>
      <c r="D7" s="569"/>
      <c r="E7" s="569"/>
      <c r="F7" s="569"/>
      <c r="G7" s="6">
        <v>105</v>
      </c>
      <c r="H7" s="7" t="s">
        <v>96</v>
      </c>
      <c r="I7" s="8">
        <v>0</v>
      </c>
      <c r="J7" s="9">
        <f>I7*G7</f>
        <v>0</v>
      </c>
      <c r="K7" s="10" t="s">
        <v>97</v>
      </c>
      <c r="L7" s="3"/>
    </row>
    <row r="8" spans="2:15" x14ac:dyDescent="0.25">
      <c r="B8" s="5">
        <v>1.2</v>
      </c>
      <c r="C8" s="569" t="s">
        <v>98</v>
      </c>
      <c r="D8" s="569"/>
      <c r="E8" s="569"/>
      <c r="F8" s="569"/>
      <c r="G8" s="6">
        <v>105</v>
      </c>
      <c r="H8" s="7" t="s">
        <v>96</v>
      </c>
      <c r="I8" s="8">
        <v>0</v>
      </c>
      <c r="J8" s="9">
        <f t="shared" ref="J8:J12" si="0">I8*G8</f>
        <v>0</v>
      </c>
      <c r="K8" s="10" t="s">
        <v>97</v>
      </c>
      <c r="L8" s="3"/>
    </row>
    <row r="9" spans="2:15" x14ac:dyDescent="0.25">
      <c r="B9" s="5">
        <v>1.3</v>
      </c>
      <c r="C9" s="569" t="s">
        <v>99</v>
      </c>
      <c r="D9" s="569"/>
      <c r="E9" s="569"/>
      <c r="F9" s="569"/>
      <c r="G9" s="6">
        <v>105</v>
      </c>
      <c r="H9" s="7" t="s">
        <v>96</v>
      </c>
      <c r="I9" s="8">
        <v>0</v>
      </c>
      <c r="J9" s="9">
        <f t="shared" si="0"/>
        <v>0</v>
      </c>
      <c r="K9" s="10" t="s">
        <v>97</v>
      </c>
      <c r="L9" s="3"/>
    </row>
    <row r="10" spans="2:15" x14ac:dyDescent="0.25">
      <c r="B10" s="5" t="s">
        <v>100</v>
      </c>
      <c r="C10" s="570" t="s">
        <v>101</v>
      </c>
      <c r="D10" s="570"/>
      <c r="E10" s="570"/>
      <c r="F10" s="570"/>
      <c r="G10" s="6">
        <v>105</v>
      </c>
      <c r="H10" s="7" t="s">
        <v>96</v>
      </c>
      <c r="I10" s="8">
        <v>0</v>
      </c>
      <c r="J10" s="9">
        <f t="shared" si="0"/>
        <v>0</v>
      </c>
      <c r="K10" s="10" t="s">
        <v>97</v>
      </c>
      <c r="L10" s="3"/>
    </row>
    <row r="11" spans="2:15" x14ac:dyDescent="0.25">
      <c r="B11" s="5">
        <v>1.5</v>
      </c>
      <c r="C11" s="569" t="s">
        <v>102</v>
      </c>
      <c r="D11" s="569"/>
      <c r="E11" s="569"/>
      <c r="F11" s="569"/>
      <c r="G11" s="6">
        <v>105</v>
      </c>
      <c r="H11" s="7" t="s">
        <v>96</v>
      </c>
      <c r="I11" s="8">
        <v>0</v>
      </c>
      <c r="J11" s="9">
        <f t="shared" si="0"/>
        <v>0</v>
      </c>
      <c r="K11" s="10" t="s">
        <v>97</v>
      </c>
      <c r="L11" s="3"/>
    </row>
    <row r="12" spans="2:15" ht="39.950000000000003" customHeight="1" x14ac:dyDescent="0.25">
      <c r="B12" s="5">
        <v>1.6</v>
      </c>
      <c r="C12" s="569" t="s">
        <v>103</v>
      </c>
      <c r="D12" s="569"/>
      <c r="E12" s="569"/>
      <c r="F12" s="569"/>
      <c r="G12" s="6">
        <v>105</v>
      </c>
      <c r="H12" s="7" t="s">
        <v>96</v>
      </c>
      <c r="I12" s="8">
        <v>0</v>
      </c>
      <c r="J12" s="9">
        <f t="shared" si="0"/>
        <v>0</v>
      </c>
      <c r="K12" s="10" t="s">
        <v>97</v>
      </c>
      <c r="L12" s="3"/>
    </row>
    <row r="13" spans="2:15" x14ac:dyDescent="0.25">
      <c r="B13" s="154">
        <v>2</v>
      </c>
      <c r="C13" s="568" t="s">
        <v>104</v>
      </c>
      <c r="D13" s="568"/>
      <c r="E13" s="568"/>
      <c r="F13" s="568"/>
      <c r="G13" s="154"/>
      <c r="H13" s="154"/>
      <c r="I13" s="11" t="s">
        <v>105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69" t="s">
        <v>106</v>
      </c>
      <c r="D14" s="569"/>
      <c r="E14" s="569"/>
      <c r="F14" s="569"/>
      <c r="G14" s="7">
        <v>200</v>
      </c>
      <c r="H14" s="7" t="s">
        <v>107</v>
      </c>
      <c r="I14" s="8">
        <v>0</v>
      </c>
      <c r="J14" s="9">
        <f t="shared" ref="J14:J21" si="1">I14*G14</f>
        <v>0</v>
      </c>
      <c r="K14" s="10" t="s">
        <v>97</v>
      </c>
      <c r="L14" s="3"/>
      <c r="O14" s="13"/>
    </row>
    <row r="15" spans="2:15" ht="14.25" customHeight="1" x14ac:dyDescent="0.25">
      <c r="B15" s="5">
        <v>2.2000000000000002</v>
      </c>
      <c r="C15" s="569" t="s">
        <v>108</v>
      </c>
      <c r="D15" s="569"/>
      <c r="E15" s="569"/>
      <c r="F15" s="569"/>
      <c r="G15" s="7">
        <v>200</v>
      </c>
      <c r="H15" s="7" t="s">
        <v>107</v>
      </c>
      <c r="I15" s="8">
        <v>0</v>
      </c>
      <c r="J15" s="9">
        <f t="shared" si="1"/>
        <v>0</v>
      </c>
      <c r="K15" s="10" t="s">
        <v>97</v>
      </c>
      <c r="L15" s="3"/>
      <c r="O15" s="13"/>
    </row>
    <row r="16" spans="2:15" ht="14.25" customHeight="1" x14ac:dyDescent="0.25">
      <c r="B16" s="5">
        <v>2.2999999999999998</v>
      </c>
      <c r="C16" s="569" t="s">
        <v>109</v>
      </c>
      <c r="D16" s="569"/>
      <c r="E16" s="569"/>
      <c r="F16" s="569"/>
      <c r="G16" s="7">
        <v>200</v>
      </c>
      <c r="H16" s="7" t="s">
        <v>107</v>
      </c>
      <c r="I16" s="8">
        <v>0</v>
      </c>
      <c r="J16" s="9">
        <f t="shared" si="1"/>
        <v>0</v>
      </c>
      <c r="K16" s="10" t="s">
        <v>97</v>
      </c>
      <c r="L16" s="3"/>
      <c r="O16" s="13"/>
    </row>
    <row r="17" spans="2:15" ht="14.25" customHeight="1" x14ac:dyDescent="0.25">
      <c r="B17" s="5">
        <v>2.4</v>
      </c>
      <c r="C17" s="567" t="s">
        <v>110</v>
      </c>
      <c r="D17" s="567"/>
      <c r="E17" s="567"/>
      <c r="F17" s="567"/>
      <c r="G17" s="7">
        <v>200</v>
      </c>
      <c r="H17" s="7" t="s">
        <v>107</v>
      </c>
      <c r="I17" s="8">
        <v>0</v>
      </c>
      <c r="J17" s="9">
        <f t="shared" si="1"/>
        <v>0</v>
      </c>
      <c r="K17" s="10" t="s">
        <v>97</v>
      </c>
      <c r="L17" s="3"/>
      <c r="O17" s="13"/>
    </row>
    <row r="18" spans="2:15" ht="23.25" customHeight="1" x14ac:dyDescent="0.25">
      <c r="B18" s="14">
        <v>2.5</v>
      </c>
      <c r="C18" s="569" t="s">
        <v>111</v>
      </c>
      <c r="D18" s="569"/>
      <c r="E18" s="569"/>
      <c r="F18" s="569"/>
      <c r="G18" s="7">
        <v>500</v>
      </c>
      <c r="H18" s="7" t="s">
        <v>112</v>
      </c>
      <c r="I18" s="8">
        <v>0</v>
      </c>
      <c r="J18" s="9">
        <f t="shared" si="1"/>
        <v>0</v>
      </c>
      <c r="K18" s="10" t="s">
        <v>97</v>
      </c>
      <c r="L18" s="3"/>
      <c r="O18" s="13"/>
    </row>
    <row r="19" spans="2:15" ht="14.25" customHeight="1" x14ac:dyDescent="0.25">
      <c r="B19" s="5">
        <v>2.6</v>
      </c>
      <c r="C19" s="569" t="s">
        <v>113</v>
      </c>
      <c r="D19" s="569"/>
      <c r="E19" s="569"/>
      <c r="F19" s="569"/>
      <c r="G19" s="7">
        <v>200</v>
      </c>
      <c r="H19" s="7" t="s">
        <v>107</v>
      </c>
      <c r="I19" s="8">
        <v>0</v>
      </c>
      <c r="J19" s="9">
        <f t="shared" si="1"/>
        <v>0</v>
      </c>
      <c r="K19" s="10" t="s">
        <v>97</v>
      </c>
      <c r="L19" s="3"/>
      <c r="O19" s="13"/>
    </row>
    <row r="20" spans="2:15" ht="14.25" customHeight="1" x14ac:dyDescent="0.25">
      <c r="B20" s="5">
        <v>2.7</v>
      </c>
      <c r="C20" s="569" t="s">
        <v>114</v>
      </c>
      <c r="D20" s="569"/>
      <c r="E20" s="569"/>
      <c r="F20" s="569"/>
      <c r="G20" s="7">
        <v>105</v>
      </c>
      <c r="H20" s="7" t="s">
        <v>96</v>
      </c>
      <c r="I20" s="8">
        <v>0</v>
      </c>
      <c r="J20" s="9">
        <f t="shared" si="1"/>
        <v>0</v>
      </c>
      <c r="K20" s="10" t="s">
        <v>97</v>
      </c>
      <c r="L20" s="3"/>
      <c r="O20" s="13"/>
    </row>
    <row r="21" spans="2:15" ht="44.45" customHeight="1" x14ac:dyDescent="0.25">
      <c r="B21" s="5">
        <v>2.8</v>
      </c>
      <c r="C21" s="569" t="s">
        <v>103</v>
      </c>
      <c r="D21" s="569"/>
      <c r="E21" s="569"/>
      <c r="F21" s="569"/>
      <c r="G21" s="7">
        <v>105</v>
      </c>
      <c r="H21" s="7" t="s">
        <v>96</v>
      </c>
      <c r="I21" s="8">
        <v>0</v>
      </c>
      <c r="J21" s="9">
        <f t="shared" si="1"/>
        <v>0</v>
      </c>
      <c r="K21" s="10" t="s">
        <v>97</v>
      </c>
      <c r="L21" s="3"/>
      <c r="O21" s="13"/>
    </row>
    <row r="22" spans="2:15" x14ac:dyDescent="0.25">
      <c r="B22" s="154">
        <v>3</v>
      </c>
      <c r="C22" s="568" t="s">
        <v>115</v>
      </c>
      <c r="D22" s="568"/>
      <c r="E22" s="568"/>
      <c r="F22" s="568"/>
      <c r="G22" s="154"/>
      <c r="H22" s="154"/>
      <c r="I22" s="11" t="s">
        <v>105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69" t="s">
        <v>116</v>
      </c>
      <c r="D23" s="569"/>
      <c r="E23" s="569"/>
      <c r="F23" s="569"/>
      <c r="G23" s="7">
        <v>105</v>
      </c>
      <c r="H23" s="7" t="s">
        <v>117</v>
      </c>
      <c r="I23" s="8">
        <v>0</v>
      </c>
      <c r="J23" s="9">
        <f t="shared" ref="J23:J35" si="2">I23*G23</f>
        <v>0</v>
      </c>
      <c r="K23" s="10" t="s">
        <v>97</v>
      </c>
      <c r="L23" s="3"/>
      <c r="O23" s="13"/>
    </row>
    <row r="24" spans="2:15" x14ac:dyDescent="0.25">
      <c r="B24" s="5">
        <v>3.2</v>
      </c>
      <c r="C24" s="569" t="s">
        <v>118</v>
      </c>
      <c r="D24" s="569"/>
      <c r="E24" s="569"/>
      <c r="F24" s="569"/>
      <c r="G24" s="7">
        <v>55</v>
      </c>
      <c r="H24" s="7" t="s">
        <v>119</v>
      </c>
      <c r="I24" s="8">
        <v>0</v>
      </c>
      <c r="J24" s="9">
        <f t="shared" si="2"/>
        <v>0</v>
      </c>
      <c r="K24" s="10" t="s">
        <v>97</v>
      </c>
      <c r="L24" s="3"/>
      <c r="O24" s="13"/>
    </row>
    <row r="25" spans="2:15" x14ac:dyDescent="0.25">
      <c r="B25" s="5">
        <v>3.3</v>
      </c>
      <c r="C25" s="571" t="s">
        <v>120</v>
      </c>
      <c r="D25" s="571"/>
      <c r="E25" s="571"/>
      <c r="F25" s="571"/>
      <c r="G25" s="7"/>
      <c r="H25" s="5"/>
      <c r="I25" s="8">
        <v>0</v>
      </c>
      <c r="J25" s="9">
        <f t="shared" si="2"/>
        <v>0</v>
      </c>
      <c r="K25" s="10" t="s">
        <v>97</v>
      </c>
      <c r="L25" s="3"/>
      <c r="O25" s="13"/>
    </row>
    <row r="26" spans="2:15" x14ac:dyDescent="0.25">
      <c r="B26" s="5" t="s">
        <v>121</v>
      </c>
      <c r="C26" s="569" t="s">
        <v>122</v>
      </c>
      <c r="D26" s="569"/>
      <c r="E26" s="569"/>
      <c r="F26" s="569"/>
      <c r="G26" s="7">
        <v>55</v>
      </c>
      <c r="H26" s="7" t="s">
        <v>119</v>
      </c>
      <c r="I26" s="8">
        <v>0</v>
      </c>
      <c r="J26" s="9">
        <f t="shared" si="2"/>
        <v>0</v>
      </c>
      <c r="K26" s="10" t="s">
        <v>97</v>
      </c>
      <c r="L26" s="3"/>
      <c r="O26" s="13"/>
    </row>
    <row r="27" spans="2:15" x14ac:dyDescent="0.25">
      <c r="B27" s="5" t="s">
        <v>123</v>
      </c>
      <c r="C27" s="569" t="s">
        <v>124</v>
      </c>
      <c r="D27" s="569"/>
      <c r="E27" s="569"/>
      <c r="F27" s="569"/>
      <c r="G27" s="7">
        <v>100</v>
      </c>
      <c r="H27" s="5" t="s">
        <v>125</v>
      </c>
      <c r="I27" s="8">
        <v>0</v>
      </c>
      <c r="J27" s="9">
        <f t="shared" si="2"/>
        <v>0</v>
      </c>
      <c r="K27" s="10" t="s">
        <v>97</v>
      </c>
      <c r="L27" s="3"/>
      <c r="O27" s="13"/>
    </row>
    <row r="28" spans="2:15" x14ac:dyDescent="0.25">
      <c r="B28" s="5" t="s">
        <v>126</v>
      </c>
      <c r="C28" s="569" t="s">
        <v>127</v>
      </c>
      <c r="D28" s="569"/>
      <c r="E28" s="569"/>
      <c r="F28" s="569"/>
      <c r="G28" s="7">
        <v>100</v>
      </c>
      <c r="H28" s="5" t="s">
        <v>125</v>
      </c>
      <c r="I28" s="8">
        <v>0</v>
      </c>
      <c r="J28" s="9">
        <f t="shared" si="2"/>
        <v>0</v>
      </c>
      <c r="K28" s="10" t="s">
        <v>97</v>
      </c>
      <c r="L28" s="3"/>
      <c r="O28" s="13"/>
    </row>
    <row r="29" spans="2:15" x14ac:dyDescent="0.25">
      <c r="B29" s="5" t="s">
        <v>128</v>
      </c>
      <c r="C29" s="569" t="s">
        <v>129</v>
      </c>
      <c r="D29" s="569"/>
      <c r="E29" s="569"/>
      <c r="F29" s="569"/>
      <c r="G29" s="7">
        <v>170</v>
      </c>
      <c r="H29" s="5" t="s">
        <v>125</v>
      </c>
      <c r="I29" s="8">
        <v>0</v>
      </c>
      <c r="J29" s="9">
        <f t="shared" si="2"/>
        <v>0</v>
      </c>
      <c r="K29" s="10" t="s">
        <v>97</v>
      </c>
      <c r="L29" s="3"/>
      <c r="O29" s="13"/>
    </row>
    <row r="30" spans="2:15" x14ac:dyDescent="0.25">
      <c r="B30" s="5" t="s">
        <v>130</v>
      </c>
      <c r="C30" s="569" t="s">
        <v>131</v>
      </c>
      <c r="D30" s="569"/>
      <c r="E30" s="569"/>
      <c r="F30" s="569"/>
      <c r="G30" s="7">
        <v>170</v>
      </c>
      <c r="H30" s="5" t="s">
        <v>125</v>
      </c>
      <c r="I30" s="8">
        <v>0</v>
      </c>
      <c r="J30" s="9">
        <f t="shared" si="2"/>
        <v>0</v>
      </c>
      <c r="K30" s="10" t="s">
        <v>97</v>
      </c>
      <c r="L30" s="3"/>
      <c r="O30" s="13"/>
    </row>
    <row r="31" spans="2:15" x14ac:dyDescent="0.25">
      <c r="B31" s="5" t="s">
        <v>132</v>
      </c>
      <c r="C31" s="569" t="s">
        <v>133</v>
      </c>
      <c r="D31" s="569"/>
      <c r="E31" s="569"/>
      <c r="F31" s="569"/>
      <c r="G31" s="7">
        <v>100</v>
      </c>
      <c r="H31" s="5" t="s">
        <v>125</v>
      </c>
      <c r="I31" s="8">
        <v>0</v>
      </c>
      <c r="J31" s="9">
        <f t="shared" si="2"/>
        <v>0</v>
      </c>
      <c r="K31" s="10" t="s">
        <v>97</v>
      </c>
      <c r="L31" s="3"/>
      <c r="O31" s="13"/>
    </row>
    <row r="32" spans="2:15" x14ac:dyDescent="0.25">
      <c r="B32" s="5" t="s">
        <v>134</v>
      </c>
      <c r="C32" s="569" t="s">
        <v>135</v>
      </c>
      <c r="D32" s="569"/>
      <c r="E32" s="569"/>
      <c r="F32" s="569"/>
      <c r="G32" s="7">
        <v>100</v>
      </c>
      <c r="H32" s="5" t="s">
        <v>125</v>
      </c>
      <c r="I32" s="8">
        <v>0</v>
      </c>
      <c r="J32" s="9">
        <f t="shared" si="2"/>
        <v>0</v>
      </c>
      <c r="K32" s="10" t="s">
        <v>97</v>
      </c>
      <c r="L32" s="3"/>
      <c r="O32" s="13"/>
    </row>
    <row r="33" spans="2:15" x14ac:dyDescent="0.25">
      <c r="B33" s="5" t="s">
        <v>136</v>
      </c>
      <c r="C33" s="569" t="s">
        <v>137</v>
      </c>
      <c r="D33" s="569"/>
      <c r="E33" s="569"/>
      <c r="F33" s="569"/>
      <c r="G33" s="7">
        <v>55</v>
      </c>
      <c r="H33" s="5" t="s">
        <v>125</v>
      </c>
      <c r="I33" s="8">
        <v>0</v>
      </c>
      <c r="J33" s="9">
        <f t="shared" si="2"/>
        <v>0</v>
      </c>
      <c r="K33" s="10" t="s">
        <v>97</v>
      </c>
      <c r="L33" s="3"/>
      <c r="O33" s="13"/>
    </row>
    <row r="34" spans="2:15" ht="24.6" customHeight="1" x14ac:dyDescent="0.25">
      <c r="B34" s="5" t="s">
        <v>138</v>
      </c>
      <c r="C34" s="569" t="s">
        <v>139</v>
      </c>
      <c r="D34" s="569"/>
      <c r="E34" s="569"/>
      <c r="F34" s="569"/>
      <c r="G34" s="7">
        <v>55</v>
      </c>
      <c r="H34" s="5" t="s">
        <v>125</v>
      </c>
      <c r="I34" s="8">
        <v>0</v>
      </c>
      <c r="J34" s="9">
        <f t="shared" si="2"/>
        <v>0</v>
      </c>
      <c r="K34" s="10" t="s">
        <v>97</v>
      </c>
      <c r="L34" s="3"/>
      <c r="O34" s="13"/>
    </row>
    <row r="35" spans="2:15" ht="36" customHeight="1" x14ac:dyDescent="0.25">
      <c r="B35" s="5">
        <v>3.3</v>
      </c>
      <c r="C35" s="569" t="s">
        <v>140</v>
      </c>
      <c r="D35" s="569"/>
      <c r="E35" s="569"/>
      <c r="F35" s="569"/>
      <c r="G35" s="7">
        <v>105</v>
      </c>
      <c r="H35" s="5" t="s">
        <v>96</v>
      </c>
      <c r="I35" s="8">
        <v>0</v>
      </c>
      <c r="J35" s="9">
        <f t="shared" si="2"/>
        <v>0</v>
      </c>
      <c r="K35" s="10" t="s">
        <v>97</v>
      </c>
      <c r="L35" s="3"/>
      <c r="O35" s="13"/>
    </row>
    <row r="36" spans="2:15" x14ac:dyDescent="0.25">
      <c r="B36" s="154">
        <v>4</v>
      </c>
      <c r="C36" s="568" t="s">
        <v>141</v>
      </c>
      <c r="D36" s="568"/>
      <c r="E36" s="568"/>
      <c r="F36" s="568"/>
      <c r="G36" s="154"/>
      <c r="H36" s="154"/>
      <c r="I36" s="11" t="s">
        <v>105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69" t="s">
        <v>142</v>
      </c>
      <c r="D37" s="569"/>
      <c r="E37" s="569"/>
      <c r="F37" s="569"/>
      <c r="G37" s="7">
        <v>105</v>
      </c>
      <c r="H37" s="5" t="s">
        <v>96</v>
      </c>
      <c r="I37" s="8">
        <v>0</v>
      </c>
      <c r="J37" s="9">
        <f t="shared" ref="J37:J48" si="3">I37*G37</f>
        <v>0</v>
      </c>
      <c r="K37" s="10" t="s">
        <v>97</v>
      </c>
      <c r="L37" s="3"/>
      <c r="O37" s="13"/>
    </row>
    <row r="38" spans="2:15" x14ac:dyDescent="0.25">
      <c r="B38" s="5">
        <v>4.2</v>
      </c>
      <c r="C38" s="569" t="s">
        <v>143</v>
      </c>
      <c r="D38" s="569"/>
      <c r="E38" s="569"/>
      <c r="F38" s="569"/>
      <c r="G38" s="7">
        <v>105</v>
      </c>
      <c r="H38" s="5" t="s">
        <v>96</v>
      </c>
      <c r="I38" s="8">
        <v>0</v>
      </c>
      <c r="J38" s="9">
        <f t="shared" si="3"/>
        <v>0</v>
      </c>
      <c r="K38" s="10" t="s">
        <v>97</v>
      </c>
      <c r="L38" s="3"/>
      <c r="O38" s="13"/>
    </row>
    <row r="39" spans="2:15" x14ac:dyDescent="0.25">
      <c r="B39" s="5">
        <v>4.3</v>
      </c>
      <c r="C39" s="569" t="s">
        <v>144</v>
      </c>
      <c r="D39" s="569"/>
      <c r="E39" s="569"/>
      <c r="F39" s="569"/>
      <c r="G39" s="7">
        <v>105</v>
      </c>
      <c r="H39" s="5" t="s">
        <v>96</v>
      </c>
      <c r="I39" s="8">
        <v>0</v>
      </c>
      <c r="J39" s="9">
        <f t="shared" si="3"/>
        <v>0</v>
      </c>
      <c r="K39" s="10" t="s">
        <v>97</v>
      </c>
      <c r="L39" s="3"/>
      <c r="O39" s="13"/>
    </row>
    <row r="40" spans="2:15" ht="14.45" customHeight="1" x14ac:dyDescent="0.25">
      <c r="B40" s="5">
        <v>4.4000000000000004</v>
      </c>
      <c r="C40" s="569" t="s">
        <v>145</v>
      </c>
      <c r="D40" s="569"/>
      <c r="E40" s="569"/>
      <c r="F40" s="569"/>
      <c r="G40" s="7">
        <v>105</v>
      </c>
      <c r="H40" s="5" t="s">
        <v>96</v>
      </c>
      <c r="I40" s="8">
        <v>0</v>
      </c>
      <c r="J40" s="9">
        <f t="shared" si="3"/>
        <v>0</v>
      </c>
      <c r="K40" s="10" t="s">
        <v>97</v>
      </c>
      <c r="L40" s="3"/>
      <c r="O40" s="13"/>
    </row>
    <row r="41" spans="2:15" ht="14.45" customHeight="1" x14ac:dyDescent="0.25">
      <c r="B41" s="5">
        <v>4.5</v>
      </c>
      <c r="C41" s="569" t="s">
        <v>146</v>
      </c>
      <c r="D41" s="569"/>
      <c r="E41" s="569"/>
      <c r="F41" s="569"/>
      <c r="G41" s="7">
        <v>105</v>
      </c>
      <c r="H41" s="5" t="s">
        <v>96</v>
      </c>
      <c r="I41" s="8">
        <v>0</v>
      </c>
      <c r="J41" s="9">
        <f t="shared" si="3"/>
        <v>0</v>
      </c>
      <c r="K41" s="10" t="s">
        <v>97</v>
      </c>
      <c r="L41" s="3"/>
      <c r="M41" s="15"/>
      <c r="O41" s="13"/>
    </row>
    <row r="42" spans="2:15" ht="14.45" customHeight="1" x14ac:dyDescent="0.25">
      <c r="B42" s="5">
        <v>4.5999999999999996</v>
      </c>
      <c r="C42" s="569" t="s">
        <v>147</v>
      </c>
      <c r="D42" s="569"/>
      <c r="E42" s="569"/>
      <c r="F42" s="569"/>
      <c r="G42" s="7">
        <v>105</v>
      </c>
      <c r="H42" s="5" t="s">
        <v>96</v>
      </c>
      <c r="I42" s="8">
        <v>0</v>
      </c>
      <c r="J42" s="9">
        <f t="shared" si="3"/>
        <v>0</v>
      </c>
      <c r="K42" s="10" t="s">
        <v>97</v>
      </c>
      <c r="L42" s="3"/>
      <c r="O42" s="13"/>
    </row>
    <row r="43" spans="2:15" ht="14.45" customHeight="1" x14ac:dyDescent="0.25">
      <c r="B43" s="5">
        <v>4.7</v>
      </c>
      <c r="C43" s="569" t="s">
        <v>148</v>
      </c>
      <c r="D43" s="569"/>
      <c r="E43" s="569"/>
      <c r="F43" s="569"/>
      <c r="G43" s="7">
        <v>105</v>
      </c>
      <c r="H43" s="5" t="s">
        <v>96</v>
      </c>
      <c r="I43" s="8">
        <v>0</v>
      </c>
      <c r="J43" s="9">
        <f t="shared" si="3"/>
        <v>0</v>
      </c>
      <c r="K43" s="10" t="s">
        <v>97</v>
      </c>
      <c r="L43" s="3"/>
      <c r="O43" s="13"/>
    </row>
    <row r="44" spans="2:15" ht="14.45" customHeight="1" x14ac:dyDescent="0.25">
      <c r="B44" s="5">
        <v>4.8</v>
      </c>
      <c r="C44" s="569" t="s">
        <v>149</v>
      </c>
      <c r="D44" s="569"/>
      <c r="E44" s="569"/>
      <c r="F44" s="569"/>
      <c r="G44" s="7">
        <v>105</v>
      </c>
      <c r="H44" s="5" t="s">
        <v>96</v>
      </c>
      <c r="I44" s="8">
        <v>0</v>
      </c>
      <c r="J44" s="9">
        <f t="shared" si="3"/>
        <v>0</v>
      </c>
      <c r="K44" s="10" t="s">
        <v>97</v>
      </c>
      <c r="L44" s="3"/>
      <c r="O44" s="13"/>
    </row>
    <row r="45" spans="2:15" ht="43.5" customHeight="1" x14ac:dyDescent="0.25">
      <c r="B45" s="5">
        <v>4.9000000000000004</v>
      </c>
      <c r="C45" s="569" t="s">
        <v>150</v>
      </c>
      <c r="D45" s="569"/>
      <c r="E45" s="569"/>
      <c r="F45" s="569"/>
      <c r="G45" s="7">
        <v>100</v>
      </c>
      <c r="H45" s="16" t="s">
        <v>151</v>
      </c>
      <c r="I45" s="8">
        <v>0</v>
      </c>
      <c r="J45" s="9">
        <f t="shared" si="3"/>
        <v>0</v>
      </c>
      <c r="K45" s="10" t="s">
        <v>97</v>
      </c>
      <c r="L45" s="3"/>
      <c r="O45" s="13"/>
    </row>
    <row r="46" spans="2:15" ht="48.75" customHeight="1" x14ac:dyDescent="0.25">
      <c r="B46" s="17">
        <v>4.0999999999999996</v>
      </c>
      <c r="C46" s="569" t="s">
        <v>152</v>
      </c>
      <c r="D46" s="569"/>
      <c r="E46" s="569"/>
      <c r="F46" s="569"/>
      <c r="G46" s="7">
        <v>500</v>
      </c>
      <c r="H46" s="16" t="s">
        <v>151</v>
      </c>
      <c r="I46" s="8">
        <v>0</v>
      </c>
      <c r="J46" s="9">
        <f t="shared" si="3"/>
        <v>0</v>
      </c>
      <c r="K46" s="10" t="s">
        <v>97</v>
      </c>
      <c r="L46" s="3"/>
      <c r="O46" s="13"/>
    </row>
    <row r="47" spans="2:15" ht="51" customHeight="1" x14ac:dyDescent="0.25">
      <c r="B47" s="17">
        <v>4.1100000000000003</v>
      </c>
      <c r="C47" s="569" t="s">
        <v>153</v>
      </c>
      <c r="D47" s="569"/>
      <c r="E47" s="569"/>
      <c r="F47" s="569"/>
      <c r="G47" s="7">
        <v>800</v>
      </c>
      <c r="H47" s="16" t="s">
        <v>151</v>
      </c>
      <c r="I47" s="8">
        <v>0</v>
      </c>
      <c r="J47" s="9">
        <f t="shared" si="3"/>
        <v>0</v>
      </c>
      <c r="K47" s="10" t="s">
        <v>97</v>
      </c>
      <c r="L47" s="3"/>
      <c r="O47" s="13"/>
    </row>
    <row r="48" spans="2:15" ht="24.6" customHeight="1" x14ac:dyDescent="0.25">
      <c r="B48" s="17">
        <v>4.12</v>
      </c>
      <c r="C48" s="569" t="s">
        <v>154</v>
      </c>
      <c r="D48" s="569"/>
      <c r="E48" s="569"/>
      <c r="F48" s="569"/>
      <c r="G48" s="7">
        <v>105</v>
      </c>
      <c r="H48" s="7" t="s">
        <v>96</v>
      </c>
      <c r="I48" s="8">
        <v>0</v>
      </c>
      <c r="J48" s="9">
        <f t="shared" si="3"/>
        <v>0</v>
      </c>
      <c r="K48" s="10" t="s">
        <v>97</v>
      </c>
      <c r="L48" s="3"/>
      <c r="O48" s="13"/>
    </row>
    <row r="49" spans="2:12" x14ac:dyDescent="0.25">
      <c r="B49" s="154">
        <v>5</v>
      </c>
      <c r="C49" s="568" t="s">
        <v>155</v>
      </c>
      <c r="D49" s="568"/>
      <c r="E49" s="568"/>
      <c r="F49" s="568"/>
      <c r="G49" s="154"/>
      <c r="H49" s="154"/>
      <c r="I49" s="11" t="s">
        <v>105</v>
      </c>
      <c r="J49" s="12">
        <f>SUM(J37:J48)</f>
        <v>0</v>
      </c>
      <c r="K49" s="4"/>
    </row>
    <row r="50" spans="2:12" x14ac:dyDescent="0.25">
      <c r="B50" s="5">
        <v>5.0999999999999996</v>
      </c>
      <c r="C50" s="569" t="s">
        <v>156</v>
      </c>
      <c r="D50" s="569"/>
      <c r="E50" s="569"/>
      <c r="F50" s="569"/>
      <c r="G50" s="6"/>
      <c r="H50" s="6" t="s">
        <v>157</v>
      </c>
      <c r="I50" s="8">
        <v>0</v>
      </c>
      <c r="J50" s="9">
        <f t="shared" ref="J50:J51" si="4">I50*G50</f>
        <v>0</v>
      </c>
      <c r="K50" s="10" t="s">
        <v>97</v>
      </c>
    </row>
    <row r="51" spans="2:12" x14ac:dyDescent="0.25">
      <c r="B51" s="5">
        <v>5.2</v>
      </c>
      <c r="C51" s="569" t="s">
        <v>158</v>
      </c>
      <c r="D51" s="569"/>
      <c r="E51" s="569"/>
      <c r="F51" s="569"/>
      <c r="G51" s="6"/>
      <c r="H51" s="6" t="s">
        <v>157</v>
      </c>
      <c r="I51" s="8">
        <v>0</v>
      </c>
      <c r="J51" s="9">
        <f t="shared" si="4"/>
        <v>0</v>
      </c>
      <c r="K51" s="10" t="s">
        <v>97</v>
      </c>
    </row>
    <row r="52" spans="2:12" ht="17.25" x14ac:dyDescent="0.3">
      <c r="I52" s="18" t="s">
        <v>159</v>
      </c>
      <c r="J52" s="19">
        <f>SUM(J13+J22+J36+J49+J50+J51)</f>
        <v>0</v>
      </c>
      <c r="K52" s="20" t="s">
        <v>97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160</v>
      </c>
      <c r="I55" s="18"/>
      <c r="J55" s="19"/>
      <c r="K55" s="20"/>
      <c r="L55" s="3"/>
    </row>
    <row r="56" spans="2:12" ht="20.100000000000001" customHeight="1" x14ac:dyDescent="0.25">
      <c r="B56" s="572"/>
      <c r="C56" s="572"/>
      <c r="D56" s="572"/>
      <c r="E56" s="572"/>
      <c r="F56" s="572"/>
      <c r="G56" s="572"/>
      <c r="H56" s="572"/>
      <c r="I56" s="572"/>
      <c r="J56" s="572"/>
      <c r="K56" s="572"/>
      <c r="L56" s="3"/>
    </row>
    <row r="57" spans="2:12" ht="20.100000000000001" customHeight="1" x14ac:dyDescent="0.25">
      <c r="B57" s="572"/>
      <c r="C57" s="572"/>
      <c r="D57" s="572"/>
      <c r="E57" s="572"/>
      <c r="F57" s="572"/>
      <c r="G57" s="572"/>
      <c r="H57" s="572"/>
      <c r="I57" s="572"/>
      <c r="J57" s="572"/>
      <c r="K57" s="572"/>
      <c r="L57" s="3"/>
    </row>
    <row r="58" spans="2:12" ht="20.100000000000001" customHeight="1" x14ac:dyDescent="0.25">
      <c r="B58" s="572"/>
      <c r="C58" s="572"/>
      <c r="D58" s="572"/>
      <c r="E58" s="572"/>
      <c r="F58" s="572"/>
      <c r="G58" s="572"/>
      <c r="H58" s="572"/>
      <c r="I58" s="572"/>
      <c r="J58" s="572"/>
      <c r="K58" s="572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161</v>
      </c>
      <c r="I60" s="18"/>
      <c r="J60" s="19"/>
      <c r="K60" s="20"/>
      <c r="L60" s="3"/>
    </row>
    <row r="61" spans="2:12" ht="20.100000000000001" customHeight="1" x14ac:dyDescent="0.25">
      <c r="B61" s="572"/>
      <c r="C61" s="572"/>
      <c r="D61" s="572"/>
      <c r="E61" s="572"/>
      <c r="F61" s="572"/>
      <c r="G61" s="572"/>
      <c r="H61" s="572"/>
      <c r="I61" s="572"/>
      <c r="J61" s="572"/>
      <c r="K61" s="572"/>
      <c r="L61" s="3"/>
    </row>
    <row r="62" spans="2:12" ht="20.100000000000001" customHeight="1" x14ac:dyDescent="0.25">
      <c r="B62" s="572"/>
      <c r="C62" s="572"/>
      <c r="D62" s="572"/>
      <c r="E62" s="572"/>
      <c r="F62" s="572"/>
      <c r="G62" s="572"/>
      <c r="H62" s="572"/>
      <c r="I62" s="572"/>
      <c r="J62" s="572"/>
      <c r="K62" s="572"/>
      <c r="L62" s="3"/>
    </row>
    <row r="63" spans="2:12" ht="20.100000000000001" customHeight="1" x14ac:dyDescent="0.25">
      <c r="B63" s="572"/>
      <c r="C63" s="572"/>
      <c r="D63" s="572"/>
      <c r="E63" s="572"/>
      <c r="F63" s="572"/>
      <c r="G63" s="572"/>
      <c r="H63" s="572"/>
      <c r="I63" s="572"/>
      <c r="J63" s="572"/>
      <c r="K63" s="572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1" t="s">
        <v>162</v>
      </c>
      <c r="D66" s="562"/>
      <c r="E66" s="562"/>
      <c r="F66" s="562"/>
    </row>
    <row r="67" spans="2:12" x14ac:dyDescent="0.25">
      <c r="B67" s="5">
        <v>6.1</v>
      </c>
      <c r="C67" s="569" t="s">
        <v>163</v>
      </c>
      <c r="D67" s="569"/>
      <c r="E67" s="569"/>
      <c r="F67" s="569"/>
    </row>
    <row r="68" spans="2:12" x14ac:dyDescent="0.25">
      <c r="B68" s="5">
        <v>6.2</v>
      </c>
      <c r="C68" s="569" t="s">
        <v>164</v>
      </c>
      <c r="D68" s="569"/>
      <c r="E68" s="569"/>
      <c r="F68" s="569"/>
    </row>
    <row r="69" spans="2:12" x14ac:dyDescent="0.25">
      <c r="B69" s="5">
        <v>6.3</v>
      </c>
      <c r="C69" s="569" t="s">
        <v>165</v>
      </c>
      <c r="D69" s="569"/>
      <c r="E69" s="569"/>
      <c r="F69" s="569"/>
    </row>
    <row r="70" spans="2:12" x14ac:dyDescent="0.25">
      <c r="B70" s="5">
        <v>6.4</v>
      </c>
      <c r="C70" s="569" t="s">
        <v>166</v>
      </c>
      <c r="D70" s="569"/>
      <c r="E70" s="569"/>
      <c r="F70" s="569"/>
    </row>
    <row r="71" spans="2:12" x14ac:dyDescent="0.25">
      <c r="B71" s="5">
        <v>6.5</v>
      </c>
      <c r="C71" s="569" t="s">
        <v>167</v>
      </c>
      <c r="D71" s="569"/>
      <c r="E71" s="569"/>
      <c r="F71" s="569"/>
    </row>
    <row r="72" spans="2:12" x14ac:dyDescent="0.25">
      <c r="B72" s="5">
        <v>6.6</v>
      </c>
      <c r="C72" s="569" t="s">
        <v>168</v>
      </c>
      <c r="D72" s="569"/>
      <c r="E72" s="569"/>
      <c r="F72" s="569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6">
        <v>1.1000000000000001</v>
      </c>
      <c r="C2" s="316">
        <v>1.2</v>
      </c>
      <c r="D2" s="316">
        <v>1.3</v>
      </c>
      <c r="E2" s="316">
        <v>1.4</v>
      </c>
      <c r="F2" s="316">
        <v>1.5</v>
      </c>
      <c r="G2" s="316">
        <v>1.6</v>
      </c>
      <c r="H2" s="318">
        <v>2.1</v>
      </c>
      <c r="I2" s="319">
        <v>2.2000000000000002</v>
      </c>
      <c r="J2" s="318">
        <v>2.2999999999999998</v>
      </c>
      <c r="K2" s="319">
        <v>2.4</v>
      </c>
      <c r="L2" s="320">
        <v>2.5</v>
      </c>
      <c r="M2" s="318">
        <v>2.6</v>
      </c>
      <c r="N2" s="318">
        <v>2.7</v>
      </c>
      <c r="O2" s="318">
        <v>2.8</v>
      </c>
      <c r="P2" s="318">
        <v>3.1</v>
      </c>
    </row>
    <row r="3" spans="1:19" s="1" customFormat="1" x14ac:dyDescent="0.25">
      <c r="B3" s="573" t="s">
        <v>394</v>
      </c>
      <c r="C3" s="573"/>
      <c r="D3" s="573"/>
      <c r="E3" s="573"/>
      <c r="F3" s="573"/>
      <c r="G3" s="573"/>
      <c r="H3" s="33" t="s">
        <v>78</v>
      </c>
      <c r="I3" s="33" t="s">
        <v>81</v>
      </c>
      <c r="J3" s="33" t="s">
        <v>79</v>
      </c>
      <c r="K3" s="33" t="s">
        <v>82</v>
      </c>
      <c r="L3" s="252" t="s">
        <v>80</v>
      </c>
      <c r="M3" s="33" t="s">
        <v>77</v>
      </c>
      <c r="N3" s="33" t="s">
        <v>395</v>
      </c>
      <c r="O3" s="33" t="s">
        <v>396</v>
      </c>
      <c r="P3" s="33" t="s">
        <v>409</v>
      </c>
      <c r="Q3" s="1" t="s">
        <v>392</v>
      </c>
      <c r="R3" s="1" t="s">
        <v>342</v>
      </c>
    </row>
    <row r="4" spans="1:19" x14ac:dyDescent="0.25">
      <c r="A4" s="228" t="s">
        <v>393</v>
      </c>
      <c r="B4" s="317"/>
      <c r="C4" s="317"/>
      <c r="D4" s="317"/>
      <c r="E4" s="317"/>
      <c r="F4" s="317"/>
      <c r="G4" s="317"/>
      <c r="H4" s="317"/>
      <c r="I4" s="317"/>
      <c r="J4" s="317"/>
      <c r="K4" s="317"/>
      <c r="L4" s="317"/>
      <c r="M4" s="321"/>
      <c r="N4" s="317"/>
      <c r="O4" s="317"/>
      <c r="P4" s="317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0</v>
      </c>
      <c r="C10" s="233">
        <f>+SUMIFS(Tabla1[Avance_Med],Tabla1[Fecha],"&gt;="&amp;$A10,Tabla1[Fecha],"&lt;="&amp;EOMONTH($A10,0),Tabla1[Codigo_actividad],C$2)</f>
        <v>0</v>
      </c>
      <c r="D10" s="233">
        <f>+SUMIFS(Tabla1[Avance_Med],Tabla1[Fecha],"&gt;="&amp;$A10,Tabla1[Fecha],"&lt;="&amp;EOMONTH($A10,0),Tabla1[Codigo_actividad],D$2)</f>
        <v>0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8"/>
      <c r="R10" s="13">
        <f t="shared" si="0"/>
        <v>8126.7120000000004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129565.31577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0</v>
      </c>
      <c r="O16" s="233">
        <f>+SUMIFS(Tabla1[Avance_Med],Tabla1[Fecha],"&gt;="&amp;$A16,Tabla1[Fecha],"&lt;="&amp;EOMONTH($A16,0),Tabla1[Codigo_actividad],O$2)</f>
        <v>0</v>
      </c>
      <c r="P16" s="233">
        <f>+SUMIFS(Tabla1[Avance_Med],Tabla1[Fecha],"&gt;="&amp;$A16,Tabla1[Fecha],"&lt;="&amp;EOMONTH($A16,0),Tabla1[Codigo_actividad],P$2)</f>
        <v>0</v>
      </c>
      <c r="Q16" s="238"/>
      <c r="R16" s="13">
        <f t="shared" si="0"/>
        <v>294135.93459999998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8"/>
      <c r="R17" s="13">
        <f t="shared" si="0"/>
        <v>237955.01039999997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397</v>
      </c>
      <c r="B20" s="1">
        <f>SUM(B4:B19)</f>
        <v>0</v>
      </c>
      <c r="C20" s="1">
        <f t="shared" ref="C20:O20" si="1">SUM(C4:C19)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0</v>
      </c>
      <c r="O20" s="1">
        <f t="shared" si="1"/>
        <v>0</v>
      </c>
      <c r="P20" s="1"/>
      <c r="Q20" s="239"/>
      <c r="R20" s="13">
        <f>SUM(R4:R19)</f>
        <v>-4249985.9126999974</v>
      </c>
      <c r="S20" s="13">
        <f>+R4-R20</f>
        <v>-6912935.9273000024</v>
      </c>
      <c r="T20" s="253">
        <f>$S$20/$R$4</f>
        <v>0.61927656812295684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1"/>
    </row>
  </sheetData>
  <mergeCells count="1">
    <mergeCell ref="B3:G3"/>
  </mergeCells>
  <conditionalFormatting sqref="B5:H19">
    <cfRule type="expression" dxfId="30" priority="4">
      <formula>B5=0</formula>
    </cfRule>
  </conditionalFormatting>
  <conditionalFormatting sqref="J5:J19">
    <cfRule type="expression" dxfId="29" priority="3">
      <formula>J5=0</formula>
    </cfRule>
  </conditionalFormatting>
  <conditionalFormatting sqref="L5:P19">
    <cfRule type="expression" dxfId="28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74" t="s">
        <v>83</v>
      </c>
      <c r="D1" s="574"/>
      <c r="E1" s="574"/>
      <c r="F1" s="574"/>
      <c r="G1" s="574"/>
      <c r="H1" s="574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1" t="s">
        <v>84</v>
      </c>
      <c r="C3" s="561"/>
      <c r="D3" s="561" t="s">
        <v>85</v>
      </c>
      <c r="E3" s="561"/>
      <c r="F3" s="561"/>
      <c r="G3" s="561"/>
      <c r="H3" s="561"/>
    </row>
    <row r="4" spans="1:21" x14ac:dyDescent="0.25">
      <c r="B4" s="565"/>
      <c r="C4" s="565"/>
      <c r="D4" s="566" t="s">
        <v>86</v>
      </c>
      <c r="E4" s="566"/>
      <c r="F4" s="566"/>
      <c r="G4" s="566"/>
      <c r="H4" s="566"/>
    </row>
    <row r="5" spans="1:21" ht="27" x14ac:dyDescent="0.25">
      <c r="B5" s="154" t="s">
        <v>87</v>
      </c>
      <c r="C5" s="30" t="s">
        <v>88</v>
      </c>
      <c r="D5" s="154" t="s">
        <v>89</v>
      </c>
      <c r="E5" s="154" t="s">
        <v>90</v>
      </c>
      <c r="F5" s="4" t="s">
        <v>91</v>
      </c>
      <c r="G5" s="4" t="s">
        <v>391</v>
      </c>
      <c r="H5" s="4" t="s">
        <v>93</v>
      </c>
    </row>
    <row r="6" spans="1:21" x14ac:dyDescent="0.25">
      <c r="B6" s="154">
        <v>1</v>
      </c>
      <c r="C6" s="30" t="s">
        <v>94</v>
      </c>
      <c r="D6" s="154"/>
      <c r="E6" s="154"/>
      <c r="F6" s="4"/>
      <c r="G6" s="12">
        <f>SUM(G7:G12)</f>
        <v>1246944.32</v>
      </c>
      <c r="H6" s="4"/>
      <c r="K6" s="1" t="s">
        <v>179</v>
      </c>
      <c r="L6" s="1" t="s">
        <v>180</v>
      </c>
      <c r="M6" s="1" t="s">
        <v>210</v>
      </c>
      <c r="N6" s="1" t="s">
        <v>351</v>
      </c>
      <c r="O6" s="1" t="s">
        <v>377</v>
      </c>
      <c r="P6" s="1" t="s">
        <v>271</v>
      </c>
      <c r="Q6" s="1" t="s">
        <v>272</v>
      </c>
      <c r="S6" s="122"/>
      <c r="T6" s="1" t="s">
        <v>273</v>
      </c>
    </row>
    <row r="7" spans="1:21" x14ac:dyDescent="0.25">
      <c r="A7" s="1" t="s">
        <v>274</v>
      </c>
      <c r="B7" s="5">
        <v>1.1000000000000001</v>
      </c>
      <c r="C7" s="29" t="s">
        <v>95</v>
      </c>
      <c r="D7" s="6">
        <v>105</v>
      </c>
      <c r="E7" s="7" t="s">
        <v>96</v>
      </c>
      <c r="F7" s="8">
        <v>2532.81</v>
      </c>
      <c r="G7" s="9">
        <f t="shared" ref="G7:G12" si="0">+F7*R7</f>
        <v>293805.96000000002</v>
      </c>
      <c r="H7" s="10" t="s">
        <v>97</v>
      </c>
      <c r="I7" s="71" t="s">
        <v>275</v>
      </c>
      <c r="K7" s="184">
        <v>37</v>
      </c>
      <c r="L7" s="184">
        <v>17</v>
      </c>
      <c r="M7" s="306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276</v>
      </c>
      <c r="B8" s="5">
        <v>1.2</v>
      </c>
      <c r="C8" s="29" t="s">
        <v>98</v>
      </c>
      <c r="D8" s="6">
        <v>105</v>
      </c>
      <c r="E8" s="7" t="s">
        <v>96</v>
      </c>
      <c r="F8" s="8">
        <v>3250.01</v>
      </c>
      <c r="G8" s="9">
        <f t="shared" si="0"/>
        <v>377001.16000000003</v>
      </c>
      <c r="H8" s="10" t="s">
        <v>97</v>
      </c>
      <c r="I8" s="71" t="s">
        <v>277</v>
      </c>
      <c r="K8" s="184">
        <v>37</v>
      </c>
      <c r="L8" s="184">
        <v>17</v>
      </c>
      <c r="M8" s="306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278</v>
      </c>
      <c r="B9" s="5">
        <v>1.3</v>
      </c>
      <c r="C9" s="29" t="s">
        <v>99</v>
      </c>
      <c r="D9" s="6">
        <v>105</v>
      </c>
      <c r="E9" s="7" t="s">
        <v>96</v>
      </c>
      <c r="F9" s="8">
        <v>985.32</v>
      </c>
      <c r="G9" s="9">
        <f t="shared" si="0"/>
        <v>114297.12000000001</v>
      </c>
      <c r="H9" s="10" t="s">
        <v>97</v>
      </c>
      <c r="I9" s="71" t="s">
        <v>279</v>
      </c>
      <c r="K9" s="184">
        <v>37</v>
      </c>
      <c r="L9" s="184">
        <v>17</v>
      </c>
      <c r="M9" s="306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280</v>
      </c>
      <c r="B10" s="5">
        <v>1.4</v>
      </c>
      <c r="C10" s="31" t="s">
        <v>101</v>
      </c>
      <c r="D10" s="6">
        <v>105</v>
      </c>
      <c r="E10" s="7" t="s">
        <v>96</v>
      </c>
      <c r="F10" s="8">
        <v>1062.92</v>
      </c>
      <c r="G10" s="9">
        <f t="shared" si="0"/>
        <v>123298.72</v>
      </c>
      <c r="H10" s="10" t="s">
        <v>97</v>
      </c>
      <c r="I10" s="71" t="s">
        <v>281</v>
      </c>
      <c r="K10" s="184">
        <v>37</v>
      </c>
      <c r="L10" s="184">
        <v>17</v>
      </c>
      <c r="M10" s="306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282</v>
      </c>
      <c r="B11" s="5">
        <v>1.5</v>
      </c>
      <c r="C11" s="29" t="s">
        <v>102</v>
      </c>
      <c r="D11" s="6">
        <v>105</v>
      </c>
      <c r="E11" s="7" t="s">
        <v>96</v>
      </c>
      <c r="F11" s="8">
        <v>1337.25</v>
      </c>
      <c r="G11" s="9">
        <f t="shared" si="0"/>
        <v>155121</v>
      </c>
      <c r="H11" s="10" t="s">
        <v>97</v>
      </c>
      <c r="I11" s="71" t="s">
        <v>283</v>
      </c>
      <c r="K11" s="184">
        <v>37</v>
      </c>
      <c r="L11" s="184">
        <v>17</v>
      </c>
      <c r="M11" s="306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284</v>
      </c>
      <c r="B12" s="5">
        <v>1.6</v>
      </c>
      <c r="C12" s="29" t="s">
        <v>103</v>
      </c>
      <c r="D12" s="6">
        <v>105</v>
      </c>
      <c r="E12" s="7" t="s">
        <v>96</v>
      </c>
      <c r="F12" s="8">
        <v>1581.21</v>
      </c>
      <c r="G12" s="9">
        <f t="shared" si="0"/>
        <v>183420.36000000002</v>
      </c>
      <c r="H12" s="10" t="s">
        <v>97</v>
      </c>
      <c r="I12" s="71" t="s">
        <v>285</v>
      </c>
      <c r="K12" s="184">
        <v>37</v>
      </c>
      <c r="L12" s="184">
        <v>17</v>
      </c>
      <c r="M12" s="306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104</v>
      </c>
      <c r="D13" s="154"/>
      <c r="E13" s="154"/>
      <c r="F13" s="11" t="s">
        <v>105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286</v>
      </c>
      <c r="B14" s="5">
        <v>2.1</v>
      </c>
      <c r="C14" s="80" t="s">
        <v>106</v>
      </c>
      <c r="D14" s="81">
        <v>200</v>
      </c>
      <c r="E14" s="7" t="s">
        <v>107</v>
      </c>
      <c r="F14" s="8">
        <v>14521.41</v>
      </c>
      <c r="G14" s="9">
        <f t="shared" ref="G14:G21" si="7">+F14*R14</f>
        <v>2620032.659955</v>
      </c>
      <c r="H14" s="10" t="s">
        <v>97</v>
      </c>
      <c r="I14" s="71" t="s">
        <v>78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287</v>
      </c>
      <c r="B15" s="133">
        <v>2.2000000000000002</v>
      </c>
      <c r="C15" s="72" t="s">
        <v>108</v>
      </c>
      <c r="D15" s="73">
        <v>200</v>
      </c>
      <c r="E15" s="73" t="s">
        <v>107</v>
      </c>
      <c r="F15" s="134">
        <v>13555.63</v>
      </c>
      <c r="G15" s="135">
        <f t="shared" si="7"/>
        <v>0</v>
      </c>
      <c r="H15" s="136" t="s">
        <v>97</v>
      </c>
      <c r="I15" s="71" t="s">
        <v>81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288</v>
      </c>
      <c r="B16" s="5">
        <v>2.2999999999999998</v>
      </c>
      <c r="C16" s="80" t="s">
        <v>109</v>
      </c>
      <c r="D16" s="81">
        <v>200</v>
      </c>
      <c r="E16" s="7" t="s">
        <v>107</v>
      </c>
      <c r="F16" s="8">
        <v>13555.63</v>
      </c>
      <c r="G16" s="9">
        <f t="shared" si="7"/>
        <v>2037743.3019350003</v>
      </c>
      <c r="H16" s="10" t="s">
        <v>97</v>
      </c>
      <c r="I16" s="71" t="s">
        <v>79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289</v>
      </c>
      <c r="B17" s="133">
        <v>2.4</v>
      </c>
      <c r="C17" s="72" t="s">
        <v>110</v>
      </c>
      <c r="D17" s="73">
        <v>200</v>
      </c>
      <c r="E17" s="73" t="s">
        <v>107</v>
      </c>
      <c r="F17" s="134">
        <v>13696.28</v>
      </c>
      <c r="G17" s="135">
        <f t="shared" si="7"/>
        <v>0</v>
      </c>
      <c r="H17" s="136" t="s">
        <v>97</v>
      </c>
      <c r="I17" s="71" t="s">
        <v>82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290</v>
      </c>
      <c r="B18" s="14">
        <v>2.5</v>
      </c>
      <c r="C18" s="80" t="s">
        <v>111</v>
      </c>
      <c r="D18" s="81">
        <v>500</v>
      </c>
      <c r="E18" s="7" t="s">
        <v>112</v>
      </c>
      <c r="F18" s="8">
        <v>4658</v>
      </c>
      <c r="G18" s="9">
        <f t="shared" si="7"/>
        <v>1844568</v>
      </c>
      <c r="H18" s="10" t="s">
        <v>97</v>
      </c>
      <c r="I18" s="71" t="s">
        <v>80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291</v>
      </c>
      <c r="B19" s="5">
        <v>2.6</v>
      </c>
      <c r="C19" s="80" t="s">
        <v>113</v>
      </c>
      <c r="D19" s="81">
        <v>200</v>
      </c>
      <c r="E19" s="7" t="s">
        <v>107</v>
      </c>
      <c r="F19" s="8">
        <v>2257.42</v>
      </c>
      <c r="G19" s="9">
        <f t="shared" si="7"/>
        <v>410591.96541000012</v>
      </c>
      <c r="H19" s="10" t="s">
        <v>97</v>
      </c>
      <c r="I19" s="71" t="s">
        <v>77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292</v>
      </c>
      <c r="B20" s="5">
        <v>2.7</v>
      </c>
      <c r="C20" s="29" t="s">
        <v>114</v>
      </c>
      <c r="D20" s="7">
        <v>105</v>
      </c>
      <c r="E20" s="7" t="s">
        <v>96</v>
      </c>
      <c r="F20" s="8">
        <v>3540.12</v>
      </c>
      <c r="G20" s="9">
        <f t="shared" si="7"/>
        <v>385873.08</v>
      </c>
      <c r="H20" s="10" t="s">
        <v>97</v>
      </c>
      <c r="I20" s="71" t="s">
        <v>293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294</v>
      </c>
      <c r="B21" s="5">
        <v>2.8</v>
      </c>
      <c r="C21" s="29" t="s">
        <v>103</v>
      </c>
      <c r="D21" s="7">
        <v>105</v>
      </c>
      <c r="E21" s="7" t="s">
        <v>96</v>
      </c>
      <c r="F21" s="8">
        <v>2646.28</v>
      </c>
      <c r="G21" s="9">
        <f t="shared" si="7"/>
        <v>288444.52</v>
      </c>
      <c r="H21" s="10" t="s">
        <v>97</v>
      </c>
      <c r="I21" s="71" t="s">
        <v>295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115</v>
      </c>
      <c r="D22" s="154"/>
      <c r="E22" s="154"/>
      <c r="F22" s="11" t="s">
        <v>105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296</v>
      </c>
      <c r="B23" s="5">
        <v>3.1</v>
      </c>
      <c r="C23" s="29" t="s">
        <v>116</v>
      </c>
      <c r="D23" s="7">
        <v>105</v>
      </c>
      <c r="E23" s="7" t="s">
        <v>117</v>
      </c>
      <c r="F23" s="8">
        <v>1970.65</v>
      </c>
      <c r="G23" s="9">
        <f>+F23*R23</f>
        <v>214800.85</v>
      </c>
      <c r="H23" s="10" t="s">
        <v>97</v>
      </c>
      <c r="I23" s="71" t="s">
        <v>297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298</v>
      </c>
      <c r="B24" s="5">
        <v>3.2</v>
      </c>
      <c r="C24" s="29" t="s">
        <v>118</v>
      </c>
      <c r="D24" s="7">
        <v>55</v>
      </c>
      <c r="E24" s="7" t="s">
        <v>119</v>
      </c>
      <c r="F24" s="8">
        <v>7585.99</v>
      </c>
      <c r="G24" s="9">
        <v>0</v>
      </c>
      <c r="H24" s="10" t="s">
        <v>97</v>
      </c>
      <c r="I24" s="71" t="s">
        <v>411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2"/>
      <c r="B25" s="410">
        <v>3.3</v>
      </c>
      <c r="C25" s="411" t="s">
        <v>120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299</v>
      </c>
      <c r="B26" s="5" t="s">
        <v>121</v>
      </c>
      <c r="C26" s="29" t="s">
        <v>122</v>
      </c>
      <c r="D26" s="7">
        <v>55</v>
      </c>
      <c r="E26" s="7" t="s">
        <v>119</v>
      </c>
      <c r="F26" s="8">
        <v>1765.59</v>
      </c>
      <c r="G26" s="9">
        <v>0</v>
      </c>
      <c r="H26" s="10" t="s">
        <v>97</v>
      </c>
      <c r="I26" s="71" t="s">
        <v>412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300</v>
      </c>
      <c r="B27" s="5" t="s">
        <v>123</v>
      </c>
      <c r="C27" s="29" t="s">
        <v>124</v>
      </c>
      <c r="D27" s="7">
        <v>100</v>
      </c>
      <c r="E27" s="5" t="s">
        <v>125</v>
      </c>
      <c r="F27" s="8">
        <v>1934.59</v>
      </c>
      <c r="G27" s="9">
        <v>0</v>
      </c>
      <c r="H27" s="10" t="s">
        <v>97</v>
      </c>
      <c r="I27" s="71" t="s">
        <v>419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301</v>
      </c>
      <c r="B28" s="5" t="s">
        <v>126</v>
      </c>
      <c r="C28" s="29" t="s">
        <v>127</v>
      </c>
      <c r="D28" s="7">
        <v>100</v>
      </c>
      <c r="E28" s="5" t="s">
        <v>125</v>
      </c>
      <c r="F28" s="8">
        <v>1960.59</v>
      </c>
      <c r="G28" s="9">
        <v>0</v>
      </c>
      <c r="H28" s="10" t="s">
        <v>97</v>
      </c>
      <c r="I28" s="71" t="s">
        <v>413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302</v>
      </c>
      <c r="B29" s="5" t="s">
        <v>128</v>
      </c>
      <c r="C29" s="29" t="s">
        <v>129</v>
      </c>
      <c r="D29" s="7">
        <v>170</v>
      </c>
      <c r="E29" s="5" t="s">
        <v>125</v>
      </c>
      <c r="F29" s="8">
        <v>2220.59</v>
      </c>
      <c r="G29" s="9">
        <v>0</v>
      </c>
      <c r="H29" s="10" t="s">
        <v>97</v>
      </c>
      <c r="I29" s="71" t="s">
        <v>420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303</v>
      </c>
      <c r="B30" s="5" t="s">
        <v>130</v>
      </c>
      <c r="C30" s="29" t="s">
        <v>131</v>
      </c>
      <c r="D30" s="7">
        <v>170</v>
      </c>
      <c r="E30" s="5" t="s">
        <v>125</v>
      </c>
      <c r="F30" s="8">
        <v>2220.59</v>
      </c>
      <c r="G30" s="9">
        <v>0</v>
      </c>
      <c r="H30" s="10" t="s">
        <v>97</v>
      </c>
      <c r="I30" s="71" t="s">
        <v>418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304</v>
      </c>
      <c r="B31" s="5" t="s">
        <v>132</v>
      </c>
      <c r="C31" s="29" t="s">
        <v>133</v>
      </c>
      <c r="D31" s="7">
        <v>100</v>
      </c>
      <c r="E31" s="5" t="s">
        <v>125</v>
      </c>
      <c r="F31" s="8">
        <v>2090.59</v>
      </c>
      <c r="G31" s="9">
        <v>0</v>
      </c>
      <c r="H31" s="10" t="s">
        <v>97</v>
      </c>
      <c r="I31" s="71" t="s">
        <v>414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305</v>
      </c>
      <c r="B32" s="5" t="s">
        <v>134</v>
      </c>
      <c r="C32" s="29" t="s">
        <v>135</v>
      </c>
      <c r="D32" s="7">
        <v>100</v>
      </c>
      <c r="E32" s="5" t="s">
        <v>125</v>
      </c>
      <c r="F32" s="8">
        <v>2090.59</v>
      </c>
      <c r="G32" s="9">
        <v>0</v>
      </c>
      <c r="H32" s="10" t="s">
        <v>97</v>
      </c>
      <c r="I32" s="71" t="s">
        <v>421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306</v>
      </c>
      <c r="B33" s="5" t="s">
        <v>136</v>
      </c>
      <c r="C33" s="29" t="s">
        <v>137</v>
      </c>
      <c r="D33" s="7">
        <v>55</v>
      </c>
      <c r="E33" s="5" t="s">
        <v>125</v>
      </c>
      <c r="F33" s="8">
        <v>656</v>
      </c>
      <c r="G33" s="9">
        <v>0</v>
      </c>
      <c r="H33" s="10" t="s">
        <v>97</v>
      </c>
      <c r="I33" s="71" t="s">
        <v>416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307</v>
      </c>
      <c r="B34" s="5" t="s">
        <v>138</v>
      </c>
      <c r="C34" s="29" t="s">
        <v>139</v>
      </c>
      <c r="D34" s="7">
        <v>55</v>
      </c>
      <c r="E34" s="5" t="s">
        <v>125</v>
      </c>
      <c r="F34" s="8">
        <v>4676</v>
      </c>
      <c r="G34" s="9">
        <v>0</v>
      </c>
      <c r="H34" s="10" t="s">
        <v>97</v>
      </c>
      <c r="I34" s="71" t="s">
        <v>415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308</v>
      </c>
      <c r="B35" s="5">
        <v>3.4</v>
      </c>
      <c r="C35" s="29" t="s">
        <v>140</v>
      </c>
      <c r="D35" s="7">
        <v>105</v>
      </c>
      <c r="E35" s="5" t="s">
        <v>96</v>
      </c>
      <c r="F35" s="8">
        <v>4124.2700000000004</v>
      </c>
      <c r="G35" s="9">
        <v>0</v>
      </c>
      <c r="H35" s="10" t="s">
        <v>97</v>
      </c>
      <c r="I35" s="71" t="s">
        <v>417</v>
      </c>
      <c r="K35" s="129"/>
    </row>
    <row r="36" spans="1:26" x14ac:dyDescent="0.25">
      <c r="B36" s="154">
        <v>4</v>
      </c>
      <c r="C36" s="30" t="s">
        <v>141</v>
      </c>
      <c r="D36" s="154"/>
      <c r="E36" s="154"/>
      <c r="F36" s="11" t="s">
        <v>105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309</v>
      </c>
      <c r="B37" s="5">
        <v>4.0999999999999996</v>
      </c>
      <c r="C37" s="29" t="s">
        <v>142</v>
      </c>
      <c r="D37" s="7">
        <v>105</v>
      </c>
      <c r="E37" s="5" t="s">
        <v>96</v>
      </c>
      <c r="F37" s="8">
        <v>5020.99</v>
      </c>
      <c r="G37" s="9">
        <v>0</v>
      </c>
      <c r="H37" s="10" t="s">
        <v>97</v>
      </c>
      <c r="I37" s="71" t="s">
        <v>422</v>
      </c>
    </row>
    <row r="38" spans="1:26" x14ac:dyDescent="0.25">
      <c r="A38" s="1" t="s">
        <v>310</v>
      </c>
      <c r="B38" s="5">
        <v>4.2</v>
      </c>
      <c r="C38" s="29" t="s">
        <v>143</v>
      </c>
      <c r="D38" s="7">
        <v>105</v>
      </c>
      <c r="E38" s="5" t="s">
        <v>96</v>
      </c>
      <c r="F38" s="8">
        <v>3652.99</v>
      </c>
      <c r="G38" s="9">
        <v>0</v>
      </c>
      <c r="H38" s="10" t="s">
        <v>97</v>
      </c>
      <c r="I38" s="71" t="s">
        <v>423</v>
      </c>
    </row>
    <row r="39" spans="1:26" x14ac:dyDescent="0.25">
      <c r="A39" s="1" t="s">
        <v>311</v>
      </c>
      <c r="B39" s="5">
        <v>4.3</v>
      </c>
      <c r="C39" s="29" t="s">
        <v>144</v>
      </c>
      <c r="D39" s="7">
        <v>105</v>
      </c>
      <c r="E39" s="5" t="s">
        <v>96</v>
      </c>
      <c r="F39" s="8">
        <v>3201.98</v>
      </c>
      <c r="G39" s="9">
        <v>0</v>
      </c>
      <c r="H39" s="10" t="s">
        <v>97</v>
      </c>
      <c r="I39" s="71" t="s">
        <v>424</v>
      </c>
    </row>
    <row r="40" spans="1:26" x14ac:dyDescent="0.25">
      <c r="A40" s="1" t="s">
        <v>312</v>
      </c>
      <c r="B40" s="5">
        <v>4.4000000000000004</v>
      </c>
      <c r="C40" s="29" t="s">
        <v>145</v>
      </c>
      <c r="D40" s="7">
        <v>105</v>
      </c>
      <c r="E40" s="5" t="s">
        <v>96</v>
      </c>
      <c r="F40" s="8">
        <v>6840</v>
      </c>
      <c r="G40" s="9">
        <v>0</v>
      </c>
      <c r="H40" s="10" t="s">
        <v>97</v>
      </c>
      <c r="I40" s="71" t="s">
        <v>425</v>
      </c>
      <c r="K40" t="s">
        <v>13</v>
      </c>
      <c r="L40" t="s">
        <v>22</v>
      </c>
      <c r="M40" t="s">
        <v>328</v>
      </c>
      <c r="N40" t="s">
        <v>407</v>
      </c>
      <c r="O40" t="s">
        <v>532</v>
      </c>
      <c r="P40" t="s">
        <v>557</v>
      </c>
      <c r="Q40" t="s">
        <v>264</v>
      </c>
      <c r="R40" t="s">
        <v>334</v>
      </c>
    </row>
    <row r="41" spans="1:26" x14ac:dyDescent="0.25">
      <c r="A41" s="1" t="s">
        <v>313</v>
      </c>
      <c r="B41" s="5">
        <v>4.5</v>
      </c>
      <c r="C41" s="29" t="s">
        <v>146</v>
      </c>
      <c r="D41" s="7">
        <v>105</v>
      </c>
      <c r="E41" s="5" t="s">
        <v>96</v>
      </c>
      <c r="F41" s="8">
        <v>2052</v>
      </c>
      <c r="G41" s="9">
        <v>0</v>
      </c>
      <c r="H41" s="10" t="s">
        <v>97</v>
      </c>
      <c r="I41" s="71" t="s">
        <v>426</v>
      </c>
    </row>
    <row r="42" spans="1:26" x14ac:dyDescent="0.25">
      <c r="A42" s="1" t="s">
        <v>314</v>
      </c>
      <c r="B42" s="5">
        <v>4.5999999999999996</v>
      </c>
      <c r="C42" s="29" t="s">
        <v>147</v>
      </c>
      <c r="D42" s="7">
        <v>105</v>
      </c>
      <c r="E42" s="5" t="s">
        <v>96</v>
      </c>
      <c r="F42" s="8">
        <v>3420</v>
      </c>
      <c r="G42" s="9">
        <v>0</v>
      </c>
      <c r="H42" s="10" t="s">
        <v>97</v>
      </c>
      <c r="I42" s="71" t="s">
        <v>427</v>
      </c>
    </row>
    <row r="43" spans="1:26" x14ac:dyDescent="0.25">
      <c r="A43" s="1" t="s">
        <v>315</v>
      </c>
      <c r="B43" s="5">
        <v>4.7</v>
      </c>
      <c r="C43" s="29" t="s">
        <v>148</v>
      </c>
      <c r="D43" s="7">
        <v>105</v>
      </c>
      <c r="E43" s="5" t="s">
        <v>96</v>
      </c>
      <c r="F43" s="8">
        <v>4212.3599999999997</v>
      </c>
      <c r="G43" s="9">
        <v>0</v>
      </c>
      <c r="H43" s="10" t="s">
        <v>97</v>
      </c>
      <c r="I43" s="71" t="s">
        <v>428</v>
      </c>
    </row>
    <row r="44" spans="1:26" ht="18.75" x14ac:dyDescent="0.25">
      <c r="A44" s="1" t="s">
        <v>316</v>
      </c>
      <c r="B44" s="5">
        <v>4.8</v>
      </c>
      <c r="C44" s="29" t="s">
        <v>149</v>
      </c>
      <c r="D44" s="7">
        <v>105</v>
      </c>
      <c r="E44" s="5" t="s">
        <v>96</v>
      </c>
      <c r="F44" s="8">
        <v>1368</v>
      </c>
      <c r="G44" s="9">
        <v>0</v>
      </c>
      <c r="H44" s="10" t="s">
        <v>97</v>
      </c>
      <c r="I44" s="71" t="s">
        <v>429</v>
      </c>
      <c r="U44" s="61"/>
      <c r="V44" s="61"/>
      <c r="W44" s="429">
        <v>17.399999999999999</v>
      </c>
      <c r="X44" s="61"/>
      <c r="Y44" s="61"/>
      <c r="Z44" s="61"/>
    </row>
    <row r="45" spans="1:26" ht="44.1" customHeight="1" x14ac:dyDescent="0.25">
      <c r="A45" s="1" t="s">
        <v>317</v>
      </c>
      <c r="B45" s="5">
        <v>4.9000000000000004</v>
      </c>
      <c r="C45" s="29" t="s">
        <v>150</v>
      </c>
      <c r="D45" s="7">
        <v>100</v>
      </c>
      <c r="E45" s="16" t="s">
        <v>151</v>
      </c>
      <c r="F45" s="8">
        <v>7244.35</v>
      </c>
      <c r="G45" s="9">
        <v>0</v>
      </c>
      <c r="H45" s="10" t="s">
        <v>97</v>
      </c>
      <c r="I45" s="71" t="s">
        <v>430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6">
        <f>+F45*U45</f>
        <v>173864.40000000002</v>
      </c>
      <c r="W45" s="428">
        <v>638.5</v>
      </c>
      <c r="X45" s="426">
        <f>+W45*$W$44</f>
        <v>11109.9</v>
      </c>
      <c r="Y45" s="231"/>
      <c r="Z45" s="61"/>
    </row>
    <row r="46" spans="1:26" ht="44.1" customHeight="1" x14ac:dyDescent="0.25">
      <c r="A46" s="1" t="s">
        <v>318</v>
      </c>
      <c r="B46" s="432" t="s">
        <v>519</v>
      </c>
      <c r="C46" s="29" t="s">
        <v>152</v>
      </c>
      <c r="D46" s="7">
        <v>500</v>
      </c>
      <c r="E46" s="16" t="s">
        <v>151</v>
      </c>
      <c r="F46" s="8">
        <v>6977.93</v>
      </c>
      <c r="G46" s="9">
        <v>0</v>
      </c>
      <c r="H46" s="10" t="s">
        <v>97</v>
      </c>
      <c r="I46" s="71" t="s">
        <v>431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6">
        <f>+F46*U46</f>
        <v>167470.32</v>
      </c>
      <c r="W46" s="428">
        <v>1210.95</v>
      </c>
      <c r="X46" s="430">
        <f>+W46*$W$44</f>
        <v>21070.53</v>
      </c>
      <c r="Y46" s="61"/>
      <c r="Z46" s="61"/>
    </row>
    <row r="47" spans="1:26" ht="44.1" customHeight="1" x14ac:dyDescent="0.25">
      <c r="A47" s="1" t="s">
        <v>319</v>
      </c>
      <c r="B47" s="17">
        <v>4.1100000000000003</v>
      </c>
      <c r="C47" s="29" t="s">
        <v>153</v>
      </c>
      <c r="D47" s="7">
        <v>800</v>
      </c>
      <c r="E47" s="16" t="s">
        <v>151</v>
      </c>
      <c r="F47" s="8">
        <v>8275.99</v>
      </c>
      <c r="G47" s="9"/>
      <c r="H47" s="10" t="s">
        <v>97</v>
      </c>
      <c r="I47" s="71" t="s">
        <v>432</v>
      </c>
      <c r="U47" s="61"/>
      <c r="V47" s="61"/>
      <c r="W47" s="61"/>
      <c r="X47" s="431"/>
    </row>
    <row r="48" spans="1:26" ht="27" x14ac:dyDescent="0.25">
      <c r="A48" s="1" t="s">
        <v>320</v>
      </c>
      <c r="B48" s="17">
        <v>4.12</v>
      </c>
      <c r="C48" s="29" t="s">
        <v>154</v>
      </c>
      <c r="D48" s="7">
        <v>105</v>
      </c>
      <c r="E48" s="7" t="s">
        <v>96</v>
      </c>
      <c r="F48" s="8">
        <v>4409.2299999999996</v>
      </c>
      <c r="G48" s="9">
        <v>0</v>
      </c>
      <c r="H48" s="10" t="s">
        <v>97</v>
      </c>
      <c r="I48" s="71" t="s">
        <v>433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27">
        <f>SUM(X48:Y48)</f>
        <v>37329.298800000004</v>
      </c>
    </row>
    <row r="49" spans="1:11" x14ac:dyDescent="0.25">
      <c r="B49" s="154">
        <v>5</v>
      </c>
      <c r="C49" s="30" t="s">
        <v>155</v>
      </c>
      <c r="D49" s="154"/>
      <c r="E49" s="154"/>
      <c r="F49" s="11" t="s">
        <v>105</v>
      </c>
      <c r="G49" s="12">
        <v>0</v>
      </c>
      <c r="H49" s="4"/>
    </row>
    <row r="50" spans="1:11" x14ac:dyDescent="0.25">
      <c r="B50" s="5">
        <v>5.0999999999999996</v>
      </c>
      <c r="C50" s="29" t="s">
        <v>156</v>
      </c>
      <c r="D50" s="6"/>
      <c r="E50" s="6" t="s">
        <v>157</v>
      </c>
      <c r="F50" s="8">
        <v>0</v>
      </c>
      <c r="G50" s="9">
        <v>0</v>
      </c>
      <c r="H50" s="10" t="s">
        <v>97</v>
      </c>
    </row>
    <row r="51" spans="1:11" x14ac:dyDescent="0.25">
      <c r="B51" s="5">
        <v>5.2</v>
      </c>
      <c r="C51" s="29" t="s">
        <v>158</v>
      </c>
      <c r="D51" s="6"/>
      <c r="E51" s="6" t="s">
        <v>157</v>
      </c>
      <c r="F51" s="8">
        <v>0</v>
      </c>
      <c r="G51" s="9">
        <v>0</v>
      </c>
      <c r="H51" s="10" t="s">
        <v>97</v>
      </c>
    </row>
    <row r="52" spans="1:11" ht="17.25" x14ac:dyDescent="0.3">
      <c r="F52" s="18" t="s">
        <v>159</v>
      </c>
      <c r="G52" s="248">
        <f>SUM(G6+G13+G22+G36+G49+G50+G51)</f>
        <v>9048998.6973000001</v>
      </c>
      <c r="H52" s="20" t="s">
        <v>97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559</v>
      </c>
      <c r="B55" s="5" t="s">
        <v>582</v>
      </c>
      <c r="C55" s="29" t="s">
        <v>544</v>
      </c>
      <c r="D55" s="6">
        <v>357</v>
      </c>
      <c r="E55" s="6" t="s">
        <v>558</v>
      </c>
      <c r="F55" s="8">
        <v>1913.01</v>
      </c>
      <c r="G55" s="9">
        <f>+D55*F55</f>
        <v>682944.57</v>
      </c>
      <c r="H55" s="10" t="s">
        <v>97</v>
      </c>
      <c r="I55" s="26" t="s">
        <v>551</v>
      </c>
      <c r="J55" s="469">
        <f>F55/$F$17</f>
        <v>0.13967369241867134</v>
      </c>
      <c r="K55" s="26">
        <f>+J55*F17</f>
        <v>1913.01</v>
      </c>
    </row>
    <row r="56" spans="1:11" x14ac:dyDescent="0.25">
      <c r="A56" s="1" t="s">
        <v>559</v>
      </c>
      <c r="B56" s="5" t="s">
        <v>583</v>
      </c>
      <c r="C56" s="29" t="s">
        <v>546</v>
      </c>
      <c r="D56" s="6">
        <v>252</v>
      </c>
      <c r="E56" s="6" t="s">
        <v>558</v>
      </c>
      <c r="F56" s="8">
        <v>3029.6</v>
      </c>
      <c r="G56" s="9">
        <f t="shared" ref="G56:G58" si="11">+D56*F56</f>
        <v>763459.2</v>
      </c>
      <c r="H56" s="10" t="s">
        <v>97</v>
      </c>
      <c r="I56" t="s">
        <v>552</v>
      </c>
      <c r="J56" s="469">
        <f t="shared" ref="J56:J58" si="12">F56/$F$17</f>
        <v>0.22119874885735394</v>
      </c>
    </row>
    <row r="57" spans="1:11" x14ac:dyDescent="0.25">
      <c r="A57" s="1" t="s">
        <v>559</v>
      </c>
      <c r="B57" s="5" t="s">
        <v>584</v>
      </c>
      <c r="C57" s="29" t="s">
        <v>547</v>
      </c>
      <c r="D57" s="6">
        <v>372</v>
      </c>
      <c r="E57" s="6" t="s">
        <v>558</v>
      </c>
      <c r="F57" s="8">
        <v>1821.08</v>
      </c>
      <c r="G57" s="9">
        <f t="shared" si="11"/>
        <v>677441.76</v>
      </c>
      <c r="H57" s="10" t="s">
        <v>97</v>
      </c>
      <c r="I57" t="s">
        <v>553</v>
      </c>
      <c r="J57" s="469">
        <f t="shared" si="12"/>
        <v>0.13296165090082854</v>
      </c>
    </row>
    <row r="58" spans="1:11" x14ac:dyDescent="0.25">
      <c r="B58" s="5"/>
      <c r="C58" s="29" t="s">
        <v>587</v>
      </c>
      <c r="D58" s="6">
        <v>7</v>
      </c>
      <c r="E58" s="6" t="s">
        <v>125</v>
      </c>
      <c r="F58" s="8">
        <v>19213.189999999999</v>
      </c>
      <c r="G58" s="9">
        <f t="shared" si="11"/>
        <v>134492.32999999999</v>
      </c>
      <c r="H58" s="10" t="s">
        <v>97</v>
      </c>
      <c r="I58" t="s">
        <v>585</v>
      </c>
      <c r="J58" s="469">
        <f t="shared" si="12"/>
        <v>1.4028035349744601</v>
      </c>
    </row>
    <row r="65" spans="2:12" ht="15.75" thickBot="1" x14ac:dyDescent="0.3">
      <c r="C65" s="447">
        <v>46258</v>
      </c>
      <c r="E65" s="461">
        <f>+$E$67*$J$67</f>
        <v>55735</v>
      </c>
      <c r="F65" s="461">
        <f>+$F$67*$J$67</f>
        <v>71000</v>
      </c>
      <c r="G65" s="461">
        <f>+$G$68*$J$68+$G$69*$J$69</f>
        <v>215000</v>
      </c>
      <c r="H65" s="461">
        <f>+$H$68*$J$68+$H$69*$J$69</f>
        <v>272740</v>
      </c>
    </row>
    <row r="66" spans="2:12" ht="16.5" thickBot="1" x14ac:dyDescent="0.3">
      <c r="C66" s="449" t="s">
        <v>537</v>
      </c>
      <c r="D66" s="451" t="s">
        <v>538</v>
      </c>
      <c r="E66" s="451" t="s">
        <v>539</v>
      </c>
      <c r="F66" s="451" t="s">
        <v>540</v>
      </c>
      <c r="G66" s="451" t="s">
        <v>541</v>
      </c>
      <c r="H66" s="451" t="s">
        <v>542</v>
      </c>
      <c r="I66" s="451" t="s">
        <v>92</v>
      </c>
      <c r="J66" s="451" t="s">
        <v>543</v>
      </c>
      <c r="K66" s="451" t="s">
        <v>92</v>
      </c>
    </row>
    <row r="67" spans="2:12" ht="16.5" thickBot="1" x14ac:dyDescent="0.3">
      <c r="B67" s="76" t="s">
        <v>548</v>
      </c>
      <c r="C67" s="450" t="s">
        <v>544</v>
      </c>
      <c r="D67" s="452" t="s">
        <v>545</v>
      </c>
      <c r="E67" s="456">
        <v>157</v>
      </c>
      <c r="F67" s="456">
        <v>200</v>
      </c>
      <c r="G67" s="452"/>
      <c r="H67" s="452"/>
      <c r="I67" s="453">
        <v>357</v>
      </c>
      <c r="J67" s="455">
        <v>355</v>
      </c>
      <c r="K67" s="454">
        <f>+J67*I67</f>
        <v>126735</v>
      </c>
      <c r="L67" t="s">
        <v>551</v>
      </c>
    </row>
    <row r="68" spans="2:12" ht="16.5" thickBot="1" x14ac:dyDescent="0.3">
      <c r="B68" s="76" t="s">
        <v>549</v>
      </c>
      <c r="C68" s="450" t="s">
        <v>546</v>
      </c>
      <c r="D68" s="452" t="s">
        <v>545</v>
      </c>
      <c r="E68" s="452"/>
      <c r="F68" s="452"/>
      <c r="G68" s="452">
        <v>104</v>
      </c>
      <c r="H68" s="452">
        <v>148</v>
      </c>
      <c r="I68" s="453">
        <v>252</v>
      </c>
      <c r="J68" s="455">
        <v>1500</v>
      </c>
      <c r="K68" s="454">
        <f t="shared" ref="K68:K69" si="13">+J68*I68</f>
        <v>378000</v>
      </c>
      <c r="L68" t="s">
        <v>552</v>
      </c>
    </row>
    <row r="69" spans="2:12" ht="16.5" thickBot="1" x14ac:dyDescent="0.3">
      <c r="B69" s="76" t="s">
        <v>550</v>
      </c>
      <c r="C69" s="450" t="s">
        <v>547</v>
      </c>
      <c r="D69" s="452" t="s">
        <v>545</v>
      </c>
      <c r="E69" s="452"/>
      <c r="F69" s="452"/>
      <c r="G69" s="456">
        <v>200</v>
      </c>
      <c r="H69" s="452">
        <v>172</v>
      </c>
      <c r="I69" s="453">
        <v>372</v>
      </c>
      <c r="J69" s="455">
        <v>295</v>
      </c>
      <c r="K69" s="454">
        <f t="shared" si="13"/>
        <v>109740</v>
      </c>
      <c r="L69" t="s">
        <v>553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3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0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169</v>
      </c>
      <c r="C16" s="147" t="e">
        <f>+_xlfn.XLOOKUP(B16,Tabla1[Ducto],Tabla1[Length])</f>
        <v>#N/A</v>
      </c>
      <c r="D16" s="148" t="s">
        <v>170</v>
      </c>
      <c r="E16" s="148" t="s">
        <v>170</v>
      </c>
      <c r="F16" s="148" t="s">
        <v>170</v>
      </c>
      <c r="G16" s="148" t="s">
        <v>170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171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343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172</v>
      </c>
      <c r="C32" s="147" t="e">
        <f>+_xlfn.XLOOKUP(B32,Tabla1[Ducto],Tabla1[Length])</f>
        <v>#N/A</v>
      </c>
      <c r="D32" s="148" t="s">
        <v>170</v>
      </c>
      <c r="E32" s="148" t="s">
        <v>170</v>
      </c>
      <c r="F32" s="148" t="s">
        <v>170</v>
      </c>
      <c r="G32" s="148" t="s">
        <v>170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356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4" ht="27" thickBot="1" x14ac:dyDescent="0.35">
      <c r="A2" s="34" t="s">
        <v>328</v>
      </c>
      <c r="B2" s="179" t="s">
        <v>211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396" t="s">
        <v>506</v>
      </c>
      <c r="M2" s="91" t="s">
        <v>211</v>
      </c>
      <c r="N2" s="26"/>
    </row>
    <row r="3" spans="1:14" ht="27" thickBot="1" x14ac:dyDescent="0.35">
      <c r="A3" s="34" t="s">
        <v>328</v>
      </c>
      <c r="B3" s="179" t="s">
        <v>212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212</v>
      </c>
      <c r="N3" s="26"/>
    </row>
    <row r="4" spans="1:14" ht="27" thickBot="1" x14ac:dyDescent="0.35">
      <c r="A4" s="34" t="s">
        <v>328</v>
      </c>
      <c r="B4" s="179" t="s">
        <v>213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213</v>
      </c>
      <c r="N4" s="26"/>
    </row>
    <row r="5" spans="1:14" ht="27" thickBot="1" x14ac:dyDescent="0.35">
      <c r="A5" s="34" t="s">
        <v>328</v>
      </c>
      <c r="B5" s="179" t="s">
        <v>214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214</v>
      </c>
      <c r="N5" s="26"/>
    </row>
    <row r="6" spans="1:14" ht="27" thickBot="1" x14ac:dyDescent="0.35">
      <c r="A6" s="34" t="s">
        <v>328</v>
      </c>
      <c r="B6" s="179" t="s">
        <v>215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215</v>
      </c>
      <c r="N6" s="26"/>
    </row>
    <row r="7" spans="1:14" ht="26.25" x14ac:dyDescent="0.25">
      <c r="A7" s="34" t="s">
        <v>328</v>
      </c>
      <c r="B7" s="179" t="s">
        <v>338</v>
      </c>
      <c r="C7" s="112">
        <v>0</v>
      </c>
      <c r="D7" s="407">
        <f>IFERROR(SUMIFS(Tabla1[Avance_km],Tabla1[Ducto],'R (s03)'!$B7,Tabla1[nombre_actividad],D$1,Tabla1[Sistema],"HUIMILPAN")/$C7,0)</f>
        <v>0</v>
      </c>
      <c r="E7" s="407">
        <f>IFERROR(SUMIFS(Tabla1[Avance_km],Tabla1[Ducto],'R (s03)'!$B7,Tabla1[nombre_actividad],E$1,Tabla1[Sistema],"HUIMILPAN")/$C7,0)</f>
        <v>0</v>
      </c>
      <c r="F7" s="407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328</v>
      </c>
      <c r="B8" s="179" t="s">
        <v>216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216</v>
      </c>
      <c r="N8" s="26"/>
    </row>
    <row r="9" spans="1:14" ht="26.25" x14ac:dyDescent="0.25">
      <c r="A9" s="185" t="s">
        <v>328</v>
      </c>
      <c r="B9" s="395" t="s">
        <v>339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328</v>
      </c>
      <c r="B10" s="179" t="s">
        <v>217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217</v>
      </c>
      <c r="N10" s="26"/>
    </row>
    <row r="11" spans="1:14" ht="27" thickBot="1" x14ac:dyDescent="0.35">
      <c r="A11" s="34" t="s">
        <v>328</v>
      </c>
      <c r="B11" s="179" t="s">
        <v>340</v>
      </c>
      <c r="C11" s="112">
        <f>_xlfn.IFNA(_xlfn.XLOOKUP(B11,Tabla1[Ducto],Tabla1[Length]), _xlfn.XLOOKUP(B11,'Summary S03'!A:A,'Summary S03'!G:G)/1000)</f>
        <v>7.0000000000000001E-3</v>
      </c>
      <c r="D11" s="407">
        <f>IFERROR(SUMIFS(Tabla1[Avance_km],Tabla1[Ducto],'R (s03)'!$B11,Tabla1[nombre_actividad],D$1,Tabla1[Sistema],"HUIMILPAN")/$C11,0)</f>
        <v>0</v>
      </c>
      <c r="E11" s="407">
        <f>IFERROR(SUMIFS(Tabla1[Avance_km],Tabla1[Ducto],'R (s03)'!$B11,Tabla1[nombre_actividad],E$1,Tabla1[Sistema],"HUIMILPAN")/$C11,0)</f>
        <v>0</v>
      </c>
      <c r="F11" s="407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340</v>
      </c>
      <c r="N11" s="26"/>
    </row>
    <row r="12" spans="1:14" ht="27" thickBot="1" x14ac:dyDescent="0.35">
      <c r="A12" s="34" t="s">
        <v>328</v>
      </c>
      <c r="B12" s="179" t="s">
        <v>218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218</v>
      </c>
      <c r="N12" s="26"/>
    </row>
    <row r="13" spans="1:14" ht="27" thickBot="1" x14ac:dyDescent="0.35">
      <c r="A13" s="185" t="s">
        <v>328</v>
      </c>
      <c r="B13" s="395" t="s">
        <v>219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344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5" t="s">
        <v>219</v>
      </c>
      <c r="N13" s="26"/>
    </row>
    <row r="14" spans="1:14" ht="27" thickBot="1" x14ac:dyDescent="0.35">
      <c r="A14" s="34" t="s">
        <v>328</v>
      </c>
      <c r="B14" s="179" t="s">
        <v>220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220</v>
      </c>
      <c r="N14" s="26"/>
    </row>
    <row r="15" spans="1:14" ht="27" thickBot="1" x14ac:dyDescent="0.35">
      <c r="A15" s="34" t="s">
        <v>328</v>
      </c>
      <c r="B15" s="179" t="s">
        <v>221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221</v>
      </c>
      <c r="N15" s="26"/>
    </row>
    <row r="16" spans="1:14" s="1" customFormat="1" ht="27" thickBot="1" x14ac:dyDescent="0.35">
      <c r="A16" s="34" t="s">
        <v>328</v>
      </c>
      <c r="B16" s="179" t="s">
        <v>222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222</v>
      </c>
      <c r="N16" s="26"/>
    </row>
    <row r="17" spans="1:14" s="1" customFormat="1" ht="27" thickBot="1" x14ac:dyDescent="0.35">
      <c r="A17" s="34" t="s">
        <v>328</v>
      </c>
      <c r="B17" s="179" t="s">
        <v>223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223</v>
      </c>
      <c r="N17" s="26"/>
    </row>
    <row r="18" spans="1:14" s="1" customFormat="1" ht="27" thickBot="1" x14ac:dyDescent="0.35">
      <c r="A18" s="34" t="s">
        <v>328</v>
      </c>
      <c r="B18" s="179" t="s">
        <v>224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224</v>
      </c>
      <c r="N18" s="26"/>
    </row>
    <row r="19" spans="1:14" s="1" customFormat="1" ht="27" thickBot="1" x14ac:dyDescent="0.35">
      <c r="A19" s="34" t="s">
        <v>328</v>
      </c>
      <c r="B19" s="179" t="s">
        <v>226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226</v>
      </c>
      <c r="N19" s="26"/>
    </row>
    <row r="20" spans="1:14" s="1" customFormat="1" ht="27" thickBot="1" x14ac:dyDescent="0.35">
      <c r="A20" s="185" t="s">
        <v>328</v>
      </c>
      <c r="B20" s="395" t="s">
        <v>228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5" t="s">
        <v>228</v>
      </c>
      <c r="N20" s="26"/>
    </row>
    <row r="21" spans="1:14" s="1" customFormat="1" ht="27" thickBot="1" x14ac:dyDescent="0.35">
      <c r="A21" s="34" t="s">
        <v>328</v>
      </c>
      <c r="B21" s="179" t="s">
        <v>230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230</v>
      </c>
      <c r="N21" s="26"/>
    </row>
    <row r="22" spans="1:14" s="1" customFormat="1" ht="27" thickBot="1" x14ac:dyDescent="0.35">
      <c r="A22" s="34" t="s">
        <v>328</v>
      </c>
      <c r="B22" s="179" t="s">
        <v>232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232</v>
      </c>
      <c r="N22" s="26"/>
    </row>
    <row r="23" spans="1:14" s="1" customFormat="1" ht="27" thickBot="1" x14ac:dyDescent="0.35">
      <c r="A23" s="34" t="s">
        <v>328</v>
      </c>
      <c r="B23" s="179" t="s">
        <v>234</v>
      </c>
      <c r="C23" s="112">
        <v>0</v>
      </c>
      <c r="D23" s="407">
        <f>IFERROR(SUMIFS(Tabla1[Avance_km],Tabla1[Ducto],'R (s03)'!$B23,Tabla1[nombre_actividad],D$1,Tabla1[Sistema],"HUIMILPAN")/$C23,0)</f>
        <v>0</v>
      </c>
      <c r="E23" s="407">
        <f>IFERROR(SUMIFS(Tabla1[Avance_km],Tabla1[Ducto],'R (s03)'!$B23,Tabla1[nombre_actividad],E$1,Tabla1[Sistema],"HUIMILPAN")/$C23,0)</f>
        <v>0</v>
      </c>
      <c r="F23" s="407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234</v>
      </c>
      <c r="N23" s="26"/>
    </row>
    <row r="24" spans="1:14" s="1" customFormat="1" ht="27" thickBot="1" x14ac:dyDescent="0.35">
      <c r="A24" s="34" t="s">
        <v>328</v>
      </c>
      <c r="B24" s="179" t="s">
        <v>236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353</v>
      </c>
      <c r="L24"/>
      <c r="M24" s="91" t="s">
        <v>236</v>
      </c>
      <c r="N24" s="26"/>
    </row>
    <row r="25" spans="1:14" s="1" customFormat="1" ht="27" thickBot="1" x14ac:dyDescent="0.35">
      <c r="A25" s="34" t="s">
        <v>328</v>
      </c>
      <c r="B25" s="179" t="s">
        <v>238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238</v>
      </c>
      <c r="N25" s="26"/>
    </row>
    <row r="26" spans="1:14" s="1" customFormat="1" ht="27" thickBot="1" x14ac:dyDescent="0.35">
      <c r="A26" s="185" t="s">
        <v>328</v>
      </c>
      <c r="B26" s="395" t="s">
        <v>239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5" t="s">
        <v>239</v>
      </c>
      <c r="N26" s="26"/>
    </row>
    <row r="27" spans="1:14" s="1" customFormat="1" ht="27" thickBot="1" x14ac:dyDescent="0.35">
      <c r="A27" s="34" t="s">
        <v>328</v>
      </c>
      <c r="B27" s="179" t="s">
        <v>240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240</v>
      </c>
      <c r="N27" s="26"/>
    </row>
    <row r="28" spans="1:14" s="1" customFormat="1" ht="27" thickBot="1" x14ac:dyDescent="0.35">
      <c r="A28" s="34" t="s">
        <v>328</v>
      </c>
      <c r="B28" s="179" t="s">
        <v>241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241</v>
      </c>
      <c r="N28" s="26"/>
    </row>
    <row r="29" spans="1:14" s="1" customFormat="1" ht="27" thickBot="1" x14ac:dyDescent="0.35">
      <c r="A29" s="34" t="s">
        <v>328</v>
      </c>
      <c r="B29" s="179" t="s">
        <v>242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347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242</v>
      </c>
      <c r="N29" s="26"/>
    </row>
    <row r="30" spans="1:14" s="1" customFormat="1" ht="27" thickBot="1" x14ac:dyDescent="0.35">
      <c r="A30" s="34" t="s">
        <v>328</v>
      </c>
      <c r="B30" s="179" t="s">
        <v>243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243</v>
      </c>
      <c r="N30" s="26"/>
    </row>
    <row r="31" spans="1:14" s="1" customFormat="1" ht="27" thickBot="1" x14ac:dyDescent="0.35">
      <c r="A31" s="34" t="s">
        <v>328</v>
      </c>
      <c r="B31" s="179" t="s">
        <v>244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244</v>
      </c>
      <c r="N31" s="26"/>
    </row>
    <row r="32" spans="1:14" s="1" customFormat="1" ht="27" thickBot="1" x14ac:dyDescent="0.35">
      <c r="A32" s="416" t="s">
        <v>328</v>
      </c>
      <c r="B32" s="417" t="s">
        <v>245</v>
      </c>
      <c r="C32" s="418">
        <v>0</v>
      </c>
      <c r="D32" s="419">
        <f>IFERROR(SUMIFS(Tabla1[Avance_km],Tabla1[Ducto],'R (s03)'!$B32,Tabla1[nombre_actividad],D$1,Tabla1[Sistema],"HUIMILPAN")/$C32,0)</f>
        <v>0</v>
      </c>
      <c r="E32" s="419">
        <f>IFERROR(SUMIFS(Tabla1[Avance_km],Tabla1[Ducto],'R (s03)'!$B32,Tabla1[nombre_actividad],E$1,Tabla1[Sistema],"HUIMILPAN")/$C32,0)</f>
        <v>0</v>
      </c>
      <c r="F32" s="419">
        <f>IFERROR(SUMIFS(Tabla1[Avance_km],Tabla1[Ducto],'R (s03)'!$B32,Tabla1[nombre_actividad],F$1,Tabla1[Sistema],"HUIMILPAN")/$C32,0)</f>
        <v>0</v>
      </c>
      <c r="G32" s="419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516</v>
      </c>
      <c r="L32"/>
      <c r="M32" s="91" t="s">
        <v>245</v>
      </c>
      <c r="N32" s="26"/>
    </row>
    <row r="33" spans="1:14" s="1" customFormat="1" ht="27" thickBot="1" x14ac:dyDescent="0.35">
      <c r="A33" s="34" t="s">
        <v>328</v>
      </c>
      <c r="B33" s="179" t="s">
        <v>246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348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246</v>
      </c>
      <c r="N33" s="26"/>
    </row>
    <row r="34" spans="1:14" s="1" customFormat="1" ht="27" thickBot="1" x14ac:dyDescent="0.35">
      <c r="A34" s="34" t="s">
        <v>328</v>
      </c>
      <c r="B34" s="179" t="s">
        <v>247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247</v>
      </c>
      <c r="N34" s="26"/>
    </row>
    <row r="35" spans="1:14" s="1" customFormat="1" ht="27" thickBot="1" x14ac:dyDescent="0.35">
      <c r="A35" s="34" t="s">
        <v>328</v>
      </c>
      <c r="B35" s="179" t="s">
        <v>248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248</v>
      </c>
      <c r="N35" s="26"/>
    </row>
    <row r="36" spans="1:14" s="1" customFormat="1" ht="27" thickBot="1" x14ac:dyDescent="0.35">
      <c r="A36" s="34" t="s">
        <v>328</v>
      </c>
      <c r="B36" s="179" t="s">
        <v>249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249</v>
      </c>
      <c r="N36" s="26"/>
    </row>
    <row r="37" spans="1:14" s="1" customFormat="1" ht="27" thickBot="1" x14ac:dyDescent="0.35">
      <c r="A37" s="34" t="s">
        <v>328</v>
      </c>
      <c r="B37" s="179" t="s">
        <v>250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250</v>
      </c>
      <c r="N37" s="26"/>
    </row>
    <row r="38" spans="1:14" s="1" customFormat="1" ht="27" thickBot="1" x14ac:dyDescent="0.35">
      <c r="A38" s="34" t="s">
        <v>328</v>
      </c>
      <c r="B38" s="179" t="s">
        <v>251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251</v>
      </c>
      <c r="N38" s="26"/>
    </row>
    <row r="39" spans="1:14" s="1" customFormat="1" ht="27" thickBot="1" x14ac:dyDescent="0.35">
      <c r="A39" s="34" t="s">
        <v>328</v>
      </c>
      <c r="B39" s="179" t="s">
        <v>252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252</v>
      </c>
      <c r="N39" s="26"/>
    </row>
    <row r="40" spans="1:14" s="1" customFormat="1" ht="27" thickBot="1" x14ac:dyDescent="0.35">
      <c r="A40" s="34" t="s">
        <v>328</v>
      </c>
      <c r="B40" s="179" t="s">
        <v>253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530</v>
      </c>
      <c r="L40"/>
      <c r="M40" s="91" t="s">
        <v>253</v>
      </c>
      <c r="N40" s="26"/>
    </row>
    <row r="41" spans="1:14" s="1" customFormat="1" ht="27" thickBot="1" x14ac:dyDescent="0.35">
      <c r="A41" s="34" t="s">
        <v>328</v>
      </c>
      <c r="B41" s="179" t="s">
        <v>254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254</v>
      </c>
      <c r="N41" s="26"/>
    </row>
    <row r="42" spans="1:14" s="1" customFormat="1" ht="27" thickBot="1" x14ac:dyDescent="0.35">
      <c r="A42" s="34" t="s">
        <v>328</v>
      </c>
      <c r="B42" s="179" t="s">
        <v>345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345</v>
      </c>
      <c r="N42" s="26"/>
    </row>
    <row r="43" spans="1:14" s="1" customFormat="1" ht="30.75" thickBot="1" x14ac:dyDescent="0.35">
      <c r="A43" s="416" t="s">
        <v>328</v>
      </c>
      <c r="B43" s="416" t="s">
        <v>498</v>
      </c>
      <c r="C43" s="418">
        <v>0</v>
      </c>
      <c r="D43" s="419">
        <f>IFERROR(SUMIFS(Tabla1[Avance_km],Tabla1[Ducto],'R (s03)'!$B43,Tabla1[nombre_actividad],D$1,Tabla1[Sistema],"HUIMILPAN")/$C43,0)</f>
        <v>0</v>
      </c>
      <c r="E43" s="419">
        <f>IFERROR(SUMIFS(Tabla1[Avance_km],Tabla1[Ducto],'R (s03)'!$B43,Tabla1[nombre_actividad],E$1,Tabla1[Sistema],"HUIMILPAN")/$C43,0)</f>
        <v>0</v>
      </c>
      <c r="F43" s="419">
        <f>IFERROR(SUMIFS(Tabla1[Avance_km],Tabla1[Ducto],'R (s03)'!$B43,Tabla1[nombre_actividad],F$1,Tabla1[Sistema],"HUIMILPAN")/$C43,0)</f>
        <v>0</v>
      </c>
      <c r="G43" s="387" t="s">
        <v>502</v>
      </c>
      <c r="H43" s="79"/>
      <c r="I43" s="79"/>
      <c r="J43" s="144"/>
      <c r="K43" s="24" t="s">
        <v>531</v>
      </c>
      <c r="L43"/>
      <c r="M43" s="91" t="s">
        <v>498</v>
      </c>
      <c r="N43" s="26"/>
    </row>
    <row r="44" spans="1:14" s="1" customFormat="1" ht="27" thickBot="1" x14ac:dyDescent="0.35">
      <c r="A44" s="34" t="s">
        <v>328</v>
      </c>
      <c r="B44" s="179" t="s">
        <v>500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7"/>
      <c r="H44" s="79"/>
      <c r="I44" s="79"/>
      <c r="J44" s="144"/>
      <c r="L44"/>
      <c r="M44" s="91" t="s">
        <v>500</v>
      </c>
      <c r="N44" s="26"/>
    </row>
    <row r="45" spans="1:14" s="1" customFormat="1" ht="27" thickBot="1" x14ac:dyDescent="0.35">
      <c r="A45" s="34" t="s">
        <v>328</v>
      </c>
      <c r="B45" s="179" t="s">
        <v>352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352</v>
      </c>
      <c r="N45" s="26"/>
    </row>
    <row r="47" spans="1:14" x14ac:dyDescent="0.25">
      <c r="B47" s="211" t="s">
        <v>236</v>
      </c>
      <c r="C47" s="212" t="s">
        <v>353</v>
      </c>
      <c r="D47" s="213"/>
      <c r="E47" s="213"/>
    </row>
    <row r="49" spans="3:12" ht="24" x14ac:dyDescent="0.4">
      <c r="C49" s="392" t="s">
        <v>505</v>
      </c>
      <c r="D49" s="393">
        <f>1000*(SUM(C2:C45)-SUMPRODUCT(C2:C45,D2:D45))</f>
        <v>6.9999999999978968</v>
      </c>
      <c r="E49" s="393">
        <f>1000*(SUM(C2:C45)-SUMPRODUCT(C2:C45,E2:E45))</f>
        <v>562.99999999998818</v>
      </c>
      <c r="F49" s="393">
        <f>1000*(SUM(C2:C45)-SUMPRODUCT(C2:C45,F2:F45))</f>
        <v>745.99999999999511</v>
      </c>
    </row>
    <row r="50" spans="3:12" x14ac:dyDescent="0.25">
      <c r="K50" s="423" t="s">
        <v>514</v>
      </c>
    </row>
    <row r="51" spans="3:12" x14ac:dyDescent="0.25">
      <c r="J51" s="422">
        <v>46241</v>
      </c>
      <c r="K51" s="1" t="s">
        <v>500</v>
      </c>
      <c r="L51" t="s">
        <v>515</v>
      </c>
    </row>
    <row r="52" spans="3:12" x14ac:dyDescent="0.25">
      <c r="J52" s="422">
        <v>46241</v>
      </c>
      <c r="K52" s="1" t="s">
        <v>224</v>
      </c>
      <c r="L52" t="s">
        <v>517</v>
      </c>
    </row>
    <row r="53" spans="3:12" x14ac:dyDescent="0.25">
      <c r="D53" s="26" t="s">
        <v>28</v>
      </c>
      <c r="E53" s="26"/>
      <c r="J53" s="422"/>
    </row>
    <row r="54" spans="3:12" x14ac:dyDescent="0.25">
      <c r="D54" s="26" t="s">
        <v>211</v>
      </c>
      <c r="E54" s="26"/>
    </row>
    <row r="55" spans="3:12" x14ac:dyDescent="0.25">
      <c r="D55" s="447" cm="1">
        <f t="array" ref="D55:F77">_xlfn._xlws.SORT(_xlfn._xlws.FILTER(_xlfn._xlws.FILTER(Tabla1[],(Tabla1[Ducto]=D54)*(Tabla1[Actividades]=D53),),{1,0,0,0,0,1,1,0,0,0,0,0,0,0}),2,1)</f>
        <v>46157</v>
      </c>
      <c r="E55" s="351">
        <v>0</v>
      </c>
      <c r="F55" s="351">
        <v>2410</v>
      </c>
      <c r="G55" t="str">
        <f>+IF(F55=E56,"OK","rev")</f>
        <v>OK</v>
      </c>
    </row>
    <row r="56" spans="3:12" x14ac:dyDescent="0.25">
      <c r="D56" s="447">
        <v>46158</v>
      </c>
      <c r="E56" s="351">
        <v>2410</v>
      </c>
      <c r="F56" s="351">
        <v>4336</v>
      </c>
      <c r="G56" t="str">
        <f t="shared" ref="G56:G77" si="0">+IF(F56=E57,"OK","rev")</f>
        <v>OK</v>
      </c>
      <c r="J56" s="422"/>
    </row>
    <row r="57" spans="3:12" x14ac:dyDescent="0.25">
      <c r="D57" s="447">
        <v>46163</v>
      </c>
      <c r="E57" s="351">
        <v>4336</v>
      </c>
      <c r="F57" s="351">
        <v>6908</v>
      </c>
      <c r="G57" t="str">
        <f t="shared" si="0"/>
        <v>OK</v>
      </c>
      <c r="J57" s="422"/>
    </row>
    <row r="58" spans="3:12" x14ac:dyDescent="0.25">
      <c r="D58" s="447">
        <v>46164</v>
      </c>
      <c r="E58" s="351">
        <v>6908</v>
      </c>
      <c r="F58" s="351">
        <v>9461</v>
      </c>
      <c r="G58" t="str">
        <f t="shared" si="0"/>
        <v>OK</v>
      </c>
    </row>
    <row r="59" spans="3:12" x14ac:dyDescent="0.25">
      <c r="D59" s="447">
        <v>46165</v>
      </c>
      <c r="E59" s="351">
        <v>9461</v>
      </c>
      <c r="F59" s="351">
        <v>11253</v>
      </c>
      <c r="G59" t="str">
        <f t="shared" si="0"/>
        <v>OK</v>
      </c>
    </row>
    <row r="60" spans="3:12" x14ac:dyDescent="0.25">
      <c r="D60" s="447">
        <v>46174</v>
      </c>
      <c r="E60" s="351">
        <v>11253</v>
      </c>
      <c r="F60" s="351">
        <v>13245</v>
      </c>
      <c r="G60" t="str">
        <f t="shared" si="0"/>
        <v>OK</v>
      </c>
    </row>
    <row r="61" spans="3:12" x14ac:dyDescent="0.25">
      <c r="D61" s="447">
        <v>46175</v>
      </c>
      <c r="E61" s="351">
        <v>13245</v>
      </c>
      <c r="F61" s="351">
        <v>15238</v>
      </c>
      <c r="G61" t="str">
        <f t="shared" si="0"/>
        <v>OK</v>
      </c>
    </row>
    <row r="62" spans="3:12" x14ac:dyDescent="0.25">
      <c r="D62" s="447">
        <v>46176</v>
      </c>
      <c r="E62" s="351">
        <v>15238</v>
      </c>
      <c r="F62" s="351">
        <v>15605</v>
      </c>
      <c r="G62" t="str">
        <f t="shared" si="0"/>
        <v>OK</v>
      </c>
    </row>
    <row r="63" spans="3:12" x14ac:dyDescent="0.25">
      <c r="D63" s="447">
        <v>46191</v>
      </c>
      <c r="E63" s="351">
        <v>15605</v>
      </c>
      <c r="F63" s="351">
        <v>16617</v>
      </c>
      <c r="G63" t="str">
        <f t="shared" si="0"/>
        <v>OK</v>
      </c>
    </row>
    <row r="64" spans="3:12" x14ac:dyDescent="0.25">
      <c r="D64" s="447">
        <v>46177</v>
      </c>
      <c r="E64" s="351">
        <v>16617</v>
      </c>
      <c r="F64" s="351">
        <v>17605</v>
      </c>
      <c r="G64" t="str">
        <f t="shared" si="0"/>
        <v>OK</v>
      </c>
    </row>
    <row r="65" spans="4:7" x14ac:dyDescent="0.25">
      <c r="D65" s="447">
        <v>46176</v>
      </c>
      <c r="E65" s="351">
        <v>17605</v>
      </c>
      <c r="F65" s="351">
        <v>17932</v>
      </c>
      <c r="G65" t="str">
        <f t="shared" si="0"/>
        <v>OK</v>
      </c>
    </row>
    <row r="66" spans="4:7" x14ac:dyDescent="0.25">
      <c r="D66" s="447">
        <v>46177</v>
      </c>
      <c r="E66" s="351">
        <v>17932</v>
      </c>
      <c r="F66" s="351">
        <v>18406</v>
      </c>
      <c r="G66" t="str">
        <f t="shared" si="0"/>
        <v>OK</v>
      </c>
    </row>
    <row r="67" spans="4:7" x14ac:dyDescent="0.25">
      <c r="D67" s="447">
        <v>46188</v>
      </c>
      <c r="E67" s="351">
        <v>18406</v>
      </c>
      <c r="F67" s="351">
        <v>18873</v>
      </c>
      <c r="G67" t="str">
        <f t="shared" si="0"/>
        <v>OK</v>
      </c>
    </row>
    <row r="68" spans="4:7" x14ac:dyDescent="0.25">
      <c r="D68" s="447">
        <v>46189</v>
      </c>
      <c r="E68" s="351">
        <v>18873</v>
      </c>
      <c r="F68" s="351">
        <v>19571</v>
      </c>
      <c r="G68" t="str">
        <f t="shared" si="0"/>
        <v>OK</v>
      </c>
    </row>
    <row r="69" spans="4:7" x14ac:dyDescent="0.25">
      <c r="D69" s="447">
        <v>46191</v>
      </c>
      <c r="E69" s="351">
        <v>19571</v>
      </c>
      <c r="F69" s="351">
        <v>19731</v>
      </c>
      <c r="G69" t="str">
        <f t="shared" si="0"/>
        <v>OK</v>
      </c>
    </row>
    <row r="70" spans="4:7" x14ac:dyDescent="0.25">
      <c r="D70" s="447">
        <v>46190</v>
      </c>
      <c r="E70" s="351">
        <v>19731</v>
      </c>
      <c r="F70" s="351">
        <v>20170</v>
      </c>
      <c r="G70" t="str">
        <f t="shared" si="0"/>
        <v>OK</v>
      </c>
    </row>
    <row r="71" spans="4:7" x14ac:dyDescent="0.25">
      <c r="D71" s="447">
        <v>46183</v>
      </c>
      <c r="E71" s="351">
        <v>20170</v>
      </c>
      <c r="F71" s="351">
        <v>20312</v>
      </c>
      <c r="G71" t="str">
        <f t="shared" si="0"/>
        <v>OK</v>
      </c>
    </row>
    <row r="72" spans="4:7" x14ac:dyDescent="0.25">
      <c r="D72" s="447">
        <v>46185</v>
      </c>
      <c r="E72" s="351">
        <v>20312</v>
      </c>
      <c r="F72" s="351">
        <v>21184</v>
      </c>
      <c r="G72" t="str">
        <f t="shared" si="0"/>
        <v>OK</v>
      </c>
    </row>
    <row r="73" spans="4:7" x14ac:dyDescent="0.25">
      <c r="D73" s="447">
        <v>46183</v>
      </c>
      <c r="E73" s="351">
        <v>21184</v>
      </c>
      <c r="F73" s="351">
        <v>21466</v>
      </c>
      <c r="G73" t="str">
        <f t="shared" si="0"/>
        <v>OK</v>
      </c>
    </row>
    <row r="74" spans="4:7" x14ac:dyDescent="0.25">
      <c r="D74" s="447">
        <v>46182</v>
      </c>
      <c r="E74" s="351">
        <v>21466</v>
      </c>
      <c r="F74" s="351">
        <v>22255</v>
      </c>
      <c r="G74" t="str">
        <f t="shared" si="0"/>
        <v>OK</v>
      </c>
    </row>
    <row r="75" spans="4:7" x14ac:dyDescent="0.25">
      <c r="D75" s="447">
        <v>46183</v>
      </c>
      <c r="E75" s="351">
        <v>22255</v>
      </c>
      <c r="F75" s="351">
        <v>22858</v>
      </c>
      <c r="G75" t="str">
        <f t="shared" si="0"/>
        <v>OK</v>
      </c>
    </row>
    <row r="76" spans="4:7" x14ac:dyDescent="0.25">
      <c r="D76" s="447">
        <v>46181</v>
      </c>
      <c r="E76" s="351">
        <v>22858</v>
      </c>
      <c r="F76" s="351">
        <v>24240</v>
      </c>
      <c r="G76" t="str">
        <f t="shared" si="0"/>
        <v>OK</v>
      </c>
    </row>
    <row r="77" spans="4:7" x14ac:dyDescent="0.25">
      <c r="D77" s="447">
        <v>46182</v>
      </c>
      <c r="E77" s="351">
        <v>24240</v>
      </c>
      <c r="F77" s="351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</row>
    <row r="2" spans="1:19" ht="26.25" x14ac:dyDescent="0.25">
      <c r="A2" s="34" t="s">
        <v>350</v>
      </c>
      <c r="B2" s="179" t="s">
        <v>358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350</v>
      </c>
      <c r="B3" s="179" t="s">
        <v>263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350</v>
      </c>
      <c r="B4" s="179" t="s">
        <v>359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350</v>
      </c>
      <c r="B5" s="179" t="s">
        <v>360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350</v>
      </c>
      <c r="B6" s="179" t="s">
        <v>350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0" t="s">
        <v>502</v>
      </c>
      <c r="G6" s="420" t="s">
        <v>502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642</v>
      </c>
      <c r="E8" s="76" t="s">
        <v>642</v>
      </c>
    </row>
    <row r="9" spans="1:19" x14ac:dyDescent="0.25">
      <c r="D9" s="559">
        <f>+C6*(1-D6)</f>
        <v>15.377499999999996</v>
      </c>
      <c r="E9" s="559">
        <f>+C6*(1-E6)</f>
        <v>16.343499999999999</v>
      </c>
    </row>
    <row r="10" spans="1:19" ht="15.75" thickBot="1" x14ac:dyDescent="0.3">
      <c r="E10" s="559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1"/>
      <c r="K11" s="33" t="s">
        <v>2</v>
      </c>
      <c r="L11" s="424" t="s">
        <v>524</v>
      </c>
      <c r="M11" s="446"/>
      <c r="N11" s="575" t="s">
        <v>529</v>
      </c>
      <c r="O11" s="576"/>
      <c r="P11" s="577"/>
    </row>
    <row r="12" spans="1:19" x14ac:dyDescent="0.25">
      <c r="A12" s="26" t="s">
        <v>350</v>
      </c>
      <c r="B12" s="26"/>
      <c r="C12"/>
      <c r="E12" s="26" t="s">
        <v>350</v>
      </c>
      <c r="F12" s="26"/>
      <c r="J12" s="491" t="s">
        <v>210</v>
      </c>
      <c r="K12" s="463" t="s">
        <v>528</v>
      </c>
      <c r="L12" s="463" t="s">
        <v>500</v>
      </c>
      <c r="M12" s="464">
        <v>1</v>
      </c>
      <c r="N12" s="490" t="s">
        <v>522</v>
      </c>
      <c r="O12" s="467"/>
      <c r="P12" s="468"/>
      <c r="Q12" s="351">
        <v>0</v>
      </c>
    </row>
    <row r="13" spans="1:19" x14ac:dyDescent="0.25">
      <c r="A13" s="447" cm="1">
        <f t="array" ref="A13:C30">_xlfn._xlws.SORT(_xlfn._xlws.FILTER(_xlfn._xlws.FILTER(Tabla1[],(Tabla1[Ducto]=A12)*(Tabla1[Actividades]=A11),),{1,0,0,0,0,1,1,0,0,0,0,0,0,0}),2,1)</f>
        <v>46249</v>
      </c>
      <c r="B13" s="351">
        <v>0</v>
      </c>
      <c r="C13" s="351">
        <v>845</v>
      </c>
      <c r="D13" t="str">
        <f>+IF(C12=B13,"OK","rev")</f>
        <v>OK</v>
      </c>
      <c r="E13" s="447" cm="1">
        <f t="array" ref="E13:G34">_xlfn._xlws.SORT(_xlfn._xlws.FILTER(_xlfn._xlws.FILTER(Tabla1[],(Tabla1[Ducto]=E12)*(Tabla1[Actividades]=E11),),{1,0,0,0,0,1,1,0,0,0,0,0,0,0}),2,1)</f>
        <v>46252</v>
      </c>
      <c r="F13" s="351">
        <v>0</v>
      </c>
      <c r="G13" s="351">
        <v>2981</v>
      </c>
      <c r="H13" t="str">
        <f t="shared" ref="H13:H34" si="0">+IF(G12=F13,"OK","rev")</f>
        <v>OK</v>
      </c>
      <c r="J13" s="491" t="s">
        <v>351</v>
      </c>
      <c r="K13" s="463" t="s">
        <v>350</v>
      </c>
      <c r="L13" s="463" t="s">
        <v>358</v>
      </c>
      <c r="M13" s="464">
        <v>3</v>
      </c>
      <c r="N13" s="465" t="s">
        <v>522</v>
      </c>
      <c r="O13" s="463" t="s">
        <v>523</v>
      </c>
      <c r="P13" s="466" t="s">
        <v>521</v>
      </c>
      <c r="Q13" s="351">
        <v>0</v>
      </c>
      <c r="R13" s="351">
        <v>400</v>
      </c>
      <c r="S13" s="351">
        <v>875</v>
      </c>
    </row>
    <row r="14" spans="1:19" x14ac:dyDescent="0.25">
      <c r="A14" s="447">
        <v>46250</v>
      </c>
      <c r="B14" s="351">
        <v>845</v>
      </c>
      <c r="C14" s="351">
        <v>1920</v>
      </c>
      <c r="D14" t="str">
        <f t="shared" ref="D14:D30" si="1">+IF(C13=B14,"OK","rev")</f>
        <v>OK</v>
      </c>
      <c r="E14" s="447">
        <v>46254</v>
      </c>
      <c r="F14" s="351">
        <v>2981</v>
      </c>
      <c r="G14" s="351">
        <v>4939</v>
      </c>
      <c r="H14" t="str">
        <f t="shared" si="0"/>
        <v>OK</v>
      </c>
      <c r="J14" s="491" t="s">
        <v>351</v>
      </c>
      <c r="K14" s="463" t="s">
        <v>350</v>
      </c>
      <c r="L14" s="463" t="s">
        <v>359</v>
      </c>
      <c r="M14" s="464">
        <v>1</v>
      </c>
      <c r="N14" s="465" t="s">
        <v>521</v>
      </c>
      <c r="O14" s="467"/>
      <c r="P14" s="468"/>
      <c r="Q14" s="351">
        <v>160</v>
      </c>
      <c r="R14" s="351"/>
      <c r="S14" s="351"/>
    </row>
    <row r="15" spans="1:19" x14ac:dyDescent="0.25">
      <c r="A15" s="447">
        <v>46251</v>
      </c>
      <c r="B15" s="351">
        <v>1920</v>
      </c>
      <c r="C15" s="351">
        <v>4300</v>
      </c>
      <c r="D15" t="str">
        <f t="shared" si="1"/>
        <v>OK</v>
      </c>
      <c r="E15" s="447">
        <v>46255</v>
      </c>
      <c r="F15" s="351">
        <v>4939</v>
      </c>
      <c r="G15" s="351">
        <v>7540</v>
      </c>
      <c r="H15" t="str">
        <f t="shared" si="0"/>
        <v>OK</v>
      </c>
      <c r="J15" s="491" t="s">
        <v>351</v>
      </c>
      <c r="K15" s="463" t="s">
        <v>350</v>
      </c>
      <c r="L15" s="463" t="s">
        <v>360</v>
      </c>
      <c r="M15" s="464">
        <v>1</v>
      </c>
      <c r="N15" s="465" t="s">
        <v>522</v>
      </c>
      <c r="O15" s="467"/>
      <c r="P15" s="468"/>
      <c r="Q15" s="351">
        <v>6</v>
      </c>
      <c r="R15" s="351"/>
      <c r="S15" s="351"/>
    </row>
    <row r="16" spans="1:19" x14ac:dyDescent="0.25">
      <c r="A16" s="447">
        <v>46253</v>
      </c>
      <c r="B16" s="351">
        <v>4300</v>
      </c>
      <c r="C16" s="351">
        <v>5320</v>
      </c>
      <c r="D16" t="str">
        <f t="shared" si="1"/>
        <v>OK</v>
      </c>
      <c r="E16" s="447">
        <v>46267</v>
      </c>
      <c r="F16" s="351">
        <v>7540</v>
      </c>
      <c r="G16" s="351">
        <v>9340</v>
      </c>
      <c r="H16" t="str">
        <f t="shared" si="0"/>
        <v>OK</v>
      </c>
      <c r="J16" s="462" t="s">
        <v>377</v>
      </c>
      <c r="K16" s="463" t="s">
        <v>376</v>
      </c>
      <c r="L16" s="463" t="s">
        <v>364</v>
      </c>
      <c r="M16" s="464">
        <v>1</v>
      </c>
      <c r="N16" s="465" t="s">
        <v>522</v>
      </c>
      <c r="O16" s="467"/>
      <c r="P16" s="468"/>
      <c r="Q16" s="351">
        <v>0</v>
      </c>
      <c r="R16" s="351"/>
      <c r="S16" s="351"/>
    </row>
    <row r="17" spans="1:19" x14ac:dyDescent="0.25">
      <c r="A17" s="447">
        <v>46255</v>
      </c>
      <c r="B17" s="351">
        <v>5320</v>
      </c>
      <c r="C17" s="351">
        <v>5930</v>
      </c>
      <c r="D17" t="str">
        <f t="shared" si="1"/>
        <v>OK</v>
      </c>
      <c r="E17" s="447">
        <v>46268</v>
      </c>
      <c r="F17" s="351">
        <v>9340</v>
      </c>
      <c r="G17" s="351">
        <v>10693</v>
      </c>
      <c r="H17" t="str">
        <f t="shared" si="0"/>
        <v>OK</v>
      </c>
      <c r="J17" s="462" t="s">
        <v>377</v>
      </c>
      <c r="K17" s="463" t="s">
        <v>376</v>
      </c>
      <c r="L17" s="463" t="s">
        <v>365</v>
      </c>
      <c r="M17" s="464">
        <v>1</v>
      </c>
      <c r="N17" s="465" t="s">
        <v>522</v>
      </c>
      <c r="O17" s="467"/>
      <c r="P17" s="468"/>
      <c r="Q17" s="351">
        <v>0</v>
      </c>
      <c r="R17" s="351"/>
      <c r="S17" s="351"/>
    </row>
    <row r="18" spans="1:19" x14ac:dyDescent="0.25">
      <c r="A18" s="447">
        <v>46253</v>
      </c>
      <c r="B18" s="351">
        <v>5930</v>
      </c>
      <c r="C18" s="351">
        <v>7540</v>
      </c>
      <c r="D18" t="str">
        <f t="shared" si="1"/>
        <v>OK</v>
      </c>
      <c r="E18" s="447">
        <v>46272</v>
      </c>
      <c r="F18" s="351">
        <v>10693</v>
      </c>
      <c r="G18" s="351">
        <v>11425</v>
      </c>
      <c r="H18" t="str">
        <f t="shared" si="0"/>
        <v>OK</v>
      </c>
      <c r="J18" s="462" t="s">
        <v>377</v>
      </c>
      <c r="K18" s="463" t="s">
        <v>376</v>
      </c>
      <c r="L18" s="463" t="s">
        <v>366</v>
      </c>
      <c r="M18" s="464">
        <v>1</v>
      </c>
      <c r="N18" s="465" t="s">
        <v>522</v>
      </c>
      <c r="O18" s="467"/>
      <c r="P18" s="468"/>
      <c r="Q18" s="351">
        <v>0</v>
      </c>
      <c r="R18" s="351"/>
      <c r="S18" s="351"/>
    </row>
    <row r="19" spans="1:19" x14ac:dyDescent="0.25">
      <c r="A19" s="447">
        <v>46256</v>
      </c>
      <c r="B19" s="351">
        <v>7540</v>
      </c>
      <c r="C19" s="351">
        <v>8040</v>
      </c>
      <c r="D19" t="str">
        <f t="shared" si="1"/>
        <v>OK</v>
      </c>
      <c r="E19" s="447">
        <v>46274</v>
      </c>
      <c r="F19" s="351">
        <v>11425</v>
      </c>
      <c r="G19" s="351">
        <v>12133</v>
      </c>
      <c r="H19" t="str">
        <f t="shared" si="0"/>
        <v>OK</v>
      </c>
      <c r="J19" s="462" t="s">
        <v>377</v>
      </c>
      <c r="K19" s="463" t="s">
        <v>376</v>
      </c>
      <c r="L19" s="463" t="s">
        <v>367</v>
      </c>
      <c r="M19" s="464">
        <v>1</v>
      </c>
      <c r="N19" s="465" t="s">
        <v>522</v>
      </c>
      <c r="O19" s="467"/>
      <c r="P19" s="468"/>
      <c r="Q19" s="351">
        <v>0</v>
      </c>
      <c r="R19" s="351"/>
      <c r="S19" s="351"/>
    </row>
    <row r="20" spans="1:19" x14ac:dyDescent="0.25">
      <c r="A20" s="447">
        <v>46258</v>
      </c>
      <c r="B20" s="351">
        <v>8040</v>
      </c>
      <c r="C20" s="351">
        <v>8720</v>
      </c>
      <c r="D20" t="str">
        <f t="shared" si="1"/>
        <v>OK</v>
      </c>
      <c r="E20" s="447">
        <v>46273</v>
      </c>
      <c r="F20" s="351">
        <v>12133</v>
      </c>
      <c r="G20" s="351">
        <v>14014</v>
      </c>
      <c r="H20" t="str">
        <f t="shared" si="0"/>
        <v>OK</v>
      </c>
      <c r="J20" s="462" t="s">
        <v>377</v>
      </c>
      <c r="K20" s="463" t="s">
        <v>376</v>
      </c>
      <c r="L20" s="463" t="s">
        <v>368</v>
      </c>
      <c r="M20" s="464">
        <v>1</v>
      </c>
      <c r="N20" s="465" t="s">
        <v>522</v>
      </c>
      <c r="O20" s="467"/>
      <c r="P20" s="468"/>
      <c r="Q20" s="351">
        <v>0</v>
      </c>
      <c r="R20" s="351"/>
      <c r="S20" s="351"/>
    </row>
    <row r="21" spans="1:19" x14ac:dyDescent="0.25">
      <c r="A21" s="447">
        <v>46256</v>
      </c>
      <c r="B21" s="351">
        <v>8720</v>
      </c>
      <c r="C21" s="351">
        <v>9070</v>
      </c>
      <c r="D21" t="str">
        <f t="shared" si="1"/>
        <v>OK</v>
      </c>
      <c r="E21" s="447">
        <v>46274</v>
      </c>
      <c r="F21" s="351">
        <v>14014</v>
      </c>
      <c r="G21" s="351">
        <v>14439</v>
      </c>
      <c r="H21" t="str">
        <f t="shared" si="0"/>
        <v>OK</v>
      </c>
      <c r="J21" s="462" t="s">
        <v>377</v>
      </c>
      <c r="K21" s="463" t="s">
        <v>376</v>
      </c>
      <c r="L21" s="463" t="s">
        <v>369</v>
      </c>
      <c r="M21" s="464">
        <v>1</v>
      </c>
      <c r="N21" s="465" t="s">
        <v>522</v>
      </c>
      <c r="O21" s="467"/>
      <c r="P21" s="468"/>
      <c r="Q21" s="351">
        <v>0</v>
      </c>
      <c r="R21" s="351"/>
      <c r="S21" s="351"/>
    </row>
    <row r="22" spans="1:19" x14ac:dyDescent="0.25">
      <c r="A22" s="447">
        <v>46258</v>
      </c>
      <c r="B22" s="351">
        <v>9070</v>
      </c>
      <c r="C22" s="351">
        <v>10000</v>
      </c>
      <c r="D22" t="str">
        <f t="shared" si="1"/>
        <v>OK</v>
      </c>
      <c r="E22" s="447">
        <v>46279</v>
      </c>
      <c r="F22" s="351">
        <v>14439</v>
      </c>
      <c r="G22" s="351">
        <v>15132</v>
      </c>
      <c r="H22" t="str">
        <f t="shared" si="0"/>
        <v>OK</v>
      </c>
      <c r="J22" s="462" t="s">
        <v>377</v>
      </c>
      <c r="K22" s="463" t="s">
        <v>376</v>
      </c>
      <c r="L22" s="463" t="s">
        <v>370</v>
      </c>
      <c r="M22" s="464">
        <v>1</v>
      </c>
      <c r="N22" s="465" t="s">
        <v>522</v>
      </c>
      <c r="O22" s="467"/>
      <c r="P22" s="468"/>
      <c r="Q22" s="351">
        <v>0</v>
      </c>
      <c r="R22" s="351"/>
      <c r="S22" s="351"/>
    </row>
    <row r="23" spans="1:19" x14ac:dyDescent="0.25">
      <c r="A23" s="447">
        <v>46265</v>
      </c>
      <c r="B23" s="351">
        <v>10000</v>
      </c>
      <c r="C23" s="351">
        <v>10800</v>
      </c>
      <c r="D23" t="str">
        <f t="shared" si="1"/>
        <v>OK</v>
      </c>
      <c r="E23" s="447">
        <v>46276</v>
      </c>
      <c r="F23" s="351">
        <v>15132</v>
      </c>
      <c r="G23" s="351">
        <v>15700</v>
      </c>
      <c r="H23" t="str">
        <f t="shared" si="0"/>
        <v>OK</v>
      </c>
      <c r="J23" s="462" t="s">
        <v>377</v>
      </c>
      <c r="K23" s="463" t="s">
        <v>376</v>
      </c>
      <c r="L23" s="463" t="s">
        <v>371</v>
      </c>
      <c r="M23" s="464">
        <v>2</v>
      </c>
      <c r="N23" s="465" t="s">
        <v>522</v>
      </c>
      <c r="O23" s="463" t="s">
        <v>521</v>
      </c>
      <c r="P23" s="468"/>
      <c r="Q23" s="351">
        <v>0</v>
      </c>
      <c r="R23" s="351">
        <v>608</v>
      </c>
      <c r="S23" s="351"/>
    </row>
    <row r="24" spans="1:19" x14ac:dyDescent="0.25">
      <c r="A24" s="447">
        <v>46262</v>
      </c>
      <c r="B24" s="351">
        <v>10800</v>
      </c>
      <c r="C24" s="351">
        <v>12149</v>
      </c>
      <c r="D24" t="str">
        <f t="shared" si="1"/>
        <v>OK</v>
      </c>
      <c r="E24" s="447">
        <v>46276</v>
      </c>
      <c r="F24" s="351">
        <v>15700</v>
      </c>
      <c r="G24" s="351">
        <v>16914</v>
      </c>
      <c r="H24" t="str">
        <f t="shared" si="0"/>
        <v>OK</v>
      </c>
      <c r="J24" s="462" t="s">
        <v>377</v>
      </c>
      <c r="K24" s="463" t="s">
        <v>376</v>
      </c>
      <c r="L24" s="463" t="s">
        <v>372</v>
      </c>
      <c r="M24" s="464">
        <v>1</v>
      </c>
      <c r="N24" s="465" t="s">
        <v>522</v>
      </c>
      <c r="O24" s="467"/>
      <c r="P24" s="468"/>
      <c r="Q24" s="351">
        <v>0</v>
      </c>
      <c r="R24" s="351"/>
      <c r="S24" s="351"/>
    </row>
    <row r="25" spans="1:19" x14ac:dyDescent="0.25">
      <c r="A25" s="447">
        <v>46266</v>
      </c>
      <c r="B25" s="351">
        <v>12149</v>
      </c>
      <c r="C25" s="351">
        <v>16914</v>
      </c>
      <c r="D25" t="str">
        <f t="shared" si="1"/>
        <v>OK</v>
      </c>
      <c r="E25" s="447">
        <v>46277</v>
      </c>
      <c r="F25" s="351">
        <v>16914</v>
      </c>
      <c r="G25" s="351">
        <v>18260</v>
      </c>
      <c r="H25" t="str">
        <f t="shared" si="0"/>
        <v>OK</v>
      </c>
      <c r="J25" s="462" t="s">
        <v>377</v>
      </c>
      <c r="K25" s="463" t="s">
        <v>376</v>
      </c>
      <c r="L25" s="463" t="s">
        <v>373</v>
      </c>
      <c r="M25" s="464">
        <v>1</v>
      </c>
      <c r="N25" s="465" t="s">
        <v>522</v>
      </c>
      <c r="O25" s="467"/>
      <c r="P25" s="468"/>
      <c r="Q25" s="351">
        <v>0</v>
      </c>
      <c r="R25" s="351"/>
      <c r="S25" s="351"/>
    </row>
    <row r="26" spans="1:19" x14ac:dyDescent="0.25">
      <c r="A26" s="447">
        <v>46275</v>
      </c>
      <c r="B26" s="351">
        <v>16914</v>
      </c>
      <c r="C26" s="351">
        <v>18260</v>
      </c>
      <c r="D26" t="str">
        <f t="shared" si="1"/>
        <v>OK</v>
      </c>
      <c r="E26" s="447">
        <v>46296</v>
      </c>
      <c r="F26" s="351">
        <v>18260</v>
      </c>
      <c r="G26" s="351">
        <v>19823</v>
      </c>
      <c r="H26" t="str">
        <f t="shared" si="0"/>
        <v>OK</v>
      </c>
      <c r="J26" s="462" t="s">
        <v>377</v>
      </c>
      <c r="K26" s="463" t="s">
        <v>376</v>
      </c>
      <c r="L26" s="463" t="s">
        <v>374</v>
      </c>
      <c r="M26" s="464">
        <v>2</v>
      </c>
      <c r="N26" s="465" t="s">
        <v>522</v>
      </c>
      <c r="O26" s="463" t="s">
        <v>521</v>
      </c>
      <c r="P26" s="468"/>
      <c r="Q26" s="351">
        <v>0</v>
      </c>
      <c r="R26" s="351">
        <v>623</v>
      </c>
      <c r="S26" s="351"/>
    </row>
    <row r="27" spans="1:19" ht="15.75" thickBot="1" x14ac:dyDescent="0.3">
      <c r="A27" s="447">
        <v>46280</v>
      </c>
      <c r="B27" s="351">
        <v>18260</v>
      </c>
      <c r="C27" s="351">
        <v>22600</v>
      </c>
      <c r="D27" t="str">
        <f t="shared" si="1"/>
        <v>OK</v>
      </c>
      <c r="E27" s="447">
        <v>46297</v>
      </c>
      <c r="F27" s="351">
        <v>19823</v>
      </c>
      <c r="G27" s="351">
        <v>22225</v>
      </c>
      <c r="H27" t="str">
        <f t="shared" si="0"/>
        <v>OK</v>
      </c>
      <c r="J27" s="462" t="s">
        <v>377</v>
      </c>
      <c r="K27" s="463" t="s">
        <v>376</v>
      </c>
      <c r="L27" s="463" t="s">
        <v>375</v>
      </c>
      <c r="M27" s="464">
        <v>1</v>
      </c>
      <c r="N27" s="486" t="s">
        <v>522</v>
      </c>
      <c r="O27" s="487"/>
      <c r="P27" s="488"/>
      <c r="Q27" s="351">
        <v>0</v>
      </c>
      <c r="R27" s="351"/>
      <c r="S27" s="351"/>
    </row>
    <row r="28" spans="1:19" x14ac:dyDescent="0.25">
      <c r="A28" s="447">
        <v>46293</v>
      </c>
      <c r="B28" s="351">
        <v>22600</v>
      </c>
      <c r="C28" s="351">
        <v>25600</v>
      </c>
      <c r="D28" t="str">
        <f t="shared" si="1"/>
        <v>OK</v>
      </c>
      <c r="E28" s="447">
        <v>46300</v>
      </c>
      <c r="F28" s="351">
        <v>22225</v>
      </c>
      <c r="G28" s="351">
        <v>23139</v>
      </c>
      <c r="H28" t="str">
        <f t="shared" si="0"/>
        <v>OK</v>
      </c>
      <c r="M28" s="425">
        <f>SUM(M12:M27)</f>
        <v>20</v>
      </c>
    </row>
    <row r="29" spans="1:19" x14ac:dyDescent="0.25">
      <c r="A29" s="447">
        <v>46294</v>
      </c>
      <c r="B29" s="351">
        <v>25600</v>
      </c>
      <c r="C29" s="351">
        <v>30250</v>
      </c>
      <c r="D29" t="str">
        <f t="shared" si="1"/>
        <v>OK</v>
      </c>
      <c r="E29" s="447">
        <v>46309</v>
      </c>
      <c r="F29" s="351">
        <v>23139</v>
      </c>
      <c r="G29" s="351">
        <v>23379</v>
      </c>
      <c r="H29" t="str">
        <f t="shared" si="0"/>
        <v>OK</v>
      </c>
      <c r="J29" s="26"/>
      <c r="K29" s="26"/>
      <c r="M29"/>
    </row>
    <row r="30" spans="1:19" x14ac:dyDescent="0.25">
      <c r="A30" s="447">
        <v>46295</v>
      </c>
      <c r="B30" s="351">
        <v>30250</v>
      </c>
      <c r="C30" s="351">
        <v>32219</v>
      </c>
      <c r="D30" t="str">
        <f t="shared" si="1"/>
        <v>OK</v>
      </c>
      <c r="E30" s="447">
        <v>46312</v>
      </c>
      <c r="F30" s="351">
        <v>23379</v>
      </c>
      <c r="G30" s="351">
        <v>24265</v>
      </c>
      <c r="H30" t="str">
        <f t="shared" si="0"/>
        <v>OK</v>
      </c>
      <c r="J30" s="26"/>
      <c r="K30" s="26"/>
      <c r="M30"/>
    </row>
    <row r="31" spans="1:19" x14ac:dyDescent="0.25">
      <c r="E31" s="447">
        <v>46309</v>
      </c>
      <c r="F31" s="351">
        <v>24265</v>
      </c>
      <c r="G31" s="351">
        <v>25250</v>
      </c>
      <c r="H31" t="str">
        <f t="shared" si="0"/>
        <v>OK</v>
      </c>
      <c r="J31" s="447"/>
      <c r="K31" s="351"/>
      <c r="L31" s="351"/>
      <c r="M31"/>
    </row>
    <row r="32" spans="1:19" x14ac:dyDescent="0.25">
      <c r="E32" s="447">
        <v>46310</v>
      </c>
      <c r="F32" s="351">
        <v>25250</v>
      </c>
      <c r="G32" s="351">
        <v>27936</v>
      </c>
      <c r="H32" t="str">
        <f t="shared" si="0"/>
        <v>OK</v>
      </c>
      <c r="J32" s="447"/>
      <c r="K32" s="351"/>
      <c r="L32" s="351"/>
      <c r="M32"/>
    </row>
    <row r="33" spans="4:13" x14ac:dyDescent="0.25">
      <c r="E33" s="447">
        <v>46311</v>
      </c>
      <c r="F33" s="351">
        <v>27936</v>
      </c>
      <c r="G33" s="351">
        <v>30728</v>
      </c>
      <c r="H33" t="str">
        <f t="shared" si="0"/>
        <v>OK</v>
      </c>
      <c r="J33" s="447"/>
      <c r="K33" s="351"/>
      <c r="L33" s="351"/>
      <c r="M33"/>
    </row>
    <row r="34" spans="4:13" x14ac:dyDescent="0.25">
      <c r="E34" s="447">
        <v>46312</v>
      </c>
      <c r="F34" s="351">
        <v>30728</v>
      </c>
      <c r="G34" s="351">
        <v>31253</v>
      </c>
      <c r="H34" t="str">
        <f t="shared" si="0"/>
        <v>OK</v>
      </c>
      <c r="J34" s="447"/>
      <c r="K34" s="351"/>
      <c r="L34" s="351"/>
      <c r="M34"/>
    </row>
    <row r="35" spans="4:13" x14ac:dyDescent="0.25">
      <c r="J35" s="447"/>
      <c r="K35" s="351"/>
      <c r="L35" s="351"/>
      <c r="M35"/>
    </row>
    <row r="36" spans="4:13" x14ac:dyDescent="0.25">
      <c r="J36" s="447"/>
      <c r="K36" s="351"/>
      <c r="L36" s="351"/>
      <c r="M36"/>
    </row>
    <row r="37" spans="4:13" x14ac:dyDescent="0.25">
      <c r="J37" s="447"/>
      <c r="K37" s="351"/>
      <c r="L37" s="351"/>
      <c r="M37"/>
    </row>
    <row r="38" spans="4:13" x14ac:dyDescent="0.25">
      <c r="J38" s="447"/>
      <c r="K38" s="351"/>
      <c r="L38" s="351"/>
      <c r="M38"/>
    </row>
    <row r="39" spans="4:13" x14ac:dyDescent="0.25">
      <c r="J39" s="447"/>
      <c r="K39" s="351"/>
      <c r="L39" s="351"/>
      <c r="M39"/>
    </row>
    <row r="40" spans="4:13" x14ac:dyDescent="0.25">
      <c r="J40" s="447"/>
      <c r="K40" s="351"/>
      <c r="L40" s="351"/>
      <c r="M40"/>
    </row>
    <row r="41" spans="4:13" x14ac:dyDescent="0.25">
      <c r="D41" s="26"/>
      <c r="E41" s="26"/>
      <c r="J41" s="447"/>
      <c r="K41" s="351"/>
      <c r="L41" s="351"/>
      <c r="M41"/>
    </row>
    <row r="42" spans="4:13" x14ac:dyDescent="0.25">
      <c r="D42" s="26"/>
      <c r="E42" s="26"/>
      <c r="J42" s="447"/>
      <c r="K42" s="351"/>
      <c r="L42" s="351"/>
      <c r="M42"/>
    </row>
    <row r="43" spans="4:13" x14ac:dyDescent="0.25">
      <c r="D43" s="447"/>
      <c r="E43" s="351"/>
      <c r="F43" s="351"/>
      <c r="J43" s="447"/>
      <c r="K43" s="351"/>
      <c r="L43" s="351"/>
      <c r="M43"/>
    </row>
    <row r="44" spans="4:13" x14ac:dyDescent="0.25">
      <c r="D44" s="447"/>
      <c r="E44" s="351"/>
      <c r="F44" s="351"/>
      <c r="J44" s="447"/>
      <c r="K44" s="351"/>
      <c r="L44" s="351"/>
      <c r="M44"/>
    </row>
    <row r="45" spans="4:13" x14ac:dyDescent="0.25">
      <c r="D45" s="447"/>
      <c r="E45" s="351"/>
      <c r="F45" s="351"/>
      <c r="J45" s="447"/>
      <c r="K45" s="351"/>
      <c r="L45" s="351"/>
      <c r="M45"/>
    </row>
    <row r="46" spans="4:13" x14ac:dyDescent="0.25">
      <c r="D46" s="447"/>
      <c r="E46" s="351"/>
      <c r="F46" s="351"/>
      <c r="J46" s="447"/>
      <c r="K46" s="351"/>
      <c r="L46" s="351"/>
      <c r="M46"/>
    </row>
    <row r="47" spans="4:13" x14ac:dyDescent="0.25">
      <c r="D47" s="447"/>
      <c r="E47" s="351"/>
      <c r="F47" s="351"/>
      <c r="J47" s="447"/>
      <c r="K47" s="351"/>
      <c r="L47" s="351"/>
      <c r="M47"/>
    </row>
    <row r="48" spans="4:13" x14ac:dyDescent="0.25">
      <c r="D48" s="447"/>
      <c r="E48" s="351"/>
      <c r="F48" s="351"/>
      <c r="J48" s="447"/>
      <c r="K48" s="351"/>
      <c r="L48" s="351"/>
      <c r="M48"/>
    </row>
    <row r="49" spans="4:6" x14ac:dyDescent="0.25">
      <c r="D49" s="447"/>
      <c r="E49" s="351"/>
      <c r="F49" s="351"/>
    </row>
    <row r="50" spans="4:6" x14ac:dyDescent="0.25">
      <c r="D50" s="447"/>
      <c r="E50" s="351"/>
      <c r="F50" s="351"/>
    </row>
    <row r="51" spans="4:6" x14ac:dyDescent="0.25">
      <c r="D51" s="447"/>
      <c r="E51" s="351"/>
      <c r="F51" s="351"/>
    </row>
    <row r="52" spans="4:6" x14ac:dyDescent="0.25">
      <c r="D52" s="447"/>
      <c r="E52" s="351"/>
      <c r="F52" s="351"/>
    </row>
    <row r="53" spans="4:6" x14ac:dyDescent="0.25">
      <c r="D53" s="447"/>
      <c r="E53" s="351"/>
      <c r="F53" s="351"/>
    </row>
    <row r="54" spans="4:6" x14ac:dyDescent="0.25">
      <c r="D54" s="447"/>
      <c r="E54" s="351"/>
      <c r="F54" s="351"/>
    </row>
    <row r="55" spans="4:6" x14ac:dyDescent="0.25">
      <c r="D55" s="447"/>
      <c r="E55" s="351"/>
      <c r="F55" s="351"/>
    </row>
    <row r="56" spans="4:6" x14ac:dyDescent="0.25">
      <c r="D56" s="447"/>
      <c r="E56" s="351"/>
      <c r="F56" s="351"/>
    </row>
    <row r="57" spans="4:6" x14ac:dyDescent="0.25">
      <c r="D57" s="447"/>
      <c r="E57" s="351"/>
      <c r="F57" s="351"/>
    </row>
    <row r="58" spans="4:6" x14ac:dyDescent="0.25">
      <c r="D58" s="447"/>
      <c r="E58" s="351"/>
      <c r="F58" s="351"/>
    </row>
    <row r="59" spans="4:6" x14ac:dyDescent="0.25">
      <c r="D59" s="447"/>
      <c r="E59" s="351"/>
      <c r="F59" s="351"/>
    </row>
    <row r="60" spans="4:6" x14ac:dyDescent="0.25">
      <c r="D60" s="447"/>
      <c r="E60" s="351"/>
      <c r="F60" s="351"/>
    </row>
    <row r="61" spans="4:6" x14ac:dyDescent="0.25">
      <c r="D61" s="447"/>
      <c r="E61" s="351"/>
      <c r="F61" s="351"/>
    </row>
    <row r="62" spans="4:6" x14ac:dyDescent="0.25">
      <c r="D62" s="447"/>
      <c r="E62" s="351"/>
      <c r="F62" s="351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3" ht="26.25" x14ac:dyDescent="0.25">
      <c r="A2" s="34" t="s">
        <v>376</v>
      </c>
      <c r="B2" s="560" t="s">
        <v>364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364</v>
      </c>
      <c r="M2" s="33">
        <v>1</v>
      </c>
    </row>
    <row r="3" spans="1:13" ht="26.25" x14ac:dyDescent="0.25">
      <c r="A3" s="34" t="s">
        <v>376</v>
      </c>
      <c r="B3" s="560" t="s">
        <v>365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365</v>
      </c>
      <c r="M3" s="33">
        <v>1</v>
      </c>
    </row>
    <row r="4" spans="1:13" ht="26.25" x14ac:dyDescent="0.25">
      <c r="A4" s="34" t="s">
        <v>376</v>
      </c>
      <c r="B4" s="560" t="s">
        <v>366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366</v>
      </c>
      <c r="M4" s="33">
        <v>1</v>
      </c>
    </row>
    <row r="5" spans="1:13" ht="26.25" x14ac:dyDescent="0.25">
      <c r="A5" s="34" t="s">
        <v>376</v>
      </c>
      <c r="B5" s="560" t="s">
        <v>367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367</v>
      </c>
      <c r="M5" s="33">
        <v>1</v>
      </c>
    </row>
    <row r="6" spans="1:13" ht="26.25" x14ac:dyDescent="0.25">
      <c r="A6" s="34" t="s">
        <v>376</v>
      </c>
      <c r="B6" s="560" t="s">
        <v>368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368</v>
      </c>
      <c r="M6" s="33">
        <v>1</v>
      </c>
    </row>
    <row r="7" spans="1:13" ht="26.25" x14ac:dyDescent="0.25">
      <c r="A7" s="34" t="s">
        <v>376</v>
      </c>
      <c r="B7" s="560" t="s">
        <v>369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369</v>
      </c>
      <c r="M7" s="33">
        <v>1</v>
      </c>
    </row>
    <row r="8" spans="1:13" ht="26.25" x14ac:dyDescent="0.25">
      <c r="A8" s="34" t="s">
        <v>376</v>
      </c>
      <c r="B8" s="560" t="s">
        <v>370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370</v>
      </c>
      <c r="M8" s="33">
        <v>1</v>
      </c>
    </row>
    <row r="9" spans="1:13" ht="26.25" x14ac:dyDescent="0.25">
      <c r="A9" s="34" t="s">
        <v>376</v>
      </c>
      <c r="B9" s="560" t="s">
        <v>371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371</v>
      </c>
      <c r="M9" s="33">
        <v>2</v>
      </c>
    </row>
    <row r="10" spans="1:13" ht="26.25" x14ac:dyDescent="0.25">
      <c r="A10" s="34" t="s">
        <v>376</v>
      </c>
      <c r="B10" s="560" t="s">
        <v>372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372</v>
      </c>
      <c r="M10" s="33">
        <v>1</v>
      </c>
    </row>
    <row r="11" spans="1:13" ht="26.25" x14ac:dyDescent="0.25">
      <c r="A11" s="34" t="s">
        <v>376</v>
      </c>
      <c r="B11" s="560" t="s">
        <v>373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373</v>
      </c>
      <c r="M11" s="33">
        <v>1</v>
      </c>
    </row>
    <row r="12" spans="1:13" ht="26.25" x14ac:dyDescent="0.25">
      <c r="A12" s="34" t="s">
        <v>376</v>
      </c>
      <c r="B12" s="560" t="s">
        <v>374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374</v>
      </c>
      <c r="M12" s="33">
        <v>2</v>
      </c>
    </row>
    <row r="13" spans="1:13" ht="26.25" x14ac:dyDescent="0.25">
      <c r="A13" s="34" t="s">
        <v>376</v>
      </c>
      <c r="B13" s="560" t="s">
        <v>375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375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2" ht="26.25" x14ac:dyDescent="0.25">
      <c r="A2" s="34" t="s">
        <v>264</v>
      </c>
      <c r="B2" s="164" t="s">
        <v>264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264</v>
      </c>
      <c r="B3" s="164" t="s">
        <v>332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264</v>
      </c>
      <c r="B4" s="164" t="s">
        <v>333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5" ht="26.25" x14ac:dyDescent="0.25">
      <c r="A2" s="34" t="s">
        <v>265</v>
      </c>
      <c r="B2" s="174" t="s">
        <v>265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265</v>
      </c>
      <c r="B3" s="174" t="s">
        <v>335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612</v>
      </c>
    </row>
    <row r="11" spans="1:15" x14ac:dyDescent="0.25">
      <c r="L11" s="237"/>
      <c r="M11" s="33" t="s">
        <v>323</v>
      </c>
      <c r="N11" s="33" t="s">
        <v>324</v>
      </c>
      <c r="O11" s="33" t="s">
        <v>79</v>
      </c>
    </row>
    <row r="12" spans="1:15" x14ac:dyDescent="0.25">
      <c r="L12" s="237" t="s">
        <v>377</v>
      </c>
      <c r="M12" s="505"/>
      <c r="N12" s="552"/>
      <c r="O12" s="505"/>
    </row>
    <row r="13" spans="1:15" x14ac:dyDescent="0.25">
      <c r="L13" s="237" t="s">
        <v>271</v>
      </c>
      <c r="M13" s="505">
        <f>+SUM('R (s07)'!C2:C4)</f>
        <v>1.726</v>
      </c>
      <c r="N13" s="505">
        <v>1.726</v>
      </c>
      <c r="O13" s="505">
        <v>1.726</v>
      </c>
    </row>
    <row r="14" spans="1:15" x14ac:dyDescent="0.25">
      <c r="L14" s="237" t="s">
        <v>272</v>
      </c>
      <c r="M14" s="505">
        <f>+SUM(C2:C3)</f>
        <v>4.3119999999999994</v>
      </c>
      <c r="N14" s="505">
        <v>4.3119999999999994</v>
      </c>
      <c r="O14" s="505">
        <v>4.3119999999999994</v>
      </c>
    </row>
    <row r="15" spans="1:15" x14ac:dyDescent="0.25">
      <c r="M15" s="506">
        <f>+SUM(M12:M14)</f>
        <v>6.0379999999999994</v>
      </c>
      <c r="N15" s="506">
        <f>+SUM(N12:N14)</f>
        <v>6.0379999999999994</v>
      </c>
      <c r="O15" s="506">
        <f>+SUM(O12:O14)</f>
        <v>6.0379999999999994</v>
      </c>
    </row>
    <row r="17" spans="12:14" x14ac:dyDescent="0.25">
      <c r="L17" t="s">
        <v>610</v>
      </c>
    </row>
    <row r="18" spans="12:14" x14ac:dyDescent="0.25">
      <c r="L18" t="s">
        <v>611</v>
      </c>
      <c r="N18" s="507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47"/>
    <col min="13" max="13" width="13.140625" bestFit="1" customWidth="1"/>
  </cols>
  <sheetData>
    <row r="2" spans="1:20" ht="140.25" customHeight="1" x14ac:dyDescent="0.25">
      <c r="B2" s="517" t="s">
        <v>630</v>
      </c>
      <c r="C2" s="517" t="s">
        <v>631</v>
      </c>
      <c r="D2" s="517" t="s">
        <v>632</v>
      </c>
      <c r="E2" s="517" t="s">
        <v>633</v>
      </c>
      <c r="F2" s="517" t="s">
        <v>131</v>
      </c>
      <c r="G2" s="517" t="s">
        <v>634</v>
      </c>
      <c r="H2" s="517" t="s">
        <v>635</v>
      </c>
      <c r="I2" s="517" t="s">
        <v>636</v>
      </c>
      <c r="J2" s="517" t="s">
        <v>637</v>
      </c>
      <c r="L2" s="516"/>
      <c r="M2" s="517" t="s">
        <v>643</v>
      </c>
      <c r="N2" s="516"/>
      <c r="O2" s="516"/>
      <c r="P2" s="516"/>
      <c r="Q2" s="516"/>
      <c r="R2" s="516"/>
      <c r="S2" s="516"/>
      <c r="T2" s="516"/>
    </row>
    <row r="3" spans="1:20" x14ac:dyDescent="0.25">
      <c r="A3" t="s">
        <v>615</v>
      </c>
      <c r="B3" s="33" t="s">
        <v>639</v>
      </c>
      <c r="C3" s="33" t="s">
        <v>639</v>
      </c>
      <c r="D3" s="33" t="s">
        <v>639</v>
      </c>
      <c r="E3" s="33"/>
      <c r="F3" s="33" t="s">
        <v>639</v>
      </c>
      <c r="G3" s="33"/>
      <c r="H3" s="33"/>
      <c r="I3" s="33" t="s">
        <v>639</v>
      </c>
      <c r="J3" s="33" t="s">
        <v>639</v>
      </c>
      <c r="K3" s="447">
        <v>46280</v>
      </c>
      <c r="M3" s="551">
        <f>COUNTA(A3:A17)/NETWORKDAYS(MIN(K3:K17),MAX(K3:K17))</f>
        <v>0.41666666666666669</v>
      </c>
    </row>
    <row r="4" spans="1:20" x14ac:dyDescent="0.25">
      <c r="A4" t="s">
        <v>616</v>
      </c>
      <c r="B4" s="33" t="s">
        <v>639</v>
      </c>
      <c r="C4" s="33" t="s">
        <v>639</v>
      </c>
      <c r="D4" s="33" t="s">
        <v>639</v>
      </c>
      <c r="E4" s="33"/>
      <c r="F4" s="33" t="s">
        <v>639</v>
      </c>
      <c r="G4" s="33"/>
      <c r="H4" s="33"/>
      <c r="I4" s="33" t="s">
        <v>639</v>
      </c>
      <c r="J4" s="33" t="s">
        <v>639</v>
      </c>
      <c r="K4" s="447">
        <v>46259</v>
      </c>
    </row>
    <row r="5" spans="1:20" x14ac:dyDescent="0.25">
      <c r="A5" t="s">
        <v>617</v>
      </c>
      <c r="B5" s="33" t="s">
        <v>639</v>
      </c>
      <c r="C5" s="33" t="s">
        <v>639</v>
      </c>
      <c r="D5" s="33" t="s">
        <v>639</v>
      </c>
      <c r="E5" s="33"/>
      <c r="F5" s="33" t="s">
        <v>639</v>
      </c>
      <c r="G5" s="33"/>
      <c r="H5" s="33"/>
      <c r="I5" s="33" t="s">
        <v>639</v>
      </c>
      <c r="J5" s="33" t="s">
        <v>639</v>
      </c>
      <c r="K5" s="447">
        <v>46282</v>
      </c>
    </row>
    <row r="6" spans="1:20" x14ac:dyDescent="0.25">
      <c r="A6" t="s">
        <v>618</v>
      </c>
      <c r="B6" s="33" t="s">
        <v>639</v>
      </c>
      <c r="C6" s="33" t="s">
        <v>639</v>
      </c>
      <c r="D6" s="33" t="s">
        <v>639</v>
      </c>
      <c r="E6" s="33"/>
      <c r="F6" s="33" t="s">
        <v>639</v>
      </c>
      <c r="G6" s="33"/>
      <c r="H6" s="33"/>
      <c r="I6" s="33" t="s">
        <v>639</v>
      </c>
      <c r="J6" s="33" t="s">
        <v>639</v>
      </c>
      <c r="K6" s="447">
        <v>46261</v>
      </c>
    </row>
    <row r="7" spans="1:20" x14ac:dyDescent="0.25">
      <c r="A7" t="s">
        <v>619</v>
      </c>
      <c r="B7" s="33" t="s">
        <v>639</v>
      </c>
      <c r="C7" s="33" t="s">
        <v>639</v>
      </c>
      <c r="D7" s="33" t="s">
        <v>639</v>
      </c>
      <c r="E7" s="33"/>
      <c r="F7" s="33"/>
      <c r="G7" s="33"/>
      <c r="H7" s="33"/>
      <c r="I7" s="33" t="s">
        <v>639</v>
      </c>
      <c r="J7" s="33" t="s">
        <v>639</v>
      </c>
      <c r="K7" s="447">
        <v>46296</v>
      </c>
    </row>
    <row r="8" spans="1:20" x14ac:dyDescent="0.25">
      <c r="A8" s="138" t="s">
        <v>620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621</v>
      </c>
      <c r="B9" s="33" t="s">
        <v>639</v>
      </c>
      <c r="C9" s="33" t="s">
        <v>639</v>
      </c>
      <c r="D9" s="33" t="s">
        <v>639</v>
      </c>
      <c r="E9" s="33"/>
      <c r="F9" s="33" t="s">
        <v>639</v>
      </c>
      <c r="G9" s="33"/>
      <c r="H9" s="33"/>
      <c r="I9" s="33" t="s">
        <v>639</v>
      </c>
      <c r="J9" s="33" t="s">
        <v>639</v>
      </c>
      <c r="K9" s="447">
        <v>46308</v>
      </c>
    </row>
    <row r="10" spans="1:20" x14ac:dyDescent="0.25">
      <c r="A10" t="s">
        <v>622</v>
      </c>
      <c r="B10" s="33" t="s">
        <v>639</v>
      </c>
      <c r="C10" s="33" t="s">
        <v>639</v>
      </c>
      <c r="D10" s="33" t="s">
        <v>639</v>
      </c>
      <c r="E10" s="33"/>
      <c r="F10" s="33" t="s">
        <v>639</v>
      </c>
      <c r="G10" s="33"/>
      <c r="H10" s="33"/>
      <c r="I10" s="33" t="s">
        <v>639</v>
      </c>
      <c r="J10" s="33" t="s">
        <v>639</v>
      </c>
      <c r="K10" s="447">
        <v>46307</v>
      </c>
    </row>
    <row r="11" spans="1:20" x14ac:dyDescent="0.25">
      <c r="A11" t="s">
        <v>629</v>
      </c>
      <c r="B11" s="33" t="s">
        <v>639</v>
      </c>
      <c r="C11" s="33" t="s">
        <v>639</v>
      </c>
      <c r="D11" s="33" t="s">
        <v>639</v>
      </c>
      <c r="E11" s="33"/>
      <c r="F11" s="33" t="s">
        <v>639</v>
      </c>
      <c r="G11" s="33"/>
      <c r="H11" s="33"/>
      <c r="I11" s="33" t="s">
        <v>639</v>
      </c>
      <c r="J11" s="33" t="s">
        <v>639</v>
      </c>
      <c r="K11" s="447">
        <v>46294</v>
      </c>
    </row>
    <row r="12" spans="1:20" x14ac:dyDescent="0.25">
      <c r="A12" t="s">
        <v>623</v>
      </c>
      <c r="B12" s="33" t="s">
        <v>639</v>
      </c>
      <c r="C12" s="33" t="s">
        <v>639</v>
      </c>
      <c r="D12" s="33" t="s">
        <v>639</v>
      </c>
      <c r="E12" s="33"/>
      <c r="F12" s="33" t="s">
        <v>639</v>
      </c>
      <c r="G12" s="33"/>
      <c r="H12" s="33"/>
      <c r="I12" s="33" t="s">
        <v>639</v>
      </c>
      <c r="J12" s="33" t="s">
        <v>639</v>
      </c>
      <c r="K12" s="447">
        <v>46274</v>
      </c>
    </row>
    <row r="13" spans="1:20" x14ac:dyDescent="0.25">
      <c r="A13" t="s">
        <v>624</v>
      </c>
      <c r="B13" s="33" t="s">
        <v>639</v>
      </c>
      <c r="C13" s="33" t="s">
        <v>639</v>
      </c>
      <c r="D13" s="33" t="s">
        <v>639</v>
      </c>
      <c r="E13" s="33"/>
      <c r="F13" s="33" t="s">
        <v>639</v>
      </c>
      <c r="G13" s="33"/>
      <c r="H13" s="33"/>
      <c r="I13" s="33" t="s">
        <v>639</v>
      </c>
      <c r="J13" s="33" t="s">
        <v>639</v>
      </c>
      <c r="K13" s="447">
        <v>46297</v>
      </c>
    </row>
    <row r="14" spans="1:20" x14ac:dyDescent="0.25">
      <c r="A14" t="s">
        <v>625</v>
      </c>
      <c r="B14" s="33" t="s">
        <v>639</v>
      </c>
      <c r="C14" s="33" t="s">
        <v>639</v>
      </c>
      <c r="D14" s="33" t="s">
        <v>639</v>
      </c>
      <c r="E14" s="33"/>
      <c r="F14" s="33" t="s">
        <v>639</v>
      </c>
      <c r="G14" s="33"/>
      <c r="H14" s="33"/>
      <c r="I14" s="33" t="s">
        <v>639</v>
      </c>
      <c r="J14" s="33" t="s">
        <v>639</v>
      </c>
      <c r="K14" s="447">
        <v>46282</v>
      </c>
    </row>
    <row r="15" spans="1:20" x14ac:dyDescent="0.25">
      <c r="A15" t="s">
        <v>626</v>
      </c>
      <c r="B15" s="33" t="s">
        <v>639</v>
      </c>
      <c r="C15" s="33" t="s">
        <v>639</v>
      </c>
      <c r="D15" s="33" t="s">
        <v>639</v>
      </c>
      <c r="E15" s="33" t="s">
        <v>639</v>
      </c>
      <c r="F15" s="33" t="s">
        <v>639</v>
      </c>
      <c r="G15" s="33" t="s">
        <v>639</v>
      </c>
      <c r="H15" s="33" t="s">
        <v>639</v>
      </c>
      <c r="I15" s="33" t="s">
        <v>639</v>
      </c>
      <c r="J15" s="33" t="s">
        <v>639</v>
      </c>
      <c r="K15" s="447">
        <v>46269</v>
      </c>
    </row>
    <row r="16" spans="1:20" x14ac:dyDescent="0.25">
      <c r="A16" t="s">
        <v>627</v>
      </c>
      <c r="B16" s="33" t="s">
        <v>639</v>
      </c>
      <c r="C16" s="33" t="s">
        <v>639</v>
      </c>
      <c r="D16" s="33" t="s">
        <v>639</v>
      </c>
      <c r="E16" s="33"/>
      <c r="F16" s="33" t="s">
        <v>639</v>
      </c>
      <c r="G16" s="33"/>
      <c r="H16" s="33"/>
      <c r="I16" s="33" t="s">
        <v>639</v>
      </c>
      <c r="J16" s="33" t="s">
        <v>639</v>
      </c>
      <c r="K16" s="447">
        <v>46272</v>
      </c>
    </row>
    <row r="17" spans="1:11" x14ac:dyDescent="0.25">
      <c r="A17" t="s">
        <v>628</v>
      </c>
      <c r="B17" s="33" t="s">
        <v>639</v>
      </c>
      <c r="C17" s="33" t="s">
        <v>639</v>
      </c>
      <c r="D17" s="33" t="s">
        <v>639</v>
      </c>
      <c r="E17" s="33" t="s">
        <v>639</v>
      </c>
      <c r="F17" s="33" t="s">
        <v>639</v>
      </c>
      <c r="G17" s="33" t="s">
        <v>639</v>
      </c>
      <c r="H17" s="33" t="s">
        <v>639</v>
      </c>
      <c r="I17" s="33" t="s">
        <v>639</v>
      </c>
      <c r="J17" s="33" t="s">
        <v>639</v>
      </c>
      <c r="K17" s="447">
        <v>46272</v>
      </c>
    </row>
  </sheetData>
  <conditionalFormatting sqref="B3:J17">
    <cfRule type="containsBlanks" dxfId="27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183</v>
      </c>
      <c r="B1" s="83" t="s">
        <v>184</v>
      </c>
      <c r="C1" s="92" t="s">
        <v>185</v>
      </c>
      <c r="D1" s="83" t="s">
        <v>96</v>
      </c>
    </row>
    <row r="2" spans="1:6" ht="17.25" thickBot="1" x14ac:dyDescent="0.35">
      <c r="A2" s="84" t="s">
        <v>179</v>
      </c>
      <c r="B2" s="85" t="s">
        <v>186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179</v>
      </c>
      <c r="B3" s="85" t="s">
        <v>186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179</v>
      </c>
      <c r="B4" s="85" t="s">
        <v>186</v>
      </c>
      <c r="C4" s="94">
        <v>1.02</v>
      </c>
      <c r="D4" s="165" t="s">
        <v>41</v>
      </c>
      <c r="F4" t="s">
        <v>328</v>
      </c>
    </row>
    <row r="5" spans="1:6" ht="17.25" thickBot="1" x14ac:dyDescent="0.35">
      <c r="A5" s="84" t="s">
        <v>179</v>
      </c>
      <c r="B5" s="85" t="s">
        <v>186</v>
      </c>
      <c r="C5" s="94">
        <v>1.03</v>
      </c>
      <c r="D5" s="165" t="s">
        <v>42</v>
      </c>
      <c r="F5" t="s">
        <v>264</v>
      </c>
    </row>
    <row r="6" spans="1:6" ht="17.25" thickBot="1" x14ac:dyDescent="0.35">
      <c r="A6" s="84" t="s">
        <v>179</v>
      </c>
      <c r="B6" s="85" t="s">
        <v>186</v>
      </c>
      <c r="C6" s="94">
        <v>1.04</v>
      </c>
      <c r="D6" s="165" t="s">
        <v>43</v>
      </c>
      <c r="F6" t="s">
        <v>334</v>
      </c>
    </row>
    <row r="7" spans="1:6" ht="17.25" thickBot="1" x14ac:dyDescent="0.35">
      <c r="A7" s="84" t="s">
        <v>179</v>
      </c>
      <c r="B7" s="85" t="s">
        <v>186</v>
      </c>
      <c r="C7" s="94">
        <v>1.05</v>
      </c>
      <c r="D7" s="165" t="s">
        <v>45</v>
      </c>
      <c r="F7" t="s">
        <v>407</v>
      </c>
    </row>
    <row r="8" spans="1:6" ht="17.25" thickBot="1" x14ac:dyDescent="0.35">
      <c r="A8" s="84" t="s">
        <v>179</v>
      </c>
      <c r="B8" s="85" t="s">
        <v>186</v>
      </c>
      <c r="C8" s="94">
        <v>1.06</v>
      </c>
      <c r="D8" s="165" t="s">
        <v>17</v>
      </c>
      <c r="F8" t="s">
        <v>557</v>
      </c>
    </row>
    <row r="9" spans="1:6" ht="17.25" thickBot="1" x14ac:dyDescent="0.35">
      <c r="A9" s="84" t="s">
        <v>179</v>
      </c>
      <c r="B9" s="85" t="s">
        <v>186</v>
      </c>
      <c r="C9" s="94" t="s">
        <v>187</v>
      </c>
      <c r="D9" s="165" t="s">
        <v>18</v>
      </c>
    </row>
    <row r="10" spans="1:6" ht="17.25" thickBot="1" x14ac:dyDescent="0.35">
      <c r="A10" s="84" t="s">
        <v>179</v>
      </c>
      <c r="B10" s="85" t="s">
        <v>186</v>
      </c>
      <c r="C10" s="94" t="s">
        <v>188</v>
      </c>
      <c r="D10" s="165" t="s">
        <v>19</v>
      </c>
    </row>
    <row r="11" spans="1:6" ht="17.25" thickBot="1" x14ac:dyDescent="0.35">
      <c r="A11" s="84" t="s">
        <v>179</v>
      </c>
      <c r="B11" s="85" t="s">
        <v>186</v>
      </c>
      <c r="C11" s="94">
        <v>1.07</v>
      </c>
      <c r="D11" s="165" t="s">
        <v>52</v>
      </c>
    </row>
    <row r="12" spans="1:6" ht="17.25" thickBot="1" x14ac:dyDescent="0.35">
      <c r="A12" s="84" t="s">
        <v>179</v>
      </c>
      <c r="B12" s="85" t="s">
        <v>186</v>
      </c>
      <c r="C12" s="94">
        <v>1.08</v>
      </c>
      <c r="D12" s="165" t="s">
        <v>53</v>
      </c>
    </row>
    <row r="13" spans="1:6" ht="17.25" thickBot="1" x14ac:dyDescent="0.35">
      <c r="A13" s="84" t="s">
        <v>179</v>
      </c>
      <c r="B13" s="85" t="s">
        <v>186</v>
      </c>
      <c r="C13" s="94">
        <v>1.0900000000000001</v>
      </c>
      <c r="D13" s="165" t="s">
        <v>44</v>
      </c>
    </row>
    <row r="14" spans="1:6" ht="17.25" thickBot="1" x14ac:dyDescent="0.35">
      <c r="A14" s="84" t="s">
        <v>179</v>
      </c>
      <c r="B14" s="85" t="s">
        <v>186</v>
      </c>
      <c r="C14" s="94">
        <v>1.1000000000000001</v>
      </c>
      <c r="D14" s="165" t="s">
        <v>67</v>
      </c>
    </row>
    <row r="15" spans="1:6" ht="17.25" thickBot="1" x14ac:dyDescent="0.35">
      <c r="A15" s="84" t="s">
        <v>179</v>
      </c>
      <c r="B15" s="85" t="s">
        <v>186</v>
      </c>
      <c r="C15" s="94">
        <v>1.1100000000000001</v>
      </c>
      <c r="D15" s="165" t="s">
        <v>51</v>
      </c>
    </row>
    <row r="16" spans="1:6" ht="17.25" thickBot="1" x14ac:dyDescent="0.35">
      <c r="A16" s="84" t="s">
        <v>179</v>
      </c>
      <c r="B16" s="85" t="s">
        <v>186</v>
      </c>
      <c r="C16" s="94" t="s">
        <v>189</v>
      </c>
      <c r="D16" s="165" t="s">
        <v>169</v>
      </c>
    </row>
    <row r="17" spans="1:4" ht="17.25" thickBot="1" x14ac:dyDescent="0.35">
      <c r="A17" s="84" t="s">
        <v>179</v>
      </c>
      <c r="B17" s="85" t="s">
        <v>186</v>
      </c>
      <c r="C17" s="94">
        <v>1.1200000000000001</v>
      </c>
      <c r="D17" s="165" t="s">
        <v>57</v>
      </c>
    </row>
    <row r="18" spans="1:4" ht="17.25" thickBot="1" x14ac:dyDescent="0.35">
      <c r="A18" s="84" t="s">
        <v>179</v>
      </c>
      <c r="B18" s="85" t="s">
        <v>186</v>
      </c>
      <c r="C18" s="94">
        <v>1.1299999999999999</v>
      </c>
      <c r="D18" s="165" t="s">
        <v>58</v>
      </c>
    </row>
    <row r="19" spans="1:4" ht="17.25" thickBot="1" x14ac:dyDescent="0.35">
      <c r="A19" s="84" t="s">
        <v>179</v>
      </c>
      <c r="B19" s="85" t="s">
        <v>186</v>
      </c>
      <c r="C19" s="94">
        <v>1.1399999999999999</v>
      </c>
      <c r="D19" s="165" t="s">
        <v>20</v>
      </c>
    </row>
    <row r="20" spans="1:4" ht="17.25" thickBot="1" x14ac:dyDescent="0.35">
      <c r="A20" s="84" t="s">
        <v>179</v>
      </c>
      <c r="B20" s="85" t="s">
        <v>186</v>
      </c>
      <c r="C20" s="94" t="s">
        <v>190</v>
      </c>
      <c r="D20" s="165" t="s">
        <v>47</v>
      </c>
    </row>
    <row r="21" spans="1:4" ht="17.25" thickBot="1" x14ac:dyDescent="0.35">
      <c r="A21" s="84" t="s">
        <v>179</v>
      </c>
      <c r="B21" s="85" t="s">
        <v>186</v>
      </c>
      <c r="C21" s="94" t="s">
        <v>191</v>
      </c>
      <c r="D21" s="165" t="s">
        <v>48</v>
      </c>
    </row>
    <row r="22" spans="1:4" ht="17.25" thickBot="1" x14ac:dyDescent="0.35">
      <c r="A22" s="84" t="s">
        <v>179</v>
      </c>
      <c r="B22" s="85" t="s">
        <v>186</v>
      </c>
      <c r="C22" s="94" t="s">
        <v>192</v>
      </c>
      <c r="D22" s="165" t="s">
        <v>49</v>
      </c>
    </row>
    <row r="23" spans="1:4" ht="17.25" thickBot="1" x14ac:dyDescent="0.35">
      <c r="A23" s="84" t="s">
        <v>179</v>
      </c>
      <c r="B23" s="85" t="s">
        <v>186</v>
      </c>
      <c r="C23" s="94" t="s">
        <v>193</v>
      </c>
      <c r="D23" s="165" t="s">
        <v>171</v>
      </c>
    </row>
    <row r="24" spans="1:4" ht="17.25" thickBot="1" x14ac:dyDescent="0.35">
      <c r="A24" s="84" t="s">
        <v>179</v>
      </c>
      <c r="B24" s="85" t="s">
        <v>186</v>
      </c>
      <c r="C24" s="94">
        <v>1.1499999999999999</v>
      </c>
      <c r="D24" s="165" t="s">
        <v>65</v>
      </c>
    </row>
    <row r="25" spans="1:4" ht="17.25" thickBot="1" x14ac:dyDescent="0.35">
      <c r="A25" s="84" t="s">
        <v>179</v>
      </c>
      <c r="B25" s="85" t="s">
        <v>186</v>
      </c>
      <c r="C25" s="94" t="s">
        <v>194</v>
      </c>
      <c r="D25" s="165" t="s">
        <v>61</v>
      </c>
    </row>
    <row r="26" spans="1:4" ht="17.25" thickBot="1" x14ac:dyDescent="0.35">
      <c r="A26" s="84" t="s">
        <v>179</v>
      </c>
      <c r="B26" s="85" t="s">
        <v>186</v>
      </c>
      <c r="C26" s="94" t="s">
        <v>195</v>
      </c>
      <c r="D26" s="165" t="s">
        <v>62</v>
      </c>
    </row>
    <row r="27" spans="1:4" ht="17.25" thickBot="1" x14ac:dyDescent="0.35">
      <c r="A27" s="84" t="s">
        <v>179</v>
      </c>
      <c r="B27" s="85" t="s">
        <v>186</v>
      </c>
      <c r="C27" s="94" t="s">
        <v>196</v>
      </c>
      <c r="D27" s="165" t="s">
        <v>63</v>
      </c>
    </row>
    <row r="28" spans="1:4" ht="17.25" thickBot="1" x14ac:dyDescent="0.35">
      <c r="A28" s="84" t="s">
        <v>179</v>
      </c>
      <c r="B28" s="85" t="s">
        <v>186</v>
      </c>
      <c r="C28" s="94" t="s">
        <v>197</v>
      </c>
      <c r="D28" s="165" t="s">
        <v>70</v>
      </c>
    </row>
    <row r="29" spans="1:4" ht="17.25" thickBot="1" x14ac:dyDescent="0.35">
      <c r="A29" s="84" t="s">
        <v>179</v>
      </c>
      <c r="B29" s="85" t="s">
        <v>186</v>
      </c>
      <c r="C29" s="94" t="s">
        <v>198</v>
      </c>
      <c r="D29" s="165" t="s">
        <v>50</v>
      </c>
    </row>
    <row r="30" spans="1:4" ht="17.25" thickBot="1" x14ac:dyDescent="0.35">
      <c r="A30" s="84" t="s">
        <v>179</v>
      </c>
      <c r="B30" s="85" t="s">
        <v>186</v>
      </c>
      <c r="C30" s="94" t="s">
        <v>199</v>
      </c>
      <c r="D30" s="165" t="s">
        <v>66</v>
      </c>
    </row>
    <row r="31" spans="1:4" ht="17.25" thickBot="1" x14ac:dyDescent="0.35">
      <c r="A31" s="84" t="s">
        <v>179</v>
      </c>
      <c r="B31" s="85" t="s">
        <v>186</v>
      </c>
      <c r="C31" s="94" t="s">
        <v>200</v>
      </c>
      <c r="D31" s="165" t="s">
        <v>343</v>
      </c>
    </row>
    <row r="32" spans="1:4" ht="17.25" thickBot="1" x14ac:dyDescent="0.35">
      <c r="A32" s="84" t="s">
        <v>179</v>
      </c>
      <c r="B32" s="85" t="s">
        <v>186</v>
      </c>
      <c r="C32" s="94" t="s">
        <v>201</v>
      </c>
      <c r="D32" s="165" t="s">
        <v>68</v>
      </c>
    </row>
    <row r="33" spans="1:4" ht="17.25" thickBot="1" x14ac:dyDescent="0.35">
      <c r="A33" s="84" t="s">
        <v>179</v>
      </c>
      <c r="B33" s="85" t="s">
        <v>186</v>
      </c>
      <c r="C33" s="94" t="s">
        <v>202</v>
      </c>
      <c r="D33" s="165" t="s">
        <v>69</v>
      </c>
    </row>
    <row r="34" spans="1:4" ht="17.25" thickBot="1" x14ac:dyDescent="0.35">
      <c r="A34" s="84" t="s">
        <v>179</v>
      </c>
      <c r="B34" s="85" t="s">
        <v>186</v>
      </c>
      <c r="C34" s="94">
        <v>1.1599999999999999</v>
      </c>
      <c r="D34" s="165" t="s">
        <v>59</v>
      </c>
    </row>
    <row r="35" spans="1:4" ht="17.25" thickBot="1" x14ac:dyDescent="0.35">
      <c r="A35" s="84" t="s">
        <v>179</v>
      </c>
      <c r="B35" s="85" t="s">
        <v>186</v>
      </c>
      <c r="C35" s="94">
        <v>1.17</v>
      </c>
      <c r="D35" s="165" t="s">
        <v>60</v>
      </c>
    </row>
    <row r="36" spans="1:4" ht="17.25" thickBot="1" x14ac:dyDescent="0.35">
      <c r="A36" s="84" t="s">
        <v>179</v>
      </c>
      <c r="B36" s="85" t="s">
        <v>186</v>
      </c>
      <c r="C36" s="94">
        <v>1.18</v>
      </c>
      <c r="D36" s="165" t="s">
        <v>21</v>
      </c>
    </row>
    <row r="37" spans="1:4" ht="17.25" thickBot="1" x14ac:dyDescent="0.35">
      <c r="A37" s="84" t="s">
        <v>179</v>
      </c>
      <c r="B37" s="85" t="s">
        <v>186</v>
      </c>
      <c r="C37" s="94">
        <v>1.19</v>
      </c>
      <c r="D37" s="165" t="s">
        <v>37</v>
      </c>
    </row>
    <row r="38" spans="1:4" ht="17.25" thickBot="1" x14ac:dyDescent="0.35">
      <c r="A38" s="84" t="s">
        <v>179</v>
      </c>
      <c r="B38" s="85" t="s">
        <v>186</v>
      </c>
      <c r="C38" s="94" t="s">
        <v>203</v>
      </c>
      <c r="D38" s="165" t="s">
        <v>71</v>
      </c>
    </row>
    <row r="39" spans="1:4" ht="17.25" thickBot="1" x14ac:dyDescent="0.35">
      <c r="A39" s="84" t="s">
        <v>179</v>
      </c>
      <c r="B39" s="85" t="s">
        <v>186</v>
      </c>
      <c r="C39" s="94" t="s">
        <v>204</v>
      </c>
      <c r="D39" s="165" t="s">
        <v>72</v>
      </c>
    </row>
    <row r="40" spans="1:4" ht="17.25" thickBot="1" x14ac:dyDescent="0.35">
      <c r="A40" s="84" t="s">
        <v>179</v>
      </c>
      <c r="B40" s="85" t="s">
        <v>186</v>
      </c>
      <c r="C40" s="94">
        <v>1.2</v>
      </c>
      <c r="D40" s="165" t="s">
        <v>38</v>
      </c>
    </row>
    <row r="41" spans="1:4" ht="17.25" thickBot="1" x14ac:dyDescent="0.35">
      <c r="A41" s="84" t="s">
        <v>179</v>
      </c>
      <c r="B41" s="85" t="s">
        <v>186</v>
      </c>
      <c r="C41" s="94" t="s">
        <v>205</v>
      </c>
      <c r="D41" s="165" t="s">
        <v>46</v>
      </c>
    </row>
    <row r="42" spans="1:4" ht="17.25" thickBot="1" x14ac:dyDescent="0.35">
      <c r="A42" s="86" t="s">
        <v>180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180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180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180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180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180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180</v>
      </c>
      <c r="B48" s="87" t="s">
        <v>27</v>
      </c>
      <c r="C48" s="95" t="s">
        <v>206</v>
      </c>
      <c r="D48" s="88" t="s">
        <v>74</v>
      </c>
    </row>
    <row r="49" spans="1:7" ht="17.25" thickBot="1" x14ac:dyDescent="0.35">
      <c r="A49" s="86" t="s">
        <v>180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180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180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180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180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180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180</v>
      </c>
      <c r="B55" s="87" t="s">
        <v>27</v>
      </c>
      <c r="C55" s="95" t="s">
        <v>207</v>
      </c>
      <c r="D55" s="88" t="s">
        <v>39</v>
      </c>
    </row>
    <row r="56" spans="1:7" ht="17.25" thickBot="1" x14ac:dyDescent="0.35">
      <c r="A56" s="86" t="s">
        <v>180</v>
      </c>
      <c r="B56" s="87" t="s">
        <v>27</v>
      </c>
      <c r="C56" s="95" t="s">
        <v>208</v>
      </c>
      <c r="D56" s="88" t="s">
        <v>24</v>
      </c>
      <c r="G56" s="363" t="s">
        <v>457</v>
      </c>
    </row>
    <row r="57" spans="1:7" ht="17.25" thickBot="1" x14ac:dyDescent="0.35">
      <c r="A57" s="86" t="s">
        <v>180</v>
      </c>
      <c r="B57" s="87" t="s">
        <v>27</v>
      </c>
      <c r="C57" s="95" t="s">
        <v>209</v>
      </c>
      <c r="D57" s="88" t="s">
        <v>25</v>
      </c>
      <c r="G57" s="364">
        <v>46152</v>
      </c>
    </row>
    <row r="58" spans="1:7" ht="17.25" thickBot="1" x14ac:dyDescent="0.35">
      <c r="A58" s="89" t="s">
        <v>210</v>
      </c>
      <c r="B58" s="90" t="s">
        <v>211</v>
      </c>
      <c r="C58" s="96">
        <v>3</v>
      </c>
      <c r="D58" s="91" t="s">
        <v>211</v>
      </c>
      <c r="E58" s="205">
        <v>24358</v>
      </c>
      <c r="G58" s="363" t="s">
        <v>451</v>
      </c>
    </row>
    <row r="59" spans="1:7" ht="17.25" thickBot="1" x14ac:dyDescent="0.35">
      <c r="A59" s="89" t="s">
        <v>210</v>
      </c>
      <c r="B59" s="90" t="s">
        <v>211</v>
      </c>
      <c r="C59" s="96">
        <v>3.01</v>
      </c>
      <c r="D59" s="91" t="s">
        <v>212</v>
      </c>
      <c r="E59" s="205">
        <v>26</v>
      </c>
      <c r="G59" s="365" t="s">
        <v>452</v>
      </c>
    </row>
    <row r="60" spans="1:7" ht="17.25" thickBot="1" x14ac:dyDescent="0.35">
      <c r="A60" s="89" t="s">
        <v>210</v>
      </c>
      <c r="B60" s="90" t="s">
        <v>211</v>
      </c>
      <c r="C60" s="96">
        <v>3.02</v>
      </c>
      <c r="D60" s="91" t="s">
        <v>213</v>
      </c>
      <c r="E60" s="205">
        <v>9</v>
      </c>
      <c r="G60" s="365" t="s">
        <v>453</v>
      </c>
    </row>
    <row r="61" spans="1:7" ht="17.25" thickBot="1" x14ac:dyDescent="0.35">
      <c r="A61" s="89" t="s">
        <v>210</v>
      </c>
      <c r="B61" s="90" t="s">
        <v>211</v>
      </c>
      <c r="C61" s="96">
        <v>3.03</v>
      </c>
      <c r="D61" s="91" t="s">
        <v>214</v>
      </c>
      <c r="E61" s="205">
        <v>1880</v>
      </c>
      <c r="G61" s="365" t="s">
        <v>454</v>
      </c>
    </row>
    <row r="62" spans="1:7" ht="17.25" thickBot="1" x14ac:dyDescent="0.35">
      <c r="A62" s="89" t="s">
        <v>210</v>
      </c>
      <c r="B62" s="90" t="s">
        <v>211</v>
      </c>
      <c r="C62" s="96">
        <v>3.04</v>
      </c>
      <c r="D62" s="91" t="s">
        <v>215</v>
      </c>
      <c r="E62" s="205">
        <v>119.5</v>
      </c>
      <c r="G62" s="365" t="s">
        <v>455</v>
      </c>
    </row>
    <row r="63" spans="1:7" ht="17.25" thickBot="1" x14ac:dyDescent="0.35">
      <c r="A63" s="89" t="s">
        <v>210</v>
      </c>
      <c r="B63" s="90" t="s">
        <v>211</v>
      </c>
      <c r="C63" s="96">
        <v>3.05</v>
      </c>
      <c r="D63" s="91" t="s">
        <v>216</v>
      </c>
      <c r="E63" s="205">
        <v>5872</v>
      </c>
      <c r="G63" s="365" t="s">
        <v>456</v>
      </c>
    </row>
    <row r="64" spans="1:7" ht="17.25" thickBot="1" x14ac:dyDescent="0.35">
      <c r="A64" s="89" t="s">
        <v>210</v>
      </c>
      <c r="B64" s="90" t="s">
        <v>211</v>
      </c>
      <c r="C64" s="96">
        <v>3.06</v>
      </c>
      <c r="D64" s="91" t="s">
        <v>217</v>
      </c>
      <c r="E64" s="205">
        <v>1436</v>
      </c>
    </row>
    <row r="65" spans="1:5" ht="17.25" thickBot="1" x14ac:dyDescent="0.35">
      <c r="A65" s="89" t="s">
        <v>210</v>
      </c>
      <c r="B65" s="90" t="s">
        <v>211</v>
      </c>
      <c r="C65" s="96" t="s">
        <v>346</v>
      </c>
      <c r="D65" s="91" t="s">
        <v>340</v>
      </c>
      <c r="E65" s="386" t="e">
        <v>#N/A</v>
      </c>
    </row>
    <row r="66" spans="1:5" ht="17.25" thickBot="1" x14ac:dyDescent="0.35">
      <c r="A66" s="89" t="s">
        <v>210</v>
      </c>
      <c r="B66" s="90" t="s">
        <v>211</v>
      </c>
      <c r="C66" s="96">
        <v>3.07</v>
      </c>
      <c r="D66" s="91" t="s">
        <v>218</v>
      </c>
      <c r="E66" s="205">
        <v>373</v>
      </c>
    </row>
    <row r="67" spans="1:5" ht="17.25" thickBot="1" x14ac:dyDescent="0.35">
      <c r="A67" s="89" t="s">
        <v>210</v>
      </c>
      <c r="B67" s="90" t="s">
        <v>211</v>
      </c>
      <c r="C67" s="384">
        <v>3.08</v>
      </c>
      <c r="D67" s="385" t="s">
        <v>219</v>
      </c>
      <c r="E67" s="386" t="e">
        <v>#N/A</v>
      </c>
    </row>
    <row r="68" spans="1:5" ht="17.25" thickBot="1" x14ac:dyDescent="0.35">
      <c r="A68" s="89" t="s">
        <v>210</v>
      </c>
      <c r="B68" s="90" t="s">
        <v>211</v>
      </c>
      <c r="C68" s="96">
        <v>3.09</v>
      </c>
      <c r="D68" s="91" t="s">
        <v>220</v>
      </c>
      <c r="E68" s="205">
        <v>11</v>
      </c>
    </row>
    <row r="69" spans="1:5" ht="17.25" thickBot="1" x14ac:dyDescent="0.35">
      <c r="A69" s="89" t="s">
        <v>210</v>
      </c>
      <c r="B69" s="90" t="s">
        <v>211</v>
      </c>
      <c r="C69" s="96">
        <v>3.1</v>
      </c>
      <c r="D69" s="91" t="s">
        <v>221</v>
      </c>
      <c r="E69" s="205">
        <v>14</v>
      </c>
    </row>
    <row r="70" spans="1:5" ht="17.25" thickBot="1" x14ac:dyDescent="0.35">
      <c r="A70" s="89" t="s">
        <v>210</v>
      </c>
      <c r="B70" s="90" t="s">
        <v>211</v>
      </c>
      <c r="C70" s="96">
        <v>3.11</v>
      </c>
      <c r="D70" s="91" t="s">
        <v>222</v>
      </c>
      <c r="E70" s="205">
        <v>20</v>
      </c>
    </row>
    <row r="71" spans="1:5" ht="17.25" thickBot="1" x14ac:dyDescent="0.35">
      <c r="A71" s="89" t="s">
        <v>210</v>
      </c>
      <c r="B71" s="90" t="s">
        <v>211</v>
      </c>
      <c r="C71" s="96">
        <v>3.12</v>
      </c>
      <c r="D71" s="91" t="s">
        <v>223</v>
      </c>
      <c r="E71" s="205">
        <v>6</v>
      </c>
    </row>
    <row r="72" spans="1:5" ht="17.25" thickBot="1" x14ac:dyDescent="0.35">
      <c r="A72" s="89" t="s">
        <v>210</v>
      </c>
      <c r="B72" s="90" t="s">
        <v>211</v>
      </c>
      <c r="C72" s="96">
        <v>3.13</v>
      </c>
      <c r="D72" s="91" t="s">
        <v>224</v>
      </c>
      <c r="E72" s="205">
        <v>5788</v>
      </c>
    </row>
    <row r="73" spans="1:5" ht="17.25" thickBot="1" x14ac:dyDescent="0.35">
      <c r="A73" s="89" t="s">
        <v>210</v>
      </c>
      <c r="B73" s="90" t="s">
        <v>211</v>
      </c>
      <c r="C73" s="96" t="s">
        <v>225</v>
      </c>
      <c r="D73" s="91" t="s">
        <v>226</v>
      </c>
      <c r="E73" s="205">
        <v>18</v>
      </c>
    </row>
    <row r="74" spans="1:5" ht="17.25" thickBot="1" x14ac:dyDescent="0.35">
      <c r="A74" s="89" t="s">
        <v>210</v>
      </c>
      <c r="B74" s="90" t="s">
        <v>211</v>
      </c>
      <c r="C74" s="384" t="s">
        <v>227</v>
      </c>
      <c r="D74" s="385" t="s">
        <v>228</v>
      </c>
      <c r="E74" s="386" t="e">
        <v>#N/A</v>
      </c>
    </row>
    <row r="75" spans="1:5" ht="17.25" thickBot="1" x14ac:dyDescent="0.35">
      <c r="A75" s="89" t="s">
        <v>210</v>
      </c>
      <c r="B75" s="90" t="s">
        <v>211</v>
      </c>
      <c r="C75" s="96" t="s">
        <v>229</v>
      </c>
      <c r="D75" s="91" t="s">
        <v>230</v>
      </c>
      <c r="E75" s="205">
        <v>7</v>
      </c>
    </row>
    <row r="76" spans="1:5" ht="17.25" thickBot="1" x14ac:dyDescent="0.35">
      <c r="A76" s="89" t="s">
        <v>210</v>
      </c>
      <c r="B76" s="90" t="s">
        <v>211</v>
      </c>
      <c r="C76" s="96" t="s">
        <v>231</v>
      </c>
      <c r="D76" s="91" t="s">
        <v>232</v>
      </c>
      <c r="E76" s="205">
        <v>2</v>
      </c>
    </row>
    <row r="77" spans="1:5" ht="17.25" thickBot="1" x14ac:dyDescent="0.35">
      <c r="A77" s="89" t="s">
        <v>210</v>
      </c>
      <c r="B77" s="90" t="s">
        <v>211</v>
      </c>
      <c r="C77" s="96" t="s">
        <v>233</v>
      </c>
      <c r="D77" s="91" t="s">
        <v>234</v>
      </c>
      <c r="E77" s="386" t="e">
        <v>#N/A</v>
      </c>
    </row>
    <row r="78" spans="1:5" ht="17.25" thickBot="1" x14ac:dyDescent="0.35">
      <c r="A78" s="89" t="s">
        <v>210</v>
      </c>
      <c r="B78" s="90" t="s">
        <v>211</v>
      </c>
      <c r="C78" s="96" t="s">
        <v>235</v>
      </c>
      <c r="D78" s="91" t="s">
        <v>236</v>
      </c>
      <c r="E78" s="205">
        <v>127</v>
      </c>
    </row>
    <row r="79" spans="1:5" ht="17.25" thickBot="1" x14ac:dyDescent="0.35">
      <c r="A79" s="89" t="s">
        <v>210</v>
      </c>
      <c r="B79" s="90" t="s">
        <v>211</v>
      </c>
      <c r="C79" s="96" t="s">
        <v>237</v>
      </c>
      <c r="D79" s="91" t="s">
        <v>238</v>
      </c>
      <c r="E79" s="205">
        <v>487</v>
      </c>
    </row>
    <row r="80" spans="1:5" ht="17.25" thickBot="1" x14ac:dyDescent="0.35">
      <c r="A80" s="89" t="s">
        <v>210</v>
      </c>
      <c r="B80" s="90" t="s">
        <v>211</v>
      </c>
      <c r="C80" s="384">
        <v>3.14</v>
      </c>
      <c r="D80" s="385" t="s">
        <v>239</v>
      </c>
      <c r="E80" s="386" t="e">
        <v>#N/A</v>
      </c>
    </row>
    <row r="81" spans="1:5" ht="17.25" thickBot="1" x14ac:dyDescent="0.35">
      <c r="A81" s="89" t="s">
        <v>210</v>
      </c>
      <c r="B81" s="90" t="s">
        <v>211</v>
      </c>
      <c r="C81" s="96">
        <v>3.15</v>
      </c>
      <c r="D81" s="91" t="s">
        <v>240</v>
      </c>
      <c r="E81" s="205">
        <v>45</v>
      </c>
    </row>
    <row r="82" spans="1:5" ht="17.25" thickBot="1" x14ac:dyDescent="0.35">
      <c r="A82" s="89" t="s">
        <v>210</v>
      </c>
      <c r="B82" s="90" t="s">
        <v>211</v>
      </c>
      <c r="C82" s="96">
        <v>3.16</v>
      </c>
      <c r="D82" s="91" t="s">
        <v>241</v>
      </c>
      <c r="E82" s="205">
        <v>62</v>
      </c>
    </row>
    <row r="83" spans="1:5" ht="17.25" thickBot="1" x14ac:dyDescent="0.35">
      <c r="A83" s="89" t="s">
        <v>210</v>
      </c>
      <c r="B83" s="90" t="s">
        <v>211</v>
      </c>
      <c r="C83" s="96">
        <v>3.17</v>
      </c>
      <c r="D83" s="91" t="s">
        <v>242</v>
      </c>
      <c r="E83" s="205">
        <v>7</v>
      </c>
    </row>
    <row r="84" spans="1:5" ht="17.25" thickBot="1" x14ac:dyDescent="0.35">
      <c r="A84" s="89" t="s">
        <v>210</v>
      </c>
      <c r="B84" s="90" t="s">
        <v>211</v>
      </c>
      <c r="C84" s="96">
        <v>3.18</v>
      </c>
      <c r="D84" s="91" t="s">
        <v>243</v>
      </c>
      <c r="E84" s="205">
        <v>469</v>
      </c>
    </row>
    <row r="85" spans="1:5" ht="17.25" thickBot="1" x14ac:dyDescent="0.35">
      <c r="A85" s="89" t="s">
        <v>210</v>
      </c>
      <c r="B85" s="90" t="s">
        <v>211</v>
      </c>
      <c r="C85" s="96">
        <v>3.19</v>
      </c>
      <c r="D85" s="91" t="s">
        <v>244</v>
      </c>
      <c r="E85" s="205">
        <v>93</v>
      </c>
    </row>
    <row r="86" spans="1:5" ht="17.25" thickBot="1" x14ac:dyDescent="0.35">
      <c r="A86" s="89" t="s">
        <v>210</v>
      </c>
      <c r="B86" s="90" t="s">
        <v>211</v>
      </c>
      <c r="C86" s="383" t="s">
        <v>501</v>
      </c>
      <c r="D86" s="91" t="s">
        <v>245</v>
      </c>
      <c r="E86" s="205">
        <v>6</v>
      </c>
    </row>
    <row r="87" spans="1:5" ht="17.25" thickBot="1" x14ac:dyDescent="0.35">
      <c r="A87" s="89" t="s">
        <v>210</v>
      </c>
      <c r="B87" s="90" t="s">
        <v>211</v>
      </c>
      <c r="C87" s="96">
        <v>3.21</v>
      </c>
      <c r="D87" s="91" t="s">
        <v>246</v>
      </c>
      <c r="E87" s="205">
        <v>7</v>
      </c>
    </row>
    <row r="88" spans="1:5" ht="17.25" thickBot="1" x14ac:dyDescent="0.35">
      <c r="A88" s="89" t="s">
        <v>210</v>
      </c>
      <c r="B88" s="90" t="s">
        <v>211</v>
      </c>
      <c r="C88" s="96">
        <v>3.22</v>
      </c>
      <c r="D88" s="91" t="s">
        <v>247</v>
      </c>
      <c r="E88" s="205">
        <v>8</v>
      </c>
    </row>
    <row r="89" spans="1:5" ht="17.25" thickBot="1" x14ac:dyDescent="0.35">
      <c r="A89" s="89" t="s">
        <v>210</v>
      </c>
      <c r="B89" s="90" t="s">
        <v>211</v>
      </c>
      <c r="C89" s="96">
        <v>3.23</v>
      </c>
      <c r="D89" s="91" t="s">
        <v>248</v>
      </c>
      <c r="E89" s="205">
        <v>12</v>
      </c>
    </row>
    <row r="90" spans="1:5" ht="17.25" thickBot="1" x14ac:dyDescent="0.35">
      <c r="A90" s="89" t="s">
        <v>210</v>
      </c>
      <c r="B90" s="90" t="s">
        <v>211</v>
      </c>
      <c r="C90" s="96">
        <v>3.24</v>
      </c>
      <c r="D90" s="91" t="s">
        <v>249</v>
      </c>
      <c r="E90" s="205">
        <v>850</v>
      </c>
    </row>
    <row r="91" spans="1:5" ht="17.25" thickBot="1" x14ac:dyDescent="0.35">
      <c r="A91" s="89" t="s">
        <v>210</v>
      </c>
      <c r="B91" s="90" t="s">
        <v>211</v>
      </c>
      <c r="C91" s="96">
        <v>3.25</v>
      </c>
      <c r="D91" s="91" t="s">
        <v>250</v>
      </c>
      <c r="E91" s="205">
        <v>314</v>
      </c>
    </row>
    <row r="92" spans="1:5" ht="17.25" thickBot="1" x14ac:dyDescent="0.35">
      <c r="A92" s="89" t="s">
        <v>210</v>
      </c>
      <c r="B92" s="90" t="s">
        <v>211</v>
      </c>
      <c r="C92" s="96">
        <v>3.26</v>
      </c>
      <c r="D92" s="91" t="s">
        <v>251</v>
      </c>
      <c r="E92" s="205">
        <v>12.5</v>
      </c>
    </row>
    <row r="93" spans="1:5" ht="17.25" thickBot="1" x14ac:dyDescent="0.35">
      <c r="A93" s="89" t="s">
        <v>210</v>
      </c>
      <c r="B93" s="90" t="s">
        <v>211</v>
      </c>
      <c r="C93" s="96">
        <v>3.27</v>
      </c>
      <c r="D93" s="91" t="s">
        <v>252</v>
      </c>
      <c r="E93" s="205">
        <v>1324</v>
      </c>
    </row>
    <row r="94" spans="1:5" ht="17.25" thickBot="1" x14ac:dyDescent="0.35">
      <c r="A94" s="89" t="s">
        <v>210</v>
      </c>
      <c r="B94" s="90" t="s">
        <v>211</v>
      </c>
      <c r="C94" s="96">
        <v>3.28</v>
      </c>
      <c r="D94" s="91" t="s">
        <v>253</v>
      </c>
      <c r="E94" s="386" t="e">
        <v>#N/A</v>
      </c>
    </row>
    <row r="95" spans="1:5" ht="17.25" thickBot="1" x14ac:dyDescent="0.35">
      <c r="A95" s="89" t="s">
        <v>210</v>
      </c>
      <c r="B95" s="90" t="s">
        <v>211</v>
      </c>
      <c r="C95" s="96">
        <v>3.29</v>
      </c>
      <c r="D95" s="91" t="s">
        <v>254</v>
      </c>
      <c r="E95" s="205">
        <v>275</v>
      </c>
    </row>
    <row r="96" spans="1:5" ht="17.25" thickBot="1" x14ac:dyDescent="0.35">
      <c r="A96" s="89" t="s">
        <v>210</v>
      </c>
      <c r="B96" s="90" t="s">
        <v>211</v>
      </c>
      <c r="C96" s="383" t="s">
        <v>496</v>
      </c>
      <c r="D96" s="91" t="s">
        <v>345</v>
      </c>
      <c r="E96" s="205">
        <v>703</v>
      </c>
    </row>
    <row r="97" spans="1:11" ht="17.25" thickBot="1" x14ac:dyDescent="0.35">
      <c r="A97" s="89" t="s">
        <v>210</v>
      </c>
      <c r="B97" s="90" t="s">
        <v>211</v>
      </c>
      <c r="C97" s="383" t="s">
        <v>497</v>
      </c>
      <c r="D97" s="91" t="s">
        <v>498</v>
      </c>
      <c r="E97" s="205">
        <v>12.5</v>
      </c>
    </row>
    <row r="98" spans="1:11" ht="17.25" thickBot="1" x14ac:dyDescent="0.35">
      <c r="A98" s="89" t="s">
        <v>210</v>
      </c>
      <c r="B98" s="90" t="s">
        <v>211</v>
      </c>
      <c r="C98" s="383" t="s">
        <v>499</v>
      </c>
      <c r="D98" s="91" t="s">
        <v>500</v>
      </c>
      <c r="E98" s="205">
        <v>292.5</v>
      </c>
    </row>
    <row r="99" spans="1:11" ht="17.25" thickBot="1" x14ac:dyDescent="0.35">
      <c r="A99" s="89" t="s">
        <v>210</v>
      </c>
      <c r="B99" s="90" t="s">
        <v>211</v>
      </c>
      <c r="C99" s="383">
        <v>3.33</v>
      </c>
      <c r="D99" s="91" t="s">
        <v>352</v>
      </c>
      <c r="E99" s="205">
        <v>10</v>
      </c>
    </row>
    <row r="100" spans="1:11" ht="17.25" thickBot="1" x14ac:dyDescent="0.35">
      <c r="A100" s="159" t="s">
        <v>271</v>
      </c>
      <c r="B100" s="160" t="s">
        <v>264</v>
      </c>
      <c r="C100" s="161" t="s">
        <v>329</v>
      </c>
      <c r="D100" s="162" t="s">
        <v>264</v>
      </c>
      <c r="E100" s="205" t="e">
        <v>#N/A</v>
      </c>
    </row>
    <row r="101" spans="1:11" ht="17.25" thickBot="1" x14ac:dyDescent="0.35">
      <c r="A101" s="159" t="s">
        <v>271</v>
      </c>
      <c r="B101" s="160" t="s">
        <v>264</v>
      </c>
      <c r="C101" s="161" t="s">
        <v>330</v>
      </c>
      <c r="D101" s="162" t="s">
        <v>332</v>
      </c>
      <c r="E101" s="205">
        <v>366.96</v>
      </c>
    </row>
    <row r="102" spans="1:11" ht="17.25" thickBot="1" x14ac:dyDescent="0.35">
      <c r="A102" s="159" t="s">
        <v>271</v>
      </c>
      <c r="B102" s="160" t="s">
        <v>264</v>
      </c>
      <c r="C102" s="161" t="s">
        <v>331</v>
      </c>
      <c r="D102" s="162" t="s">
        <v>333</v>
      </c>
      <c r="E102" s="205">
        <v>1175</v>
      </c>
    </row>
    <row r="103" spans="1:11" ht="17.25" thickBot="1" x14ac:dyDescent="0.35">
      <c r="A103" s="170" t="s">
        <v>272</v>
      </c>
      <c r="B103" s="171" t="s">
        <v>265</v>
      </c>
      <c r="C103" s="172" t="s">
        <v>336</v>
      </c>
      <c r="D103" s="173" t="s">
        <v>265</v>
      </c>
      <c r="E103" s="205">
        <v>12</v>
      </c>
    </row>
    <row r="104" spans="1:11" ht="17.25" thickBot="1" x14ac:dyDescent="0.35">
      <c r="A104" s="170" t="s">
        <v>272</v>
      </c>
      <c r="B104" s="171" t="s">
        <v>265</v>
      </c>
      <c r="C104" s="172" t="s">
        <v>337</v>
      </c>
      <c r="D104" s="173" t="s">
        <v>335</v>
      </c>
      <c r="E104" s="205">
        <v>4300</v>
      </c>
      <c r="H104">
        <v>14521.41</v>
      </c>
    </row>
    <row r="105" spans="1:11" ht="17.25" thickBot="1" x14ac:dyDescent="0.35">
      <c r="A105" s="206" t="s">
        <v>351</v>
      </c>
      <c r="B105" s="207" t="s">
        <v>350</v>
      </c>
      <c r="C105" s="406" t="s">
        <v>509</v>
      </c>
      <c r="D105" s="209" t="s">
        <v>350</v>
      </c>
      <c r="E105" s="386">
        <v>47596.5</v>
      </c>
      <c r="H105">
        <f>+'R (s04)'!G28</f>
        <v>23139</v>
      </c>
      <c r="I105" s="205">
        <f>+E105-H105</f>
        <v>24457.5</v>
      </c>
      <c r="K105" s="408">
        <f>(I105/1000)*H104</f>
        <v>355157.385075</v>
      </c>
    </row>
    <row r="106" spans="1:11" ht="17.25" thickBot="1" x14ac:dyDescent="0.35">
      <c r="A106" s="206" t="s">
        <v>351</v>
      </c>
      <c r="B106" s="207" t="s">
        <v>350</v>
      </c>
      <c r="C106" s="208" t="s">
        <v>361</v>
      </c>
      <c r="D106" s="209" t="s">
        <v>358</v>
      </c>
      <c r="E106" s="351">
        <v>758</v>
      </c>
      <c r="F106" t="str">
        <f>+C106&amp;" "&amp;D106</f>
        <v>4.01 BACHOCO</v>
      </c>
    </row>
    <row r="107" spans="1:11" ht="17.25" thickBot="1" x14ac:dyDescent="0.35">
      <c r="A107" s="206" t="s">
        <v>351</v>
      </c>
      <c r="B107" s="207" t="s">
        <v>350</v>
      </c>
      <c r="C107" s="208" t="s">
        <v>349</v>
      </c>
      <c r="D107" s="209" t="s">
        <v>263</v>
      </c>
      <c r="E107" s="351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351</v>
      </c>
      <c r="B108" s="207" t="s">
        <v>350</v>
      </c>
      <c r="C108" s="208" t="s">
        <v>362</v>
      </c>
      <c r="D108" s="209" t="s">
        <v>359</v>
      </c>
      <c r="E108" s="351">
        <v>158</v>
      </c>
      <c r="F108" t="str">
        <f t="shared" si="0"/>
        <v>4.03 NATGAS ARCÁNGEL</v>
      </c>
    </row>
    <row r="109" spans="1:11" ht="17.25" thickBot="1" x14ac:dyDescent="0.35">
      <c r="A109" s="206" t="s">
        <v>351</v>
      </c>
      <c r="B109" s="207" t="s">
        <v>350</v>
      </c>
      <c r="C109" s="208" t="s">
        <v>363</v>
      </c>
      <c r="D109" s="209" t="s">
        <v>360</v>
      </c>
      <c r="E109" s="351">
        <v>7</v>
      </c>
      <c r="F109" t="str">
        <f t="shared" si="0"/>
        <v>4.04 VIÑEDOS</v>
      </c>
    </row>
    <row r="110" spans="1:11" ht="17.25" thickBot="1" x14ac:dyDescent="0.35">
      <c r="A110" s="240" t="s">
        <v>377</v>
      </c>
      <c r="B110" s="241" t="s">
        <v>376</v>
      </c>
      <c r="C110" s="242" t="s">
        <v>378</v>
      </c>
      <c r="D110" s="243" t="s">
        <v>364</v>
      </c>
      <c r="E110" s="205">
        <v>3</v>
      </c>
    </row>
    <row r="111" spans="1:11" ht="17.25" thickBot="1" x14ac:dyDescent="0.35">
      <c r="A111" s="240" t="s">
        <v>377</v>
      </c>
      <c r="B111" s="241" t="s">
        <v>376</v>
      </c>
      <c r="C111" s="242" t="s">
        <v>379</v>
      </c>
      <c r="D111" s="243" t="s">
        <v>365</v>
      </c>
      <c r="E111" s="205">
        <v>97</v>
      </c>
    </row>
    <row r="112" spans="1:11" ht="17.25" thickBot="1" x14ac:dyDescent="0.35">
      <c r="A112" s="240" t="s">
        <v>377</v>
      </c>
      <c r="B112" s="241" t="s">
        <v>376</v>
      </c>
      <c r="C112" s="242" t="s">
        <v>380</v>
      </c>
      <c r="D112" s="243" t="s">
        <v>366</v>
      </c>
      <c r="E112" s="205">
        <v>7</v>
      </c>
    </row>
    <row r="113" spans="1:5" ht="17.25" thickBot="1" x14ac:dyDescent="0.35">
      <c r="A113" s="240" t="s">
        <v>377</v>
      </c>
      <c r="B113" s="241" t="s">
        <v>376</v>
      </c>
      <c r="C113" s="242" t="s">
        <v>381</v>
      </c>
      <c r="D113" s="243" t="s">
        <v>367</v>
      </c>
      <c r="E113" s="205">
        <v>15.5</v>
      </c>
    </row>
    <row r="114" spans="1:5" ht="17.25" thickBot="1" x14ac:dyDescent="0.35">
      <c r="A114" s="240" t="s">
        <v>377</v>
      </c>
      <c r="B114" s="241" t="s">
        <v>376</v>
      </c>
      <c r="C114" s="242" t="s">
        <v>382</v>
      </c>
      <c r="D114" s="243" t="s">
        <v>368</v>
      </c>
      <c r="E114" s="205">
        <v>17</v>
      </c>
    </row>
    <row r="115" spans="1:5" ht="17.25" thickBot="1" x14ac:dyDescent="0.35">
      <c r="A115" s="240" t="s">
        <v>377</v>
      </c>
      <c r="B115" s="241" t="s">
        <v>376</v>
      </c>
      <c r="C115" s="242" t="s">
        <v>383</v>
      </c>
      <c r="D115" s="243" t="s">
        <v>369</v>
      </c>
      <c r="E115" s="205">
        <v>8</v>
      </c>
    </row>
    <row r="116" spans="1:5" ht="17.25" thickBot="1" x14ac:dyDescent="0.35">
      <c r="A116" s="240" t="s">
        <v>377</v>
      </c>
      <c r="B116" s="241" t="s">
        <v>376</v>
      </c>
      <c r="C116" s="242" t="s">
        <v>384</v>
      </c>
      <c r="D116" s="243" t="s">
        <v>370</v>
      </c>
      <c r="E116" s="205">
        <v>53</v>
      </c>
    </row>
    <row r="117" spans="1:5" ht="17.25" thickBot="1" x14ac:dyDescent="0.35">
      <c r="A117" s="240" t="s">
        <v>377</v>
      </c>
      <c r="B117" s="241" t="s">
        <v>376</v>
      </c>
      <c r="C117" s="242" t="s">
        <v>385</v>
      </c>
      <c r="D117" s="243" t="s">
        <v>371</v>
      </c>
      <c r="E117" s="205">
        <v>608</v>
      </c>
    </row>
    <row r="118" spans="1:5" ht="17.25" thickBot="1" x14ac:dyDescent="0.35">
      <c r="A118" s="240" t="s">
        <v>377</v>
      </c>
      <c r="B118" s="241" t="s">
        <v>376</v>
      </c>
      <c r="C118" s="242" t="s">
        <v>386</v>
      </c>
      <c r="D118" s="243" t="s">
        <v>372</v>
      </c>
      <c r="E118" s="205">
        <v>170</v>
      </c>
    </row>
    <row r="119" spans="1:5" ht="17.25" thickBot="1" x14ac:dyDescent="0.35">
      <c r="A119" s="240" t="s">
        <v>377</v>
      </c>
      <c r="B119" s="241" t="s">
        <v>376</v>
      </c>
      <c r="C119" s="242" t="s">
        <v>387</v>
      </c>
      <c r="D119" s="243" t="s">
        <v>373</v>
      </c>
      <c r="E119" s="205">
        <v>13</v>
      </c>
    </row>
    <row r="120" spans="1:5" ht="17.25" thickBot="1" x14ac:dyDescent="0.35">
      <c r="A120" s="240" t="s">
        <v>377</v>
      </c>
      <c r="B120" s="241" t="s">
        <v>376</v>
      </c>
      <c r="C120" s="242" t="s">
        <v>388</v>
      </c>
      <c r="D120" s="243" t="s">
        <v>374</v>
      </c>
      <c r="E120" s="205">
        <v>623.9</v>
      </c>
    </row>
    <row r="121" spans="1:5" ht="17.25" thickBot="1" x14ac:dyDescent="0.35">
      <c r="A121" s="240" t="s">
        <v>377</v>
      </c>
      <c r="B121" s="241" t="s">
        <v>376</v>
      </c>
      <c r="C121" s="242" t="s">
        <v>389</v>
      </c>
      <c r="D121" s="243" t="s">
        <v>375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173</v>
      </c>
      <c r="B1" s="33" t="s">
        <v>441</v>
      </c>
      <c r="C1" s="33" t="s">
        <v>439</v>
      </c>
      <c r="D1" s="33" t="s">
        <v>77</v>
      </c>
      <c r="E1" s="33" t="s">
        <v>78</v>
      </c>
      <c r="F1" s="33" t="s">
        <v>79</v>
      </c>
      <c r="G1" s="67" t="s">
        <v>80</v>
      </c>
      <c r="H1" s="33" t="s">
        <v>81</v>
      </c>
      <c r="I1" s="33" t="s">
        <v>82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46316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46316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77</v>
      </c>
      <c r="L35" s="112">
        <f ca="1">+_xlfn.XLOOKUP(TODAY(),A:A,D:D)</f>
        <v>181.88549999999998</v>
      </c>
      <c r="M35" s="61" t="s">
        <v>174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398">
        <f ca="1">+O35/1000</f>
        <v>-36.385499999999972</v>
      </c>
      <c r="R35" s="224">
        <f ca="1">+$Q$35*Catalogo!J19</f>
        <v>-58216.799999999952</v>
      </c>
      <c r="S35" s="115"/>
      <c r="T35"/>
      <c r="U35" s="397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78</v>
      </c>
      <c r="L36" s="112">
        <f ca="1">+_xlfn.XLOOKUP(TODAY(),A:A,E:E)</f>
        <v>180.42549999999989</v>
      </c>
      <c r="M36" s="61" t="s">
        <v>174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398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397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79</v>
      </c>
      <c r="L37" s="112">
        <f ca="1">+_xlfn.XLOOKUP(TODAY(),A:A,F:F)</f>
        <v>150.32450000000006</v>
      </c>
      <c r="M37" s="61" t="s">
        <v>174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398">
        <f t="shared" ca="1" si="2"/>
        <v>-3.4245000000000583</v>
      </c>
      <c r="R37" s="224">
        <f ca="1">+$Q$37*Catalogo!J16</f>
        <v>-28080.900000000478</v>
      </c>
      <c r="S37"/>
      <c r="T37"/>
      <c r="U37" s="397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80</v>
      </c>
      <c r="L38" s="67">
        <f ca="1">+_xlfn.XLOOKUP(TODAY(),A:A,G:G)</f>
        <v>396</v>
      </c>
      <c r="M38" s="61" t="s">
        <v>175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357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81</v>
      </c>
      <c r="L39" s="63">
        <f ca="1">+_xlfn.XLOOKUP(TODAY(),A:A,H:H)</f>
        <v>0</v>
      </c>
      <c r="M39" s="61" t="s">
        <v>174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82</v>
      </c>
      <c r="L40" s="112">
        <f ca="1">+_xlfn.XLOOKUP(TODAY(),A:A,I:I)</f>
        <v>86.63098082106967</v>
      </c>
      <c r="M40" s="61" t="s">
        <v>174</v>
      </c>
      <c r="N40" s="74">
        <f ca="1">+$L$40*Catalogo!F17</f>
        <v>1186522.1700000002</v>
      </c>
      <c r="P40" s="74">
        <f ca="1">+$L$40*Catalogo!J17</f>
        <v>587358.04996685241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8099458.0972999986</v>
      </c>
      <c r="P41" s="215">
        <f ca="1">SUM(P35:P40)</f>
        <v>3506874.6499668518</v>
      </c>
      <c r="Q41" s="140"/>
      <c r="R41" s="176" t="str">
        <f ca="1">"Ejecutdo SPIN al "&amp;TEXT(TODAY(),"mmm-aaaa")</f>
        <v>Ejecutdo SPIN al oct-2026</v>
      </c>
      <c r="S41" s="245">
        <f ca="1">+P41</f>
        <v>3506874.6499668518</v>
      </c>
      <c r="T41" s="247">
        <f ca="1">+P41+R38-1500000</f>
        <v>1648158.0499668522</v>
      </c>
      <c r="U41"/>
      <c r="V41"/>
      <c r="W41" s="324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176</v>
      </c>
      <c r="L42" s="109">
        <v>145500</v>
      </c>
      <c r="N42" s="1" t="s">
        <v>177</v>
      </c>
      <c r="P42" s="76" t="s">
        <v>178</v>
      </c>
      <c r="Q42"/>
      <c r="R42" s="237" t="s">
        <v>390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354</v>
      </c>
      <c r="L43" s="109">
        <v>99441.99</v>
      </c>
      <c r="N43" s="74">
        <f ca="1">+N41-P41</f>
        <v>4592583.4473331468</v>
      </c>
      <c r="P43"/>
      <c r="Q43"/>
      <c r="R43" s="176" t="str">
        <f ca="1">"Por Pagar a "&amp;TEXT(TODAY(),"mmm-aaaa")</f>
        <v>Por Pagar a oct-2026</v>
      </c>
      <c r="S43" s="245">
        <f ca="1">+S41+S42</f>
        <v>2006874.6499668518</v>
      </c>
      <c r="T43"/>
      <c r="U43"/>
      <c r="V43" s="389"/>
      <c r="AA43" s="292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355</v>
      </c>
      <c r="L44" s="216"/>
      <c r="R44" s="176"/>
      <c r="S44" s="176"/>
      <c r="V44" s="389"/>
      <c r="AA44" s="292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89"/>
      <c r="AA45" s="292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179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180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210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351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271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272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49.86350819346567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49.86350819346567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49.86350819346567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49.86350819346567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49.86350819346567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49.86350819346567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49.86350819346567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49.86350819346567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49.86350819346567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49.86350819346567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49.86350819346567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58.506015502019523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66.084829603366757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76.455838373631394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76.455838373631394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76.455838373631394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76.455838373631394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76.455838373631394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76.455838373631394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76.455838373631394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79.773819606491713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86.63098082106967</v>
      </c>
    </row>
    <row r="355" spans="1:9" x14ac:dyDescent="0.25">
      <c r="A355" s="62">
        <f t="shared" si="12"/>
        <v>46316</v>
      </c>
      <c r="B355" s="33">
        <f t="shared" ca="1" si="11"/>
        <v>200</v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2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86.63098082106967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26" priority="1">
      <formula>D2=0</formula>
    </cfRule>
    <cfRule type="expression" dxfId="25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173</v>
      </c>
      <c r="B1" s="33" t="s">
        <v>440</v>
      </c>
      <c r="C1" s="33" t="s">
        <v>77</v>
      </c>
      <c r="D1" s="33" t="s">
        <v>78</v>
      </c>
      <c r="E1" s="33" t="s">
        <v>79</v>
      </c>
      <c r="F1" s="68" t="s">
        <v>80</v>
      </c>
      <c r="G1" s="33" t="s">
        <v>81</v>
      </c>
      <c r="H1" s="33" t="s">
        <v>82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46316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46316</v>
      </c>
      <c r="K3" s="472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77</v>
      </c>
      <c r="K35" s="68">
        <f ca="1">+_xlfn.XLOOKUP(TODAY(),A:A,C:C)</f>
        <v>0.90942749999999994</v>
      </c>
      <c r="L35" s="61" t="s">
        <v>562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78</v>
      </c>
      <c r="K36" s="68">
        <f ca="1">+_xlfn.XLOOKUP(TODAY(),A:A,D:D)</f>
        <v>0.90212749999999942</v>
      </c>
      <c r="L36" s="61" t="s">
        <v>562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79</v>
      </c>
      <c r="K37" s="68">
        <f ca="1">+_xlfn.XLOOKUP(TODAY(),A:A,E:E)</f>
        <v>0.7516225000000003</v>
      </c>
      <c r="L37" s="61" t="s">
        <v>562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80</v>
      </c>
      <c r="K38" s="223">
        <f ca="1">+_xlfn.XLOOKUP(TODAY(),A:A,F:F)</f>
        <v>0.79200000000000004</v>
      </c>
      <c r="L38" s="61" t="s">
        <v>563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81</v>
      </c>
      <c r="K39" s="68">
        <f ca="1">+_xlfn.XLOOKUP(TODAY(),A:A,G:G)</f>
        <v>0</v>
      </c>
      <c r="L39" s="61" t="s">
        <v>562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82</v>
      </c>
      <c r="K40" s="68">
        <f ca="1">+_xlfn.XLOOKUP(TODAY(),A:A,H:H)</f>
        <v>0.43315490410534835</v>
      </c>
      <c r="L40" s="61" t="s">
        <v>562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181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182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0.24931754096732836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0.24931754096732836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0.24931754096732836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0.24931754096732836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0.24931754096732836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0.24931754096732836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0.24931754096732836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0.24931754096732836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0.24931754096732836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0.24931754096732836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0.24931754096732836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0.29253007751009763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0.33042414801683379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0.38227919186815695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0.38227919186815695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0.38227919186815695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0.38227919186815695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0.38227919186815695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0.38227919186815695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0.38227919186815695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0.39886909803245857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0.43315490410534835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0.43315490410534835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24" priority="1">
      <formula>C2=0</formula>
    </cfRule>
    <cfRule type="expression" dxfId="23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173</v>
      </c>
      <c r="B1" s="33"/>
      <c r="C1" s="112" t="s">
        <v>77</v>
      </c>
      <c r="D1" s="112" t="s">
        <v>78</v>
      </c>
      <c r="E1" s="112" t="s">
        <v>79</v>
      </c>
      <c r="F1" s="67" t="s">
        <v>80</v>
      </c>
      <c r="G1" s="67" t="s">
        <v>81</v>
      </c>
      <c r="H1" s="112" t="s">
        <v>82</v>
      </c>
      <c r="I1" s="230" t="s">
        <v>410</v>
      </c>
      <c r="J1" s="230" t="s">
        <v>342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46316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46316</v>
      </c>
      <c r="AE4" s="343">
        <f ca="1">100*AC35/12000000</f>
        <v>70.111870727499905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77</v>
      </c>
      <c r="M35" s="63">
        <f ca="1">+_xlfn.XLOOKUP(TODAY(),A:A,C:C)</f>
        <v>181.88549999999998</v>
      </c>
      <c r="N35" s="61" t="s">
        <v>174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3">
        <f ca="1">+_xlfn.XLOOKUP(TODAY(),A:A,J:J)</f>
        <v>8413424.4872999899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78</v>
      </c>
      <c r="M36" s="63">
        <f ca="1">+_xlfn.XLOOKUP(TODAY(),A:A,D:D)</f>
        <v>180.42549999999989</v>
      </c>
      <c r="N36" s="61" t="s">
        <v>174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79</v>
      </c>
      <c r="M37" s="63">
        <f ca="1">+_xlfn.XLOOKUP(TODAY(),A:A,E:E)</f>
        <v>150.32450000000006</v>
      </c>
      <c r="N37" s="61" t="s">
        <v>174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80</v>
      </c>
      <c r="M38" s="67">
        <f ca="1">+_xlfn.XLOOKUP(TODAY(),A:A,F:F)</f>
        <v>396</v>
      </c>
      <c r="N38" s="61" t="s">
        <v>175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81</v>
      </c>
      <c r="M39" s="63">
        <f ca="1">+_xlfn.XLOOKUP(TODAY(),A:A,G:G)</f>
        <v>0</v>
      </c>
      <c r="N39" s="61" t="s">
        <v>174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82</v>
      </c>
      <c r="M40" s="63">
        <f ca="1">+_xlfn.XLOOKUP(TODAY(),A:A,H:H)</f>
        <v>86.63098082106967</v>
      </c>
      <c r="N40" s="61" t="s">
        <v>174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176</v>
      </c>
      <c r="M42" s="109">
        <v>99841.000000000015</v>
      </c>
      <c r="O42" s="1" t="s">
        <v>177</v>
      </c>
      <c r="Q42" s="76" t="s">
        <v>178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75" t="s">
        <v>564</v>
      </c>
      <c r="M46" t="s">
        <v>581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566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76" t="s">
        <v>579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76" t="s">
        <v>580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567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76" t="s">
        <v>569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76" t="s">
        <v>570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5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76" t="s">
        <v>571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5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76" t="s">
        <v>572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5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76" t="s">
        <v>573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5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76" t="s">
        <v>574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5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76" t="s">
        <v>575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5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76" t="s">
        <v>576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5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76" t="s">
        <v>577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5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76" t="s">
        <v>578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5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76" t="s">
        <v>579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5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76" t="s">
        <v>580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5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568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5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565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5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5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5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5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5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5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5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5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5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5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5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5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5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5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5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5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5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5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2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5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5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5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5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5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5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5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5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5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5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5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5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5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5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5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5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5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5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5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5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5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5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5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5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5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5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5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5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5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5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2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4786517.4007600006</v>
      </c>
      <c r="K151" s="292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4790129.272760001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4793289.6607600013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4799484.0212400015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4801741.4412400015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4803723.4560000012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4803723.4560000012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4803723.4560000012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4805980.8760000011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4810495.7160000009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4816703.6210000012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4823475.881000001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4826297.6560000014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4826297.6560000014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4829006.5600000015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4834198.6260000011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4838392.9123600014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4838970.8118800018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4838970.8118800018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4838970.8118800018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4838970.8118800018</v>
      </c>
      <c r="K171" s="292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4838970.8118800018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4838970.8118800018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4838970.8118800018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4852689.1094400017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4876940.1315100016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4882037.048390002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4882037.048390002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4897829.3573400024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4913174.330500002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4913174.330500002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4919694.5885300022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4938957.1387600023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4938957.1387600023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4938957.1387600023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4961229.038850002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4976574.0120100016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5000919.9234900018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5030660.9757100018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5066773.1740300013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5072236.0929200016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5072236.0929200016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5088909.5178200016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5099238.9078800017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5117552.5640100017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5131230.1946800016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5166226.7927800016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5194195.0284400014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5194195.0284400014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5208713.1081700018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5225982.9807900013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5238901.4961800016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5276250.5627000015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5313323.7224300019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5339346.0891500022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5339346.0891500022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5351659.0715900017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5355993.3179900013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5357335.3253600011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5358078.0165400011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5360084.8629200011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5361130.0483800014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5361130.0483800014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5390056.6971000014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5418997.8672300018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5429075.7257700022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5450306.0271900017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5455276.8660300011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5482577.1168300007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5482577.1168300007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5502645.7054500002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5522844.9867600007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5537758.4748299997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5550871.3080599997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5563533.9775799997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5563533.9775799997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5563533.9775799997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5570315.4760499997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5580451.4202299993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5586826.319219999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5603845.4117399985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5609318.6512499982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5609553.5548699982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5609553.5548699982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5616756.1742299981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5629404.3223399986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5629404.3223399986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5650810.7684899988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5652381.0218899995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5654281.7695299992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5654281.7695299992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5664330.5852499995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5668549.7149999989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5681038.1275999993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5684063.0703999987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5690164.8766599987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5693483.2840599986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5693483.2840599986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5706738.8542999988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5725965.2011399986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5726589.6217699982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5751580.9683799986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5785706.2818799987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5796161.6970799984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5820848.0940799983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5828108.7990799984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5844082.3500799984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5854247.3370799981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5856478.9214699985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5860505.8406699961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5861957.9816699959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5861957.9816699959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5866646.643009996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5866646.643009996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5873505.7917899964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5874739.3541199956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5897309.4780699955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5927470.4466399951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5927470.4466399951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5958675.5068999948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5978141.3915799949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5986952.551079995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6010268.2346799951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6039656.8405199954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6054296.9209199958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6054296.9209199958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6070563.6769199958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6073532.3598899962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6074068.7105699964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6118802.2895699963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6172984.1426799968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6172984.1426799968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6208881.0681999968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6208881.0681999968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6208881.0681999968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6208881.0681999968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6243746.1485599969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6243928.1553199971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6245835.6752199968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6248262.4017199967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6253635.0613199966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6296923.3845299967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6302860.399129997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6331293.3199099973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6370440.5335199973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6372359.3405199973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6372359.3405199973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6375993.7867199974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6540268.886719997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6630180.3567199968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6717935.056719996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6720980.3162999963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6720980.3162999963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6720980.3162999963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6722786.2522999961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6733542.8585999962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6759681.3965999959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6779328.8643299956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6978700.8843299942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7074351.3843299942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7074351.3843299942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7132981.5264499933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7160296.2986599933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7199638.9961899929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7202677.4835099932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7228554.6361299939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7248100.4539899938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7248100.4539899938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7258163.7911199937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7288760.3439199934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7307392.3439199934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7391077.2639199924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7463771.6439199923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7468429.6439199923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7468429.6439199923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7482403.6439199923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7496377.6439199923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7505693.6439199923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7515009.6439199923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7533641.6439199923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7538299.6439199923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7538299.6439199923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7545071.903919992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7576368.2569199912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49.86350819346567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7580813.1168999914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49.86350819346567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7624309.4307299908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49.86350819346567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7687870.5675499896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49.86350819346567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7687870.5675499896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49.86350819346567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7687870.5675499896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49.86350819346567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7701143.1362899896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49.86350819346567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7704021.3467899887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49.86350819346567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7704591.3453399893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49.86350819346567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7726831.4360149894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49.86350819346567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7737490.1509549897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49.86350819346567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7855860.3509549899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58.506015502019523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7959661.9109549895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66.084829603366757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8122505.5009549893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76.455838373631394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8156134.5166899897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76.455838373631394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8174024.8938099891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76.455838373631394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8213029.4010699894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76.455838373631394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8253573.1777899899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76.455838373631394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8274062.8872999894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76.455838373631394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8274062.8872999894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76.455838373631394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8319506.8872999894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79.773819606491713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8413424.4872999899</v>
      </c>
      <c r="L355"/>
    </row>
    <row r="356" spans="1:12" x14ac:dyDescent="0.25">
      <c r="A356" s="62">
        <f t="shared" si="7"/>
        <v>46316</v>
      </c>
      <c r="B356" s="62"/>
      <c r="C356" s="112">
        <f ca="1">IF(TODAY()&gt;=$A356,SUMIFS(Tabla1[Avance_km],Tabla1[Fecha],"&lt;="&amp;EV!$A356,Tabla1[nombre_actividad],EV!C$1),NA())</f>
        <v>181.88549999999998</v>
      </c>
      <c r="D356" s="112">
        <f ca="1">IF(TODAY()&gt;=$A356,SUMIFS(Tabla1[Avance_km],Tabla1[Fecha],"&lt;="&amp;EV!$A356,Tabla1[nombre_actividad],EV!D$1),NA())</f>
        <v>180.42549999999989</v>
      </c>
      <c r="E356" s="112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2">
        <f ca="1">IF(TODAY()&gt;=$A356,SUMIFS(Tabla1[Avance_km],Tabla1[Fecha],"&lt;="&amp;EV!$A356-1,Tabla1[nombre_actividad],EV!H$1),NA())</f>
        <v>86.63098082106967</v>
      </c>
      <c r="I356" s="230">
        <f ca="1">+C356*Catalogo!$F$19+EV!D356*Catalogo!$F$14+EV!E356*Catalogo!$F$16+EV!F356*Catalogo!$F$18</f>
        <v>6912935.9272999987</v>
      </c>
      <c r="J356" s="230">
        <f ca="1">IF(TODAY()&gt;=$A356,SUMIFS(Tabla1[EV],Tabla1[Fecha],"&lt;="&amp;A356,Tabla1[EV],"&gt;0"),NA())</f>
        <v>8413424.4872999899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22" priority="1">
      <formula>C2=0</formula>
    </cfRule>
    <cfRule type="expression" dxfId="21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5" customFormat="1" ht="129.75" x14ac:dyDescent="0.25">
      <c r="B1" s="296" t="s">
        <v>275</v>
      </c>
      <c r="C1" s="296" t="s">
        <v>277</v>
      </c>
      <c r="D1" s="296" t="s">
        <v>279</v>
      </c>
      <c r="E1" s="296" t="s">
        <v>281</v>
      </c>
      <c r="F1" s="296" t="s">
        <v>283</v>
      </c>
      <c r="G1" s="296" t="s">
        <v>285</v>
      </c>
      <c r="H1" s="298" t="s">
        <v>78</v>
      </c>
      <c r="I1" s="298" t="s">
        <v>81</v>
      </c>
      <c r="J1" s="298" t="s">
        <v>79</v>
      </c>
      <c r="K1" s="298" t="s">
        <v>82</v>
      </c>
      <c r="L1" s="457" t="s">
        <v>80</v>
      </c>
      <c r="M1" s="298" t="s">
        <v>77</v>
      </c>
      <c r="N1" s="298" t="s">
        <v>293</v>
      </c>
      <c r="O1" s="298" t="s">
        <v>295</v>
      </c>
      <c r="P1" s="300" t="s">
        <v>297</v>
      </c>
      <c r="Q1" s="300" t="s">
        <v>411</v>
      </c>
      <c r="R1" s="300" t="s">
        <v>412</v>
      </c>
      <c r="S1" s="300" t="s">
        <v>419</v>
      </c>
      <c r="T1" s="300" t="s">
        <v>413</v>
      </c>
      <c r="U1" s="300" t="s">
        <v>420</v>
      </c>
      <c r="V1" s="300" t="s">
        <v>418</v>
      </c>
      <c r="W1" s="300" t="s">
        <v>414</v>
      </c>
      <c r="X1" s="300" t="s">
        <v>421</v>
      </c>
      <c r="Y1" s="300" t="s">
        <v>416</v>
      </c>
      <c r="Z1" s="300" t="s">
        <v>415</v>
      </c>
      <c r="AA1" s="300" t="s">
        <v>417</v>
      </c>
      <c r="AB1" s="302" t="s">
        <v>422</v>
      </c>
      <c r="AC1" s="302" t="s">
        <v>423</v>
      </c>
      <c r="AD1" s="302" t="s">
        <v>424</v>
      </c>
      <c r="AE1" s="302" t="s">
        <v>425</v>
      </c>
      <c r="AF1" s="302" t="s">
        <v>426</v>
      </c>
      <c r="AG1" s="302" t="s">
        <v>427</v>
      </c>
      <c r="AH1" s="302" t="s">
        <v>428</v>
      </c>
      <c r="AI1" s="302" t="s">
        <v>429</v>
      </c>
      <c r="AJ1" s="302" t="s">
        <v>430</v>
      </c>
      <c r="AK1" s="302" t="s">
        <v>431</v>
      </c>
      <c r="AL1" s="302" t="s">
        <v>432</v>
      </c>
      <c r="AM1" s="302" t="s">
        <v>433</v>
      </c>
      <c r="AN1" s="304" t="s">
        <v>436</v>
      </c>
      <c r="AQ1"/>
      <c r="AR1"/>
      <c r="AS1"/>
    </row>
    <row r="2" spans="1:50" s="76" customFormat="1" x14ac:dyDescent="0.25">
      <c r="B2" s="297" t="s">
        <v>96</v>
      </c>
      <c r="C2" s="297" t="s">
        <v>96</v>
      </c>
      <c r="D2" s="297" t="s">
        <v>96</v>
      </c>
      <c r="E2" s="297" t="s">
        <v>96</v>
      </c>
      <c r="F2" s="297" t="s">
        <v>96</v>
      </c>
      <c r="G2" s="297" t="s">
        <v>96</v>
      </c>
      <c r="H2" s="299" t="s">
        <v>107</v>
      </c>
      <c r="I2" s="299" t="s">
        <v>107</v>
      </c>
      <c r="J2" s="299" t="s">
        <v>107</v>
      </c>
      <c r="K2" s="299" t="s">
        <v>107</v>
      </c>
      <c r="L2" s="299" t="s">
        <v>112</v>
      </c>
      <c r="M2" s="299" t="s">
        <v>107</v>
      </c>
      <c r="N2" s="299" t="s">
        <v>96</v>
      </c>
      <c r="O2" s="299" t="s">
        <v>96</v>
      </c>
      <c r="P2" s="301" t="s">
        <v>117</v>
      </c>
      <c r="Q2" s="301" t="s">
        <v>435</v>
      </c>
      <c r="R2" s="301" t="s">
        <v>435</v>
      </c>
      <c r="S2" s="301" t="s">
        <v>125</v>
      </c>
      <c r="T2" s="301" t="s">
        <v>125</v>
      </c>
      <c r="U2" s="301" t="s">
        <v>125</v>
      </c>
      <c r="V2" s="301" t="s">
        <v>125</v>
      </c>
      <c r="W2" s="301" t="s">
        <v>125</v>
      </c>
      <c r="X2" s="301" t="s">
        <v>125</v>
      </c>
      <c r="Y2" s="301" t="s">
        <v>125</v>
      </c>
      <c r="Z2" s="301" t="s">
        <v>125</v>
      </c>
      <c r="AA2" s="301" t="s">
        <v>96</v>
      </c>
      <c r="AB2" s="303" t="s">
        <v>96</v>
      </c>
      <c r="AC2" s="303" t="s">
        <v>96</v>
      </c>
      <c r="AD2" s="303" t="s">
        <v>96</v>
      </c>
      <c r="AE2" s="303" t="s">
        <v>96</v>
      </c>
      <c r="AF2" s="303" t="s">
        <v>96</v>
      </c>
      <c r="AG2" s="303" t="s">
        <v>96</v>
      </c>
      <c r="AH2" s="303" t="s">
        <v>96</v>
      </c>
      <c r="AI2" s="303" t="s">
        <v>96</v>
      </c>
      <c r="AJ2" s="303" t="s">
        <v>434</v>
      </c>
      <c r="AK2" s="303" t="s">
        <v>434</v>
      </c>
      <c r="AL2" s="303" t="s">
        <v>434</v>
      </c>
      <c r="AM2" s="303" t="s">
        <v>96</v>
      </c>
      <c r="AQ2"/>
      <c r="AR2"/>
      <c r="AS2"/>
    </row>
    <row r="3" spans="1:50" x14ac:dyDescent="0.25">
      <c r="A3"/>
      <c r="B3" s="293">
        <v>2532.81</v>
      </c>
      <c r="C3" s="293">
        <v>3250.01</v>
      </c>
      <c r="D3" s="293">
        <v>985.32</v>
      </c>
      <c r="E3" s="293">
        <v>1062.92</v>
      </c>
      <c r="F3" s="293">
        <v>1337.25</v>
      </c>
      <c r="G3" s="293">
        <v>1581.21</v>
      </c>
      <c r="H3" s="436">
        <v>14521.41</v>
      </c>
      <c r="I3" s="323">
        <v>13555.63</v>
      </c>
      <c r="J3" s="438">
        <v>13555.63</v>
      </c>
      <c r="K3" s="262">
        <v>13696.28</v>
      </c>
      <c r="L3" s="262">
        <v>4658</v>
      </c>
      <c r="M3" s="438">
        <v>2257.42</v>
      </c>
      <c r="N3" s="262">
        <v>3540.12</v>
      </c>
      <c r="O3" s="262">
        <v>2646.28</v>
      </c>
      <c r="P3" s="262">
        <v>1970.65</v>
      </c>
      <c r="Q3" s="262">
        <v>7585.99</v>
      </c>
      <c r="R3" s="262">
        <v>1765.59</v>
      </c>
      <c r="S3" s="262">
        <v>1934.59</v>
      </c>
      <c r="T3" s="262">
        <v>1960.59</v>
      </c>
      <c r="U3" s="262">
        <v>2220.59</v>
      </c>
      <c r="V3" s="262">
        <v>2220.59</v>
      </c>
      <c r="W3" s="262">
        <v>2090.59</v>
      </c>
      <c r="X3" s="262">
        <v>2090.59</v>
      </c>
      <c r="Y3" s="262">
        <v>656</v>
      </c>
      <c r="Z3" s="262">
        <v>4676</v>
      </c>
      <c r="AA3" s="262">
        <v>4124.2700000000004</v>
      </c>
      <c r="AB3" s="262">
        <v>5020.99</v>
      </c>
      <c r="AC3" s="262">
        <v>3652.99</v>
      </c>
      <c r="AD3" s="262">
        <v>3201.98</v>
      </c>
      <c r="AE3" s="262">
        <v>6840</v>
      </c>
      <c r="AF3" s="262">
        <v>2052</v>
      </c>
      <c r="AG3" s="262">
        <v>3420</v>
      </c>
      <c r="AH3" s="262">
        <v>4212.3599999999997</v>
      </c>
      <c r="AI3" s="262">
        <v>1368</v>
      </c>
      <c r="AJ3" s="262">
        <v>7244.35</v>
      </c>
      <c r="AK3" s="262">
        <v>6977.93</v>
      </c>
      <c r="AL3" s="262">
        <v>8275.99</v>
      </c>
      <c r="AM3" s="262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7">
        <v>2.1</v>
      </c>
      <c r="I4" s="307">
        <v>2.2000000000000002</v>
      </c>
      <c r="J4" s="437">
        <v>2.2999999999999998</v>
      </c>
      <c r="K4" s="76">
        <v>2.4</v>
      </c>
      <c r="L4" s="76">
        <v>2.5</v>
      </c>
      <c r="M4" s="437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121</v>
      </c>
      <c r="S4" s="76" t="s">
        <v>123</v>
      </c>
      <c r="T4" s="1" t="s">
        <v>126</v>
      </c>
      <c r="U4" s="1" t="s">
        <v>128</v>
      </c>
      <c r="V4" s="1" t="s">
        <v>130</v>
      </c>
      <c r="W4" s="1" t="s">
        <v>132</v>
      </c>
      <c r="X4" s="1" t="s">
        <v>134</v>
      </c>
      <c r="Y4" s="1" t="s">
        <v>136</v>
      </c>
      <c r="Z4" s="1" t="s">
        <v>138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4" t="s">
        <v>519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437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9">
        <v>-11162921.84</v>
      </c>
      <c r="AO5" s="309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5">
        <f>+SUMIFS(Tabla1[Avance_Med],Tabla1[Fecha],"&gt;="&amp;$A6,Tabla1[Fecha],"&lt;="&amp;EOMONTH($A6,0),Tabla1[Codigo_actividad],B$4)*B$3</f>
        <v>0</v>
      </c>
      <c r="C6" s="315">
        <f>+SUMIFS(Tabla1[Avance_Med],Tabla1[Fecha],"&gt;="&amp;$A6,Tabla1[Fecha],"&lt;="&amp;EOMONTH($A6,0),Tabla1[Codigo_actividad],C$4)*C$3</f>
        <v>0</v>
      </c>
      <c r="D6" s="315">
        <f>+SUMIFS(Tabla1[Avance_Med],Tabla1[Fecha],"&gt;="&amp;$A6,Tabla1[Fecha],"&lt;="&amp;EOMONTH($A6,0),Tabla1[Codigo_actividad],D$4)*D$3</f>
        <v>0</v>
      </c>
      <c r="E6" s="315">
        <f>+SUMIFS(Tabla1[Avance_Med],Tabla1[Fecha],"&gt;="&amp;$A6,Tabla1[Fecha],"&lt;="&amp;EOMONTH($A6,0),Tabla1[Codigo_actividad],E$4)*E$3</f>
        <v>0</v>
      </c>
      <c r="F6" s="315">
        <f>+SUMIFS(Tabla1[Avance_Med],Tabla1[Fecha],"&gt;="&amp;$A6,Tabla1[Fecha],"&lt;="&amp;EOMONTH($A6,0),Tabla1[Codigo_actividad],F$4)*F$3</f>
        <v>0</v>
      </c>
      <c r="G6" s="315">
        <f>+SUMIFS(Tabla1[Avance_Med],Tabla1[Fecha],"&gt;="&amp;$A6,Tabla1[Fecha],"&lt;="&amp;EOMONTH($A6,0),Tabla1[Codigo_actividad],G$4)*G$3</f>
        <v>0</v>
      </c>
      <c r="H6" s="315">
        <f>+SUMIFS(Tabla1[Avance_km],Tabla1[Fecha],"&gt;="&amp;$A6,Tabla1[Fecha],"&lt;="&amp;EOMONTH($A6,0),Tabla1[Codigo_actividad],H$4)*H$3</f>
        <v>458135.96408999996</v>
      </c>
      <c r="I6" s="315"/>
      <c r="J6" s="315">
        <f>+SUMIFS(Tabla1[Avance_km],Tabla1[Fecha],"&gt;="&amp;$A6,Tabla1[Fecha],"&lt;="&amp;EOMONTH($A6,0),Tabla1[Codigo_actividad],J$4,Tabla1[Avance_km],"&gt;0")*J$3</f>
        <v>719112.61586999998</v>
      </c>
      <c r="K6" s="315">
        <f>SUMIFS(Tabla1[Avance_km],Tabla1[Fecha],"&gt;="&amp;$A6,Tabla1[Fecha],"&lt;="&amp;EOMONTH($A6,0),Tabla1[Codigo_actividad],K$4,Tabla1[Avance_km],"&gt;0")*K$3</f>
        <v>0</v>
      </c>
      <c r="L6" s="315">
        <f>+SUMIFS(Tabla1[Avance_Med],Tabla1[Fecha],"&gt;="&amp;$A6,Tabla1[Fecha],"&lt;="&amp;EOMONTH($A6,0),Tabla1[Codigo_actividad],L$4)*L$3</f>
        <v>456484</v>
      </c>
      <c r="M6" s="315">
        <f>+SUMIFS(Tabla1[Avance_km],Tabla1[Fecha],"&gt;="&amp;$A6,Tabla1[Fecha],"&lt;="&amp;EOMONTH($A6,0),Tabla1[Codigo_actividad],M$4)*M$3</f>
        <v>162583.90324000004</v>
      </c>
      <c r="N6" s="315">
        <f>+SUMIFS(Tabla1[Avance_Med],Tabla1[Fecha],"&gt;="&amp;$A6,Tabla1[Fecha],"&lt;="&amp;EOMONTH($A6,0),Tabla1[Codigo_actividad],N$4)*N$3</f>
        <v>0</v>
      </c>
      <c r="O6" s="315">
        <f>+SUMIFS(Tabla1[Avance_Med],Tabla1[Fecha],"&gt;="&amp;$A6,Tabla1[Fecha],"&lt;="&amp;EOMONTH($A6,0),Tabla1[Codigo_actividad],O$4)*O$3</f>
        <v>0</v>
      </c>
      <c r="P6" s="315">
        <f>+SUMIFS(Tabla1[Avance_Med],Tabla1[Fecha],"&gt;="&amp;$A6,Tabla1[Fecha],"&lt;="&amp;EOMONTH($A6,0),Tabla1[Codigo_actividad],P$4)*P$3</f>
        <v>0</v>
      </c>
      <c r="Q6" s="315">
        <f>+SUMIFS(Tabla1[Avance_Med],Tabla1[Fecha],"&gt;="&amp;$A6,Tabla1[Fecha],"&lt;="&amp;EOMONTH($A6,0),Tabla1[Codigo_actividad],Q$4)*Q$3</f>
        <v>0</v>
      </c>
      <c r="R6" s="315">
        <f>+SUMIFS(Tabla1[Avance_Med],Tabla1[Fecha],"&gt;="&amp;$A6,Tabla1[Fecha],"&lt;="&amp;EOMONTH($A6,0),Tabla1[Codigo_actividad],R$4)*R$3</f>
        <v>0</v>
      </c>
      <c r="S6" s="315">
        <f>+SUMIFS(Tabla1[Avance_Med],Tabla1[Fecha],"&gt;="&amp;$A6,Tabla1[Fecha],"&lt;="&amp;EOMONTH($A6,0),Tabla1[Codigo_actividad],S$4)*S$3</f>
        <v>0</v>
      </c>
      <c r="T6" s="315">
        <f>+SUMIFS(Tabla1[Avance_Med],Tabla1[Fecha],"&gt;="&amp;$A6,Tabla1[Fecha],"&lt;="&amp;EOMONTH($A6,0),Tabla1[Codigo_actividad],T$4)*T$3</f>
        <v>0</v>
      </c>
      <c r="U6" s="315">
        <f>+SUMIFS(Tabla1[Avance_Med],Tabla1[Fecha],"&gt;="&amp;$A6,Tabla1[Fecha],"&lt;="&amp;EOMONTH($A6,0),Tabla1[Codigo_actividad],U$4)*U$3</f>
        <v>0</v>
      </c>
      <c r="V6" s="315">
        <f>+SUMIFS(Tabla1[Avance_Med],Tabla1[Fecha],"&gt;="&amp;$A6,Tabla1[Fecha],"&lt;="&amp;EOMONTH($A6,0),Tabla1[Codigo_actividad],V$4)*V$3</f>
        <v>0</v>
      </c>
      <c r="W6" s="315">
        <f>+SUMIFS(Tabla1[Avance_Med],Tabla1[Fecha],"&gt;="&amp;$A6,Tabla1[Fecha],"&lt;="&amp;EOMONTH($A6,0),Tabla1[Codigo_actividad],W$4)*W$3</f>
        <v>0</v>
      </c>
      <c r="X6" s="315">
        <f>+SUMIFS(Tabla1[Avance_Med],Tabla1[Fecha],"&gt;="&amp;$A6,Tabla1[Fecha],"&lt;="&amp;EOMONTH($A6,0),Tabla1[Codigo_actividad],X$4)*X$3</f>
        <v>0</v>
      </c>
      <c r="Y6" s="315">
        <f>+SUMIFS(Tabla1[Avance_Med],Tabla1[Fecha],"&gt;="&amp;$A6,Tabla1[Fecha],"&lt;="&amp;EOMONTH($A6,0),Tabla1[Codigo_actividad],Y$4)*Y$3</f>
        <v>0</v>
      </c>
      <c r="Z6" s="315">
        <f>+SUMIFS(Tabla1[Avance_Med],Tabla1[Fecha],"&gt;="&amp;$A6,Tabla1[Fecha],"&lt;="&amp;EOMONTH($A6,0),Tabla1[Codigo_actividad],Z$4)*Z$3</f>
        <v>0</v>
      </c>
      <c r="AA6" s="315">
        <f>+SUMIFS(Tabla1[Avance_Med],Tabla1[Fecha],"&gt;="&amp;$A6,Tabla1[Fecha],"&lt;="&amp;EOMONTH($A6,0),Tabla1[Codigo_actividad],AA$4)*AA$3</f>
        <v>0</v>
      </c>
      <c r="AB6" s="315">
        <f>+SUMIFS(Tabla1[Avance_Med],Tabla1[Fecha],"&gt;="&amp;$A6,Tabla1[Fecha],"&lt;="&amp;EOMONTH($A6,0),Tabla1[Codigo_actividad],AB$4)*AB$3</f>
        <v>0</v>
      </c>
      <c r="AC6" s="315">
        <f>+SUMIFS(Tabla1[Avance_Med],Tabla1[Fecha],"&gt;="&amp;$A6,Tabla1[Fecha],"&lt;="&amp;EOMONTH($A6,0),Tabla1[Codigo_actividad],AC$4)*AC$3</f>
        <v>0</v>
      </c>
      <c r="AD6" s="315">
        <f>+SUMIFS(Tabla1[Avance_Med],Tabla1[Fecha],"&gt;="&amp;$A6,Tabla1[Fecha],"&lt;="&amp;EOMONTH($A6,0),Tabla1[Codigo_actividad],AD$4)*AD$3</f>
        <v>0</v>
      </c>
      <c r="AE6" s="315">
        <f>+SUMIFS(Tabla1[Avance_Med],Tabla1[Fecha],"&gt;="&amp;$A6,Tabla1[Fecha],"&lt;="&amp;EOMONTH($A6,0),Tabla1[Codigo_actividad],AE$4)*AE$3</f>
        <v>0</v>
      </c>
      <c r="AF6" s="315">
        <f>+SUMIFS(Tabla1[Avance_Med],Tabla1[Fecha],"&gt;="&amp;$A6,Tabla1[Fecha],"&lt;="&amp;EOMONTH($A6,0),Tabla1[Codigo_actividad],AF$4)*AF$3</f>
        <v>0</v>
      </c>
      <c r="AG6" s="315">
        <f>+SUMIFS(Tabla1[Avance_Med],Tabla1[Fecha],"&gt;="&amp;$A6,Tabla1[Fecha],"&lt;="&amp;EOMONTH($A6,0),Tabla1[Codigo_actividad],AG$4)*AG$3</f>
        <v>0</v>
      </c>
      <c r="AH6" s="315">
        <f>+SUMIFS(Tabla1[Avance_Med],Tabla1[Fecha],"&gt;="&amp;$A6,Tabla1[Fecha],"&lt;="&amp;EOMONTH($A6,0),Tabla1[Codigo_actividad],AH$4)*AH$3</f>
        <v>0</v>
      </c>
      <c r="AI6" s="315">
        <f>+SUMIFS(Tabla1[Avance_Med],Tabla1[Fecha],"&gt;="&amp;$A6,Tabla1[Fecha],"&lt;="&amp;EOMONTH($A6,0),Tabla1[Codigo_actividad],AI$4)*AI$3</f>
        <v>0</v>
      </c>
      <c r="AJ6" s="315">
        <f>+SUMIFS(Tabla1[Avance_Med],Tabla1[Fecha],"&gt;="&amp;$A6,Tabla1[Fecha],"&lt;="&amp;EOMONTH($A6,0),Tabla1[Codigo_actividad],AJ$4)*AJ$3</f>
        <v>0</v>
      </c>
      <c r="AK6" s="315">
        <f>+SUMIFS(Tabla1[Avance_Med],Tabla1[Fecha],"&gt;="&amp;$A6,Tabla1[Fecha],"&lt;="&amp;EOMONTH($A6,0),Tabla1[Codigo_actividad],AK$4)*AK$3</f>
        <v>0</v>
      </c>
      <c r="AL6" s="315">
        <f>+SUMIFS(Tabla1[Avance_km],Tabla1[Fecha],"&gt;="&amp;$A6,Tabla1[Fecha],"&lt;="&amp;EOMONTH($A6,0),Tabla1[Codigo_actividad],AL$4)*AL$3</f>
        <v>0</v>
      </c>
      <c r="AM6" s="315">
        <f>+SUMIFS(Tabla1[Avance_Med],Tabla1[Fecha],"&gt;="&amp;$A6,Tabla1[Fecha],"&lt;="&amp;EOMONTH($A6,0),Tabla1[Codigo_actividad],AM$4)*AM$3</f>
        <v>0</v>
      </c>
      <c r="AN6" s="314"/>
      <c r="AO6" s="309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5">
        <f>+SUMIFS(Tabla1[Avance_Med],Tabla1[Fecha],"&gt;="&amp;$A7,Tabla1[Fecha],"&lt;="&amp;EOMONTH($A7,0),Tabla1[Codigo_actividad],B$4)*B$3</f>
        <v>0</v>
      </c>
      <c r="C7" s="315">
        <f>+SUMIFS(Tabla1[Avance_Med],Tabla1[Fecha],"&gt;="&amp;$A7,Tabla1[Fecha],"&lt;="&amp;EOMONTH($A7,0),Tabla1[Codigo_actividad],C$4)*C$3</f>
        <v>0</v>
      </c>
      <c r="D7" s="315">
        <f>+SUMIFS(Tabla1[Avance_Med],Tabla1[Fecha],"&gt;="&amp;$A7,Tabla1[Fecha],"&lt;="&amp;EOMONTH($A7,0),Tabla1[Codigo_actividad],D$4)*D$3</f>
        <v>0</v>
      </c>
      <c r="E7" s="315">
        <f>+SUMIFS(Tabla1[Avance_Med],Tabla1[Fecha],"&gt;="&amp;$A7,Tabla1[Fecha],"&lt;="&amp;EOMONTH($A7,0),Tabla1[Codigo_actividad],E$4)*E$3</f>
        <v>0</v>
      </c>
      <c r="F7" s="315">
        <f>+SUMIFS(Tabla1[Avance_Med],Tabla1[Fecha],"&gt;="&amp;$A7,Tabla1[Fecha],"&lt;="&amp;EOMONTH($A7,0),Tabla1[Codigo_actividad],F$4)*F$3</f>
        <v>0</v>
      </c>
      <c r="G7" s="315">
        <f>+SUMIFS(Tabla1[Avance_Med],Tabla1[Fecha],"&gt;="&amp;$A7,Tabla1[Fecha],"&lt;="&amp;EOMONTH($A7,0),Tabla1[Codigo_actividad],G$4)*G$3</f>
        <v>0</v>
      </c>
      <c r="H7" s="315">
        <f>+SUMIFS(Tabla1[Avance_km],Tabla1[Fecha],"&gt;="&amp;$A7,Tabla1[Fecha],"&lt;="&amp;EOMONTH($A7,0),Tabla1[Codigo_actividad],H$4)*H$3</f>
        <v>457671.27897000004</v>
      </c>
      <c r="I7" s="315"/>
      <c r="J7" s="315">
        <f>+SUMIFS(Tabla1[Avance_km],Tabla1[Fecha],"&gt;="&amp;$A7,Tabla1[Fecha],"&lt;="&amp;EOMONTH($A7,0),Tabla1[Codigo_actividad],J$4,Tabla1[Avance_km],"&gt;0")*J$3</f>
        <v>427598.79271999991</v>
      </c>
      <c r="K7" s="315">
        <f>SUMIFS(Tabla1[Avance_km],Tabla1[Fecha],"&gt;="&amp;$A7,Tabla1[Fecha],"&lt;="&amp;EOMONTH($A7,0),Tabla1[Codigo_actividad],K$4,Tabla1[Avance_km],"&gt;0")*K$3</f>
        <v>0</v>
      </c>
      <c r="L7" s="315">
        <f>+SUMIFS(Tabla1[Avance_Med],Tabla1[Fecha],"&gt;="&amp;$A7,Tabla1[Fecha],"&lt;="&amp;EOMONTH($A7,0),Tabla1[Codigo_actividad],L$4)*L$3</f>
        <v>605540</v>
      </c>
      <c r="M7" s="315">
        <f>+SUMIFS(Tabla1[Avance_km],Tabla1[Fecha],"&gt;="&amp;$A7,Tabla1[Fecha],"&lt;="&amp;EOMONTH($A7,0),Tabla1[Codigo_actividad],M$4)*M$3</f>
        <v>47818.927860000003</v>
      </c>
      <c r="N7" s="315">
        <f>+SUMIFS(Tabla1[Avance_Med],Tabla1[Fecha],"&gt;="&amp;$A7,Tabla1[Fecha],"&lt;="&amp;EOMONTH($A7,0),Tabla1[Codigo_actividad],N$4)*N$3</f>
        <v>0</v>
      </c>
      <c r="O7" s="315">
        <f>+SUMIFS(Tabla1[Avance_Med],Tabla1[Fecha],"&gt;="&amp;$A7,Tabla1[Fecha],"&lt;="&amp;EOMONTH($A7,0),Tabla1[Codigo_actividad],O$4)*O$3</f>
        <v>0</v>
      </c>
      <c r="P7" s="315">
        <f>+SUMIFS(Tabla1[Avance_Med],Tabla1[Fecha],"&gt;="&amp;$A7,Tabla1[Fecha],"&lt;="&amp;EOMONTH($A7,0),Tabla1[Codigo_actividad],P$4)*P$3</f>
        <v>0</v>
      </c>
      <c r="Q7" s="315">
        <f>+SUMIFS(Tabla1[Avance_Med],Tabla1[Fecha],"&gt;="&amp;$A7,Tabla1[Fecha],"&lt;="&amp;EOMONTH($A7,0),Tabla1[Codigo_actividad],Q$4)*Q$3</f>
        <v>0</v>
      </c>
      <c r="R7" s="315">
        <f>+SUMIFS(Tabla1[Avance_Med],Tabla1[Fecha],"&gt;="&amp;$A7,Tabla1[Fecha],"&lt;="&amp;EOMONTH($A7,0),Tabla1[Codigo_actividad],R$4)*R$3</f>
        <v>0</v>
      </c>
      <c r="S7" s="315">
        <f>+SUMIFS(Tabla1[Avance_Med],Tabla1[Fecha],"&gt;="&amp;$A7,Tabla1[Fecha],"&lt;="&amp;EOMONTH($A7,0),Tabla1[Codigo_actividad],S$4)*S$3</f>
        <v>0</v>
      </c>
      <c r="T7" s="315">
        <f>+SUMIFS(Tabla1[Avance_Med],Tabla1[Fecha],"&gt;="&amp;$A7,Tabla1[Fecha],"&lt;="&amp;EOMONTH($A7,0),Tabla1[Codigo_actividad],T$4)*T$3</f>
        <v>0</v>
      </c>
      <c r="U7" s="315">
        <f>+SUMIFS(Tabla1[Avance_Med],Tabla1[Fecha],"&gt;="&amp;$A7,Tabla1[Fecha],"&lt;="&amp;EOMONTH($A7,0),Tabla1[Codigo_actividad],U$4)*U$3</f>
        <v>0</v>
      </c>
      <c r="V7" s="315">
        <f>+SUMIFS(Tabla1[Avance_Med],Tabla1[Fecha],"&gt;="&amp;$A7,Tabla1[Fecha],"&lt;="&amp;EOMONTH($A7,0),Tabla1[Codigo_actividad],V$4)*V$3</f>
        <v>0</v>
      </c>
      <c r="W7" s="315">
        <f>+SUMIFS(Tabla1[Avance_Med],Tabla1[Fecha],"&gt;="&amp;$A7,Tabla1[Fecha],"&lt;="&amp;EOMONTH($A7,0),Tabla1[Codigo_actividad],W$4)*W$3</f>
        <v>0</v>
      </c>
      <c r="X7" s="315">
        <f>+SUMIFS(Tabla1[Avance_Med],Tabla1[Fecha],"&gt;="&amp;$A7,Tabla1[Fecha],"&lt;="&amp;EOMONTH($A7,0),Tabla1[Codigo_actividad],X$4)*X$3</f>
        <v>0</v>
      </c>
      <c r="Y7" s="315">
        <f>+SUMIFS(Tabla1[Avance_Med],Tabla1[Fecha],"&gt;="&amp;$A7,Tabla1[Fecha],"&lt;="&amp;EOMONTH($A7,0),Tabla1[Codigo_actividad],Y$4)*Y$3</f>
        <v>0</v>
      </c>
      <c r="Z7" s="315">
        <f>+SUMIFS(Tabla1[Avance_Med],Tabla1[Fecha],"&gt;="&amp;$A7,Tabla1[Fecha],"&lt;="&amp;EOMONTH($A7,0),Tabla1[Codigo_actividad],Z$4)*Z$3</f>
        <v>0</v>
      </c>
      <c r="AA7" s="315">
        <f>+SUMIFS(Tabla1[Avance_Med],Tabla1[Fecha],"&gt;="&amp;$A7,Tabla1[Fecha],"&lt;="&amp;EOMONTH($A7,0),Tabla1[Codigo_actividad],AA$4)*AA$3</f>
        <v>0</v>
      </c>
      <c r="AB7" s="315">
        <f>+SUMIFS(Tabla1[Avance_Med],Tabla1[Fecha],"&gt;="&amp;$A7,Tabla1[Fecha],"&lt;="&amp;EOMONTH($A7,0),Tabla1[Codigo_actividad],AB$4)*AB$3</f>
        <v>0</v>
      </c>
      <c r="AC7" s="315">
        <f>+SUMIFS(Tabla1[Avance_Med],Tabla1[Fecha],"&gt;="&amp;$A7,Tabla1[Fecha],"&lt;="&amp;EOMONTH($A7,0),Tabla1[Codigo_actividad],AC$4)*AC$3</f>
        <v>0</v>
      </c>
      <c r="AD7" s="315">
        <f>+SUMIFS(Tabla1[Avance_Med],Tabla1[Fecha],"&gt;="&amp;$A7,Tabla1[Fecha],"&lt;="&amp;EOMONTH($A7,0),Tabla1[Codigo_actividad],AD$4)*AD$3</f>
        <v>0</v>
      </c>
      <c r="AE7" s="315">
        <f>+SUMIFS(Tabla1[Avance_Med],Tabla1[Fecha],"&gt;="&amp;$A7,Tabla1[Fecha],"&lt;="&amp;EOMONTH($A7,0),Tabla1[Codigo_actividad],AE$4)*AE$3</f>
        <v>0</v>
      </c>
      <c r="AF7" s="315">
        <f>+SUMIFS(Tabla1[Avance_Med],Tabla1[Fecha],"&gt;="&amp;$A7,Tabla1[Fecha],"&lt;="&amp;EOMONTH($A7,0),Tabla1[Codigo_actividad],AF$4)*AF$3</f>
        <v>0</v>
      </c>
      <c r="AG7" s="315">
        <f>+SUMIFS(Tabla1[Avance_Med],Tabla1[Fecha],"&gt;="&amp;$A7,Tabla1[Fecha],"&lt;="&amp;EOMONTH($A7,0),Tabla1[Codigo_actividad],AG$4)*AG$3</f>
        <v>0</v>
      </c>
      <c r="AH7" s="315">
        <f>+SUMIFS(Tabla1[Avance_Med],Tabla1[Fecha],"&gt;="&amp;$A7,Tabla1[Fecha],"&lt;="&amp;EOMONTH($A7,0),Tabla1[Codigo_actividad],AH$4)*AH$3</f>
        <v>0</v>
      </c>
      <c r="AI7" s="315">
        <f>+SUMIFS(Tabla1[Avance_Med],Tabla1[Fecha],"&gt;="&amp;$A7,Tabla1[Fecha],"&lt;="&amp;EOMONTH($A7,0),Tabla1[Codigo_actividad],AI$4)*AI$3</f>
        <v>0</v>
      </c>
      <c r="AJ7" s="315">
        <f>+SUMIFS(Tabla1[Avance_Med],Tabla1[Fecha],"&gt;="&amp;$A7,Tabla1[Fecha],"&lt;="&amp;EOMONTH($A7,0),Tabla1[Codigo_actividad],AJ$4)*AJ$3</f>
        <v>0</v>
      </c>
      <c r="AK7" s="315">
        <f>+SUMIFS(Tabla1[Avance_Med],Tabla1[Fecha],"&gt;="&amp;$A7,Tabla1[Fecha],"&lt;="&amp;EOMONTH($A7,0),Tabla1[Codigo_actividad],AK$4)*AK$3</f>
        <v>0</v>
      </c>
      <c r="AL7" s="315">
        <f>+SUMIFS(Tabla1[Avance_km],Tabla1[Fecha],"&gt;="&amp;$A7,Tabla1[Fecha],"&lt;="&amp;EOMONTH($A7,0),Tabla1[Codigo_actividad],AL$4)*AL$3</f>
        <v>0</v>
      </c>
      <c r="AM7" s="315">
        <f>+SUMIFS(Tabla1[Avance_Med],Tabla1[Fecha],"&gt;="&amp;$A7,Tabla1[Fecha],"&lt;="&amp;EOMONTH($A7,0),Tabla1[Codigo_actividad],AM$4)*AM$3</f>
        <v>0</v>
      </c>
      <c r="AN7" s="314"/>
      <c r="AO7" s="309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5">
        <f>+SUMIFS(Tabla1[Avance_Med],Tabla1[Fecha],"&gt;="&amp;$A8,Tabla1[Fecha],"&lt;="&amp;EOMONTH($A8,0),Tabla1[Codigo_actividad],B$4)*B$3</f>
        <v>0</v>
      </c>
      <c r="C8" s="315">
        <f>+SUMIFS(Tabla1[Avance_Med],Tabla1[Fecha],"&gt;="&amp;$A8,Tabla1[Fecha],"&lt;="&amp;EOMONTH($A8,0),Tabla1[Codigo_actividad],C$4)*C$3</f>
        <v>0</v>
      </c>
      <c r="D8" s="315">
        <f>+SUMIFS(Tabla1[Avance_Med],Tabla1[Fecha],"&gt;="&amp;$A8,Tabla1[Fecha],"&lt;="&amp;EOMONTH($A8,0),Tabla1[Codigo_actividad],D$4)*D$3</f>
        <v>0</v>
      </c>
      <c r="E8" s="315">
        <f>+SUMIFS(Tabla1[Avance_Med],Tabla1[Fecha],"&gt;="&amp;$A8,Tabla1[Fecha],"&lt;="&amp;EOMONTH($A8,0),Tabla1[Codigo_actividad],E$4)*E$3</f>
        <v>0</v>
      </c>
      <c r="F8" s="315">
        <f>+SUMIFS(Tabla1[Avance_Med],Tabla1[Fecha],"&gt;="&amp;$A8,Tabla1[Fecha],"&lt;="&amp;EOMONTH($A8,0),Tabla1[Codigo_actividad],F$4)*F$3</f>
        <v>0</v>
      </c>
      <c r="G8" s="315">
        <f>+SUMIFS(Tabla1[Avance_Med],Tabla1[Fecha],"&gt;="&amp;$A8,Tabla1[Fecha],"&lt;="&amp;EOMONTH($A8,0),Tabla1[Codigo_actividad],G$4)*G$3</f>
        <v>0</v>
      </c>
      <c r="H8" s="315">
        <f>+SUMIFS(Tabla1[Avance_km],Tabla1[Fecha],"&gt;="&amp;$A8,Tabla1[Fecha],"&lt;="&amp;EOMONTH($A8,0),Tabla1[Codigo_actividad],H$4)*H$3</f>
        <v>534968.7444000002</v>
      </c>
      <c r="I8" s="315"/>
      <c r="J8" s="315">
        <f>+SUMIFS(Tabla1[Avance_km],Tabla1[Fecha],"&gt;="&amp;$A8,Tabla1[Fecha],"&lt;="&amp;EOMONTH($A8,0),Tabla1[Codigo_actividad],J$4,Tabla1[Avance_km],"&gt;0")*J$3</f>
        <v>207577.36219000004</v>
      </c>
      <c r="K8" s="315">
        <f>SUMIFS(Tabla1[Avance_km],Tabla1[Fecha],"&gt;="&amp;$A8,Tabla1[Fecha],"&lt;="&amp;EOMONTH($A8,0),Tabla1[Codigo_actividad],K$4,Tabla1[Avance_km],"&gt;0")*K$3</f>
        <v>0</v>
      </c>
      <c r="L8" s="315">
        <f>+SUMIFS(Tabla1[Avance_Med],Tabla1[Fecha],"&gt;="&amp;$A8,Tabla1[Fecha],"&lt;="&amp;EOMONTH($A8,0),Tabla1[Codigo_actividad],L$4)*L$3</f>
        <v>605540</v>
      </c>
      <c r="M8" s="315">
        <f>+SUMIFS(Tabla1[Avance_km],Tabla1[Fecha],"&gt;="&amp;$A8,Tabla1[Fecha],"&lt;="&amp;EOMONTH($A8,0),Tabla1[Codigo_actividad],M$4)*M$3</f>
        <v>15126.97142</v>
      </c>
      <c r="N8" s="315">
        <f>+SUMIFS(Tabla1[Avance_Med],Tabla1[Fecha],"&gt;="&amp;$A8,Tabla1[Fecha],"&lt;="&amp;EOMONTH($A8,0),Tabla1[Codigo_actividad],N$4)*N$3</f>
        <v>0</v>
      </c>
      <c r="O8" s="315">
        <f>+SUMIFS(Tabla1[Avance_Med],Tabla1[Fecha],"&gt;="&amp;$A8,Tabla1[Fecha],"&lt;="&amp;EOMONTH($A8,0),Tabla1[Codigo_actividad],O$4)*O$3</f>
        <v>0</v>
      </c>
      <c r="P8" s="315">
        <f>+SUMIFS(Tabla1[Avance_Med],Tabla1[Fecha],"&gt;="&amp;$A8,Tabla1[Fecha],"&lt;="&amp;EOMONTH($A8,0),Tabla1[Codigo_actividad],P$4)*P$3</f>
        <v>0</v>
      </c>
      <c r="Q8" s="315">
        <f>+SUMIFS(Tabla1[Avance_Med],Tabla1[Fecha],"&gt;="&amp;$A8,Tabla1[Fecha],"&lt;="&amp;EOMONTH($A8,0),Tabla1[Codigo_actividad],Q$4)*Q$3</f>
        <v>0</v>
      </c>
      <c r="R8" s="315">
        <f>+SUMIFS(Tabla1[Avance_Med],Tabla1[Fecha],"&gt;="&amp;$A8,Tabla1[Fecha],"&lt;="&amp;EOMONTH($A8,0),Tabla1[Codigo_actividad],R$4)*R$3</f>
        <v>0</v>
      </c>
      <c r="S8" s="315">
        <f>+SUMIFS(Tabla1[Avance_Med],Tabla1[Fecha],"&gt;="&amp;$A8,Tabla1[Fecha],"&lt;="&amp;EOMONTH($A8,0),Tabla1[Codigo_actividad],S$4)*S$3</f>
        <v>0</v>
      </c>
      <c r="T8" s="315">
        <f>+SUMIFS(Tabla1[Avance_Med],Tabla1[Fecha],"&gt;="&amp;$A8,Tabla1[Fecha],"&lt;="&amp;EOMONTH($A8,0),Tabla1[Codigo_actividad],T$4)*T$3</f>
        <v>0</v>
      </c>
      <c r="U8" s="315">
        <f>+SUMIFS(Tabla1[Avance_Med],Tabla1[Fecha],"&gt;="&amp;$A8,Tabla1[Fecha],"&lt;="&amp;EOMONTH($A8,0),Tabla1[Codigo_actividad],U$4)*U$3</f>
        <v>0</v>
      </c>
      <c r="V8" s="315">
        <f>+SUMIFS(Tabla1[Avance_Med],Tabla1[Fecha],"&gt;="&amp;$A8,Tabla1[Fecha],"&lt;="&amp;EOMONTH($A8,0),Tabla1[Codigo_actividad],V$4)*V$3</f>
        <v>0</v>
      </c>
      <c r="W8" s="315">
        <f>+SUMIFS(Tabla1[Avance_Med],Tabla1[Fecha],"&gt;="&amp;$A8,Tabla1[Fecha],"&lt;="&amp;EOMONTH($A8,0),Tabla1[Codigo_actividad],W$4)*W$3</f>
        <v>0</v>
      </c>
      <c r="X8" s="315">
        <f>+SUMIFS(Tabla1[Avance_Med],Tabla1[Fecha],"&gt;="&amp;$A8,Tabla1[Fecha],"&lt;="&amp;EOMONTH($A8,0),Tabla1[Codigo_actividad],X$4)*X$3</f>
        <v>0</v>
      </c>
      <c r="Y8" s="315">
        <f>+SUMIFS(Tabla1[Avance_Med],Tabla1[Fecha],"&gt;="&amp;$A8,Tabla1[Fecha],"&lt;="&amp;EOMONTH($A8,0),Tabla1[Codigo_actividad],Y$4)*Y$3</f>
        <v>0</v>
      </c>
      <c r="Z8" s="315">
        <f>+SUMIFS(Tabla1[Avance_Med],Tabla1[Fecha],"&gt;="&amp;$A8,Tabla1[Fecha],"&lt;="&amp;EOMONTH($A8,0),Tabla1[Codigo_actividad],Z$4)*Z$3</f>
        <v>0</v>
      </c>
      <c r="AA8" s="315">
        <f>+SUMIFS(Tabla1[Avance_Med],Tabla1[Fecha],"&gt;="&amp;$A8,Tabla1[Fecha],"&lt;="&amp;EOMONTH($A8,0),Tabla1[Codigo_actividad],AA$4)*AA$3</f>
        <v>0</v>
      </c>
      <c r="AB8" s="315">
        <f>+SUMIFS(Tabla1[Avance_Med],Tabla1[Fecha],"&gt;="&amp;$A8,Tabla1[Fecha],"&lt;="&amp;EOMONTH($A8,0),Tabla1[Codigo_actividad],AB$4)*AB$3</f>
        <v>0</v>
      </c>
      <c r="AC8" s="315">
        <f>+SUMIFS(Tabla1[Avance_Med],Tabla1[Fecha],"&gt;="&amp;$A8,Tabla1[Fecha],"&lt;="&amp;EOMONTH($A8,0),Tabla1[Codigo_actividad],AC$4)*AC$3</f>
        <v>0</v>
      </c>
      <c r="AD8" s="315">
        <f>+SUMIFS(Tabla1[Avance_Med],Tabla1[Fecha],"&gt;="&amp;$A8,Tabla1[Fecha],"&lt;="&amp;EOMONTH($A8,0),Tabla1[Codigo_actividad],AD$4)*AD$3</f>
        <v>0</v>
      </c>
      <c r="AE8" s="315">
        <f>+SUMIFS(Tabla1[Avance_Med],Tabla1[Fecha],"&gt;="&amp;$A8,Tabla1[Fecha],"&lt;="&amp;EOMONTH($A8,0),Tabla1[Codigo_actividad],AE$4)*AE$3</f>
        <v>0</v>
      </c>
      <c r="AF8" s="315">
        <f>+SUMIFS(Tabla1[Avance_Med],Tabla1[Fecha],"&gt;="&amp;$A8,Tabla1[Fecha],"&lt;="&amp;EOMONTH($A8,0),Tabla1[Codigo_actividad],AF$4)*AF$3</f>
        <v>0</v>
      </c>
      <c r="AG8" s="315">
        <f>+SUMIFS(Tabla1[Avance_Med],Tabla1[Fecha],"&gt;="&amp;$A8,Tabla1[Fecha],"&lt;="&amp;EOMONTH($A8,0),Tabla1[Codigo_actividad],AG$4)*AG$3</f>
        <v>0</v>
      </c>
      <c r="AH8" s="315">
        <f>+SUMIFS(Tabla1[Avance_Med],Tabla1[Fecha],"&gt;="&amp;$A8,Tabla1[Fecha],"&lt;="&amp;EOMONTH($A8,0),Tabla1[Codigo_actividad],AH$4)*AH$3</f>
        <v>0</v>
      </c>
      <c r="AI8" s="315">
        <f>+SUMIFS(Tabla1[Avance_Med],Tabla1[Fecha],"&gt;="&amp;$A8,Tabla1[Fecha],"&lt;="&amp;EOMONTH($A8,0),Tabla1[Codigo_actividad],AI$4)*AI$3</f>
        <v>0</v>
      </c>
      <c r="AJ8" s="315">
        <f>+SUMIFS(Tabla1[Avance_Med],Tabla1[Fecha],"&gt;="&amp;$A8,Tabla1[Fecha],"&lt;="&amp;EOMONTH($A8,0),Tabla1[Codigo_actividad],AJ$4)*AJ$3</f>
        <v>0</v>
      </c>
      <c r="AK8" s="315">
        <f>+SUMIFS(Tabla1[Avance_Med],Tabla1[Fecha],"&gt;="&amp;$A8,Tabla1[Fecha],"&lt;="&amp;EOMONTH($A8,0),Tabla1[Codigo_actividad],AK$4)*AK$3</f>
        <v>0</v>
      </c>
      <c r="AL8" s="315">
        <f>+SUMIFS(Tabla1[Avance_km],Tabla1[Fecha],"&gt;="&amp;$A8,Tabla1[Fecha],"&lt;="&amp;EOMONTH($A8,0),Tabla1[Codigo_actividad],AL$4)*AL$3</f>
        <v>0</v>
      </c>
      <c r="AM8" s="315">
        <f>+SUMIFS(Tabla1[Avance_Med],Tabla1[Fecha],"&gt;="&amp;$A8,Tabla1[Fecha],"&lt;="&amp;EOMONTH($A8,0),Tabla1[Codigo_actividad],AM$4)*AM$3</f>
        <v>0</v>
      </c>
      <c r="AN8" s="314"/>
      <c r="AO8" s="309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5">
        <f>+SUMIFS(Tabla1[Avance_Med],Tabla1[Fecha],"&gt;="&amp;$A9,Tabla1[Fecha],"&lt;="&amp;EOMONTH($A9,0),Tabla1[Codigo_actividad],B$4)*B$3</f>
        <v>0</v>
      </c>
      <c r="C9" s="315">
        <f>+SUMIFS(Tabla1[Avance_Med],Tabla1[Fecha],"&gt;="&amp;$A9,Tabla1[Fecha],"&lt;="&amp;EOMONTH($A9,0),Tabla1[Codigo_actividad],C$4)*C$3</f>
        <v>0</v>
      </c>
      <c r="D9" s="315">
        <f>+SUMIFS(Tabla1[Avance_Med],Tabla1[Fecha],"&gt;="&amp;$A9,Tabla1[Fecha],"&lt;="&amp;EOMONTH($A9,0),Tabla1[Codigo_actividad],D$4)*D$3</f>
        <v>0</v>
      </c>
      <c r="E9" s="315">
        <f>+SUMIFS(Tabla1[Avance_Med],Tabla1[Fecha],"&gt;="&amp;$A9,Tabla1[Fecha],"&lt;="&amp;EOMONTH($A9,0),Tabla1[Codigo_actividad],E$4)*E$3</f>
        <v>0</v>
      </c>
      <c r="F9" s="315">
        <f>+SUMIFS(Tabla1[Avance_Med],Tabla1[Fecha],"&gt;="&amp;$A9,Tabla1[Fecha],"&lt;="&amp;EOMONTH($A9,0),Tabla1[Codigo_actividad],F$4)*F$3</f>
        <v>0</v>
      </c>
      <c r="G9" s="315">
        <f>+SUMIFS(Tabla1[Avance_Med],Tabla1[Fecha],"&gt;="&amp;$A9,Tabla1[Fecha],"&lt;="&amp;EOMONTH($A9,0),Tabla1[Codigo_actividad],G$4)*G$3</f>
        <v>0</v>
      </c>
      <c r="H9" s="315">
        <f>+SUMIFS(Tabla1[Avance_km],Tabla1[Fecha],"&gt;="&amp;$A9,Tabla1[Fecha],"&lt;="&amp;EOMONTH($A9,0),Tabla1[Codigo_actividad],H$4)*H$3</f>
        <v>0</v>
      </c>
      <c r="I9" s="315"/>
      <c r="J9" s="315">
        <f>+SUMIFS(Tabla1[Avance_km],Tabla1[Fecha],"&gt;="&amp;$A9,Tabla1[Fecha],"&lt;="&amp;EOMONTH($A9,0),Tabla1[Codigo_actividad],J$4,Tabla1[Avance_km],"&gt;0")*J$3</f>
        <v>0</v>
      </c>
      <c r="K9" s="315">
        <f>SUMIFS(Tabla1[Avance_km],Tabla1[Fecha],"&gt;="&amp;$A9,Tabla1[Fecha],"&lt;="&amp;EOMONTH($A9,0),Tabla1[Codigo_actividad],K$4,Tabla1[Avance_km],"&gt;0")*K$3</f>
        <v>0</v>
      </c>
      <c r="L9" s="315">
        <f>+SUMIFS(Tabla1[Avance_Med],Tabla1[Fecha],"&gt;="&amp;$A9,Tabla1[Fecha],"&lt;="&amp;EOMONTH($A9,0),Tabla1[Codigo_actividad],L$4)*L$3</f>
        <v>83844</v>
      </c>
      <c r="M9" s="315">
        <f>+SUMIFS(Tabla1[Avance_km],Tabla1[Fecha],"&gt;="&amp;$A9,Tabla1[Fecha],"&lt;="&amp;EOMONTH($A9,0),Tabla1[Codigo_actividad],M$4)*M$3</f>
        <v>0</v>
      </c>
      <c r="N9" s="315">
        <f>+SUMIFS(Tabla1[Avance_Med],Tabla1[Fecha],"&gt;="&amp;$A9,Tabla1[Fecha],"&lt;="&amp;EOMONTH($A9,0),Tabla1[Codigo_actividad],N$4)*N$3</f>
        <v>0</v>
      </c>
      <c r="O9" s="315">
        <f>+SUMIFS(Tabla1[Avance_Med],Tabla1[Fecha],"&gt;="&amp;$A9,Tabla1[Fecha],"&lt;="&amp;EOMONTH($A9,0),Tabla1[Codigo_actividad],O$4)*O$3</f>
        <v>0</v>
      </c>
      <c r="P9" s="315">
        <f>+SUMIFS(Tabla1[Avance_Med],Tabla1[Fecha],"&gt;="&amp;$A9,Tabla1[Fecha],"&lt;="&amp;EOMONTH($A9,0),Tabla1[Codigo_actividad],P$4)*P$3</f>
        <v>0</v>
      </c>
      <c r="Q9" s="315">
        <f>+SUMIFS(Tabla1[Avance_Med],Tabla1[Fecha],"&gt;="&amp;$A9,Tabla1[Fecha],"&lt;="&amp;EOMONTH($A9,0),Tabla1[Codigo_actividad],Q$4)*Q$3</f>
        <v>0</v>
      </c>
      <c r="R9" s="315">
        <f>+SUMIFS(Tabla1[Avance_Med],Tabla1[Fecha],"&gt;="&amp;$A9,Tabla1[Fecha],"&lt;="&amp;EOMONTH($A9,0),Tabla1[Codigo_actividad],R$4)*R$3</f>
        <v>0</v>
      </c>
      <c r="S9" s="315">
        <f>+SUMIFS(Tabla1[Avance_Med],Tabla1[Fecha],"&gt;="&amp;$A9,Tabla1[Fecha],"&lt;="&amp;EOMONTH($A9,0),Tabla1[Codigo_actividad],S$4)*S$3</f>
        <v>0</v>
      </c>
      <c r="T9" s="315">
        <f>+SUMIFS(Tabla1[Avance_Med],Tabla1[Fecha],"&gt;="&amp;$A9,Tabla1[Fecha],"&lt;="&amp;EOMONTH($A9,0),Tabla1[Codigo_actividad],T$4)*T$3</f>
        <v>0</v>
      </c>
      <c r="U9" s="315">
        <f>+SUMIFS(Tabla1[Avance_Med],Tabla1[Fecha],"&gt;="&amp;$A9,Tabla1[Fecha],"&lt;="&amp;EOMONTH($A9,0),Tabla1[Codigo_actividad],U$4)*U$3</f>
        <v>0</v>
      </c>
      <c r="V9" s="315">
        <f>+SUMIFS(Tabla1[Avance_Med],Tabla1[Fecha],"&gt;="&amp;$A9,Tabla1[Fecha],"&lt;="&amp;EOMONTH($A9,0),Tabla1[Codigo_actividad],V$4)*V$3</f>
        <v>0</v>
      </c>
      <c r="W9" s="315">
        <f>+SUMIFS(Tabla1[Avance_Med],Tabla1[Fecha],"&gt;="&amp;$A9,Tabla1[Fecha],"&lt;="&amp;EOMONTH($A9,0),Tabla1[Codigo_actividad],W$4)*W$3</f>
        <v>0</v>
      </c>
      <c r="X9" s="315">
        <f>+SUMIFS(Tabla1[Avance_Med],Tabla1[Fecha],"&gt;="&amp;$A9,Tabla1[Fecha],"&lt;="&amp;EOMONTH($A9,0),Tabla1[Codigo_actividad],X$4)*X$3</f>
        <v>0</v>
      </c>
      <c r="Y9" s="315">
        <f>+SUMIFS(Tabla1[Avance_Med],Tabla1[Fecha],"&gt;="&amp;$A9,Tabla1[Fecha],"&lt;="&amp;EOMONTH($A9,0),Tabla1[Codigo_actividad],Y$4)*Y$3</f>
        <v>0</v>
      </c>
      <c r="Z9" s="315">
        <f>+SUMIFS(Tabla1[Avance_Med],Tabla1[Fecha],"&gt;="&amp;$A9,Tabla1[Fecha],"&lt;="&amp;EOMONTH($A9,0),Tabla1[Codigo_actividad],Z$4)*Z$3</f>
        <v>0</v>
      </c>
      <c r="AA9" s="315">
        <f>+SUMIFS(Tabla1[Avance_Med],Tabla1[Fecha],"&gt;="&amp;$A9,Tabla1[Fecha],"&lt;="&amp;EOMONTH($A9,0),Tabla1[Codigo_actividad],AA$4)*AA$3</f>
        <v>0</v>
      </c>
      <c r="AB9" s="315">
        <f>+SUMIFS(Tabla1[Avance_Med],Tabla1[Fecha],"&gt;="&amp;$A9,Tabla1[Fecha],"&lt;="&amp;EOMONTH($A9,0),Tabla1[Codigo_actividad],AB$4)*AB$3</f>
        <v>0</v>
      </c>
      <c r="AC9" s="315">
        <f>+SUMIFS(Tabla1[Avance_Med],Tabla1[Fecha],"&gt;="&amp;$A9,Tabla1[Fecha],"&lt;="&amp;EOMONTH($A9,0),Tabla1[Codigo_actividad],AC$4)*AC$3</f>
        <v>0</v>
      </c>
      <c r="AD9" s="315">
        <f>+SUMIFS(Tabla1[Avance_Med],Tabla1[Fecha],"&gt;="&amp;$A9,Tabla1[Fecha],"&lt;="&amp;EOMONTH($A9,0),Tabla1[Codigo_actividad],AD$4)*AD$3</f>
        <v>0</v>
      </c>
      <c r="AE9" s="315">
        <f>+SUMIFS(Tabla1[Avance_Med],Tabla1[Fecha],"&gt;="&amp;$A9,Tabla1[Fecha],"&lt;="&amp;EOMONTH($A9,0),Tabla1[Codigo_actividad],AE$4)*AE$3</f>
        <v>0</v>
      </c>
      <c r="AF9" s="315">
        <f>+SUMIFS(Tabla1[Avance_Med],Tabla1[Fecha],"&gt;="&amp;$A9,Tabla1[Fecha],"&lt;="&amp;EOMONTH($A9,0),Tabla1[Codigo_actividad],AF$4)*AF$3</f>
        <v>0</v>
      </c>
      <c r="AG9" s="315">
        <f>+SUMIFS(Tabla1[Avance_Med],Tabla1[Fecha],"&gt;="&amp;$A9,Tabla1[Fecha],"&lt;="&amp;EOMONTH($A9,0),Tabla1[Codigo_actividad],AG$4)*AG$3</f>
        <v>0</v>
      </c>
      <c r="AH9" s="315">
        <f>+SUMIFS(Tabla1[Avance_Med],Tabla1[Fecha],"&gt;="&amp;$A9,Tabla1[Fecha],"&lt;="&amp;EOMONTH($A9,0),Tabla1[Codigo_actividad],AH$4)*AH$3</f>
        <v>0</v>
      </c>
      <c r="AI9" s="315">
        <f>+SUMIFS(Tabla1[Avance_Med],Tabla1[Fecha],"&gt;="&amp;$A9,Tabla1[Fecha],"&lt;="&amp;EOMONTH($A9,0),Tabla1[Codigo_actividad],AI$4)*AI$3</f>
        <v>0</v>
      </c>
      <c r="AJ9" s="315">
        <f>+SUMIFS(Tabla1[Avance_Med],Tabla1[Fecha],"&gt;="&amp;$A9,Tabla1[Fecha],"&lt;="&amp;EOMONTH($A9,0),Tabla1[Codigo_actividad],AJ$4)*AJ$3</f>
        <v>0</v>
      </c>
      <c r="AK9" s="315">
        <f>+SUMIFS(Tabla1[Avance_Med],Tabla1[Fecha],"&gt;="&amp;$A9,Tabla1[Fecha],"&lt;="&amp;EOMONTH($A9,0),Tabla1[Codigo_actividad],AK$4)*AK$3</f>
        <v>0</v>
      </c>
      <c r="AL9" s="315">
        <f>+SUMIFS(Tabla1[Avance_km],Tabla1[Fecha],"&gt;="&amp;$A9,Tabla1[Fecha],"&lt;="&amp;EOMONTH($A9,0),Tabla1[Codigo_actividad],AL$4)*AL$3</f>
        <v>0</v>
      </c>
      <c r="AM9" s="315">
        <f>+SUMIFS(Tabla1[Avance_Med],Tabla1[Fecha],"&gt;="&amp;$A9,Tabla1[Fecha],"&lt;="&amp;EOMONTH($A9,0),Tabla1[Codigo_actividad],AM$4)*AM$3</f>
        <v>0</v>
      </c>
      <c r="AN9" s="314"/>
      <c r="AO9" s="309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5">
        <f>+SUMIFS(Tabla1[Avance_Med],Tabla1[Fecha],"&gt;="&amp;$A10,Tabla1[Fecha],"&lt;="&amp;EOMONTH($A10,0),Tabla1[Codigo_actividad],B$4)*B$3</f>
        <v>0</v>
      </c>
      <c r="C10" s="315">
        <f>+SUMIFS(Tabla1[Avance_Med],Tabla1[Fecha],"&gt;="&amp;$A10,Tabla1[Fecha],"&lt;="&amp;EOMONTH($A10,0),Tabla1[Codigo_actividad],C$4)*C$3</f>
        <v>0</v>
      </c>
      <c r="D10" s="315">
        <f>+SUMIFS(Tabla1[Avance_Med],Tabla1[Fecha],"&gt;="&amp;$A10,Tabla1[Fecha],"&lt;="&amp;EOMONTH($A10,0),Tabla1[Codigo_actividad],D$4)*D$3</f>
        <v>0</v>
      </c>
      <c r="E10" s="315">
        <f>+SUMIFS(Tabla1[Avance_Med],Tabla1[Fecha],"&gt;="&amp;$A10,Tabla1[Fecha],"&lt;="&amp;EOMONTH($A10,0),Tabla1[Codigo_actividad],E$4)*E$3</f>
        <v>0</v>
      </c>
      <c r="F10" s="315">
        <f>+SUMIFS(Tabla1[Avance_Med],Tabla1[Fecha],"&gt;="&amp;$A10,Tabla1[Fecha],"&lt;="&amp;EOMONTH($A10,0),Tabla1[Codigo_actividad],F$4)*F$3</f>
        <v>0</v>
      </c>
      <c r="G10" s="315">
        <f>+SUMIFS(Tabla1[Avance_Med],Tabla1[Fecha],"&gt;="&amp;$A10,Tabla1[Fecha],"&lt;="&amp;EOMONTH($A10,0),Tabla1[Codigo_actividad],G$4)*G$3</f>
        <v>0</v>
      </c>
      <c r="H10" s="315">
        <f>+SUMIFS(Tabla1[Avance_km],Tabla1[Fecha],"&gt;="&amp;$A10,Tabla1[Fecha],"&lt;="&amp;EOMONTH($A10,0),Tabla1[Codigo_actividad],H$4)*H$3</f>
        <v>0</v>
      </c>
      <c r="I10" s="315"/>
      <c r="J10" s="315">
        <f>+SUMIFS(Tabla1[Avance_km],Tabla1[Fecha],"&gt;="&amp;$A10,Tabla1[Fecha],"&lt;="&amp;EOMONTH($A10,0),Tabla1[Codigo_actividad],J$4,Tabla1[Avance_km],"&gt;0")*J$3</f>
        <v>0</v>
      </c>
      <c r="K10" s="315">
        <f>SUMIFS(Tabla1[Avance_km],Tabla1[Fecha],"&gt;="&amp;$A10,Tabla1[Fecha],"&lt;="&amp;EOMONTH($A10,0),Tabla1[Codigo_actividad],K$4,Tabla1[Avance_km],"&gt;0")*K$3</f>
        <v>0</v>
      </c>
      <c r="L10" s="315">
        <f>+SUMIFS(Tabla1[Avance_Med],Tabla1[Fecha],"&gt;="&amp;$A10,Tabla1[Fecha],"&lt;="&amp;EOMONTH($A10,0),Tabla1[Codigo_actividad],L$4)*L$3</f>
        <v>0</v>
      </c>
      <c r="M10" s="315">
        <f>+SUMIFS(Tabla1[Avance_km],Tabla1[Fecha],"&gt;="&amp;$A10,Tabla1[Fecha],"&lt;="&amp;EOMONTH($A10,0),Tabla1[Codigo_actividad],M$4)*M$3</f>
        <v>8126.7120000000004</v>
      </c>
      <c r="N10" s="315">
        <f>+SUMIFS(Tabla1[Avance_Med],Tabla1[Fecha],"&gt;="&amp;$A10,Tabla1[Fecha],"&lt;="&amp;EOMONTH($A10,0),Tabla1[Codigo_actividad],N$4)*N$3</f>
        <v>0</v>
      </c>
      <c r="O10" s="315">
        <f>+SUMIFS(Tabla1[Avance_Med],Tabla1[Fecha],"&gt;="&amp;$A10,Tabla1[Fecha],"&lt;="&amp;EOMONTH($A10,0),Tabla1[Codigo_actividad],O$4)*O$3</f>
        <v>0</v>
      </c>
      <c r="P10" s="315">
        <f>+SUMIFS(Tabla1[Avance_Med],Tabla1[Fecha],"&gt;="&amp;$A10,Tabla1[Fecha],"&lt;="&amp;EOMONTH($A10,0),Tabla1[Codigo_actividad],P$4)*P$3</f>
        <v>0</v>
      </c>
      <c r="Q10" s="315">
        <f>+SUMIFS(Tabla1[Avance_Med],Tabla1[Fecha],"&gt;="&amp;$A10,Tabla1[Fecha],"&lt;="&amp;EOMONTH($A10,0),Tabla1[Codigo_actividad],Q$4)*Q$3</f>
        <v>0</v>
      </c>
      <c r="R10" s="315">
        <f>+SUMIFS(Tabla1[Avance_Med],Tabla1[Fecha],"&gt;="&amp;$A10,Tabla1[Fecha],"&lt;="&amp;EOMONTH($A10,0),Tabla1[Codigo_actividad],R$4)*R$3</f>
        <v>0</v>
      </c>
      <c r="S10" s="315">
        <f>+SUMIFS(Tabla1[Avance_Med],Tabla1[Fecha],"&gt;="&amp;$A10,Tabla1[Fecha],"&lt;="&amp;EOMONTH($A10,0),Tabla1[Codigo_actividad],S$4)*S$3</f>
        <v>0</v>
      </c>
      <c r="T10" s="315">
        <f>+SUMIFS(Tabla1[Avance_Med],Tabla1[Fecha],"&gt;="&amp;$A10,Tabla1[Fecha],"&lt;="&amp;EOMONTH($A10,0),Tabla1[Codigo_actividad],T$4)*T$3</f>
        <v>0</v>
      </c>
      <c r="U10" s="315">
        <f>+SUMIFS(Tabla1[Avance_Med],Tabla1[Fecha],"&gt;="&amp;$A10,Tabla1[Fecha],"&lt;="&amp;EOMONTH($A10,0),Tabla1[Codigo_actividad],U$4)*U$3</f>
        <v>0</v>
      </c>
      <c r="V10" s="315">
        <f>+SUMIFS(Tabla1[Avance_Med],Tabla1[Fecha],"&gt;="&amp;$A10,Tabla1[Fecha],"&lt;="&amp;EOMONTH($A10,0),Tabla1[Codigo_actividad],V$4)*V$3</f>
        <v>0</v>
      </c>
      <c r="W10" s="315">
        <f>+SUMIFS(Tabla1[Avance_Med],Tabla1[Fecha],"&gt;="&amp;$A10,Tabla1[Fecha],"&lt;="&amp;EOMONTH($A10,0),Tabla1[Codigo_actividad],W$4)*W$3</f>
        <v>0</v>
      </c>
      <c r="X10" s="315">
        <f>+SUMIFS(Tabla1[Avance_Med],Tabla1[Fecha],"&gt;="&amp;$A10,Tabla1[Fecha],"&lt;="&amp;EOMONTH($A10,0),Tabla1[Codigo_actividad],X$4)*X$3</f>
        <v>0</v>
      </c>
      <c r="Y10" s="315">
        <f>+SUMIFS(Tabla1[Avance_Med],Tabla1[Fecha],"&gt;="&amp;$A10,Tabla1[Fecha],"&lt;="&amp;EOMONTH($A10,0),Tabla1[Codigo_actividad],Y$4)*Y$3</f>
        <v>0</v>
      </c>
      <c r="Z10" s="315">
        <f>+SUMIFS(Tabla1[Avance_Med],Tabla1[Fecha],"&gt;="&amp;$A10,Tabla1[Fecha],"&lt;="&amp;EOMONTH($A10,0),Tabla1[Codigo_actividad],Z$4)*Z$3</f>
        <v>0</v>
      </c>
      <c r="AA10" s="315">
        <f>+SUMIFS(Tabla1[Avance_Med],Tabla1[Fecha],"&gt;="&amp;$A10,Tabla1[Fecha],"&lt;="&amp;EOMONTH($A10,0),Tabla1[Codigo_actividad],AA$4)*AA$3</f>
        <v>0</v>
      </c>
      <c r="AB10" s="315">
        <f>+SUMIFS(Tabla1[Avance_Med],Tabla1[Fecha],"&gt;="&amp;$A10,Tabla1[Fecha],"&lt;="&amp;EOMONTH($A10,0),Tabla1[Codigo_actividad],AB$4)*AB$3</f>
        <v>0</v>
      </c>
      <c r="AC10" s="315">
        <f>+SUMIFS(Tabla1[Avance_Med],Tabla1[Fecha],"&gt;="&amp;$A10,Tabla1[Fecha],"&lt;="&amp;EOMONTH($A10,0),Tabla1[Codigo_actividad],AC$4)*AC$3</f>
        <v>0</v>
      </c>
      <c r="AD10" s="315">
        <f>+SUMIFS(Tabla1[Avance_Med],Tabla1[Fecha],"&gt;="&amp;$A10,Tabla1[Fecha],"&lt;="&amp;EOMONTH($A10,0),Tabla1[Codigo_actividad],AD$4)*AD$3</f>
        <v>0</v>
      </c>
      <c r="AE10" s="315">
        <f>+SUMIFS(Tabla1[Avance_Med],Tabla1[Fecha],"&gt;="&amp;$A10,Tabla1[Fecha],"&lt;="&amp;EOMONTH($A10,0),Tabla1[Codigo_actividad],AE$4)*AE$3</f>
        <v>0</v>
      </c>
      <c r="AF10" s="315">
        <f>+SUMIFS(Tabla1[Avance_Med],Tabla1[Fecha],"&gt;="&amp;$A10,Tabla1[Fecha],"&lt;="&amp;EOMONTH($A10,0),Tabla1[Codigo_actividad],AF$4)*AF$3</f>
        <v>0</v>
      </c>
      <c r="AG10" s="315">
        <f>+SUMIFS(Tabla1[Avance_Med],Tabla1[Fecha],"&gt;="&amp;$A10,Tabla1[Fecha],"&lt;="&amp;EOMONTH($A10,0),Tabla1[Codigo_actividad],AG$4)*AG$3</f>
        <v>0</v>
      </c>
      <c r="AH10" s="315">
        <f>+SUMIFS(Tabla1[Avance_Med],Tabla1[Fecha],"&gt;="&amp;$A10,Tabla1[Fecha],"&lt;="&amp;EOMONTH($A10,0),Tabla1[Codigo_actividad],AH$4)*AH$3</f>
        <v>0</v>
      </c>
      <c r="AI10" s="315">
        <f>+SUMIFS(Tabla1[Avance_Med],Tabla1[Fecha],"&gt;="&amp;$A10,Tabla1[Fecha],"&lt;="&amp;EOMONTH($A10,0),Tabla1[Codigo_actividad],AI$4)*AI$3</f>
        <v>0</v>
      </c>
      <c r="AJ10" s="315">
        <f>+SUMIFS(Tabla1[Avance_Med],Tabla1[Fecha],"&gt;="&amp;$A10,Tabla1[Fecha],"&lt;="&amp;EOMONTH($A10,0),Tabla1[Codigo_actividad],AJ$4)*AJ$3</f>
        <v>0</v>
      </c>
      <c r="AK10" s="315">
        <f>+SUMIFS(Tabla1[Avance_Med],Tabla1[Fecha],"&gt;="&amp;$A10,Tabla1[Fecha],"&lt;="&amp;EOMONTH($A10,0),Tabla1[Codigo_actividad],AK$4)*AK$3</f>
        <v>0</v>
      </c>
      <c r="AL10" s="315">
        <f>+SUMIFS(Tabla1[Avance_km],Tabla1[Fecha],"&gt;="&amp;$A10,Tabla1[Fecha],"&lt;="&amp;EOMONTH($A10,0),Tabla1[Codigo_actividad],AL$4)*AL$3</f>
        <v>0</v>
      </c>
      <c r="AM10" s="315">
        <f>+SUMIFS(Tabla1[Avance_Med],Tabla1[Fecha],"&gt;="&amp;$A10,Tabla1[Fecha],"&lt;="&amp;EOMONTH($A10,0),Tabla1[Codigo_actividad],AM$4)*AM$3</f>
        <v>0</v>
      </c>
      <c r="AN10" s="314"/>
      <c r="AO10" s="309">
        <f t="shared" si="0"/>
        <v>8126.7120000000004</v>
      </c>
      <c r="AT10"/>
      <c r="AU10"/>
      <c r="AV10"/>
      <c r="AW10"/>
      <c r="AX10"/>
    </row>
    <row r="11" spans="1:50" x14ac:dyDescent="0.25">
      <c r="A11" s="228">
        <v>46113</v>
      </c>
      <c r="B11" s="315">
        <f>+SUMIFS(Tabla1[Avance_Med],Tabla1[Fecha],"&gt;="&amp;$A11,Tabla1[Fecha],"&lt;="&amp;EOMONTH($A11,0),Tabla1[Codigo_actividad],B$4)*B$3</f>
        <v>0</v>
      </c>
      <c r="C11" s="315">
        <f>+SUMIFS(Tabla1[Avance_Med],Tabla1[Fecha],"&gt;="&amp;$A11,Tabla1[Fecha],"&lt;="&amp;EOMONTH($A11,0),Tabla1[Codigo_actividad],C$4)*C$3</f>
        <v>0</v>
      </c>
      <c r="D11" s="315">
        <f>+SUMIFS(Tabla1[Avance_Med],Tabla1[Fecha],"&gt;="&amp;$A11,Tabla1[Fecha],"&lt;="&amp;EOMONTH($A11,0),Tabla1[Codigo_actividad],D$4)*D$3</f>
        <v>0</v>
      </c>
      <c r="E11" s="315">
        <f>+SUMIFS(Tabla1[Avance_Med],Tabla1[Fecha],"&gt;="&amp;$A11,Tabla1[Fecha],"&lt;="&amp;EOMONTH($A11,0),Tabla1[Codigo_actividad],E$4)*E$3</f>
        <v>0</v>
      </c>
      <c r="F11" s="315">
        <f>+SUMIFS(Tabla1[Avance_Med],Tabla1[Fecha],"&gt;="&amp;$A11,Tabla1[Fecha],"&lt;="&amp;EOMONTH($A11,0),Tabla1[Codigo_actividad],F$4)*F$3</f>
        <v>0</v>
      </c>
      <c r="G11" s="315">
        <f>+SUMIFS(Tabla1[Avance_Med],Tabla1[Fecha],"&gt;="&amp;$A11,Tabla1[Fecha],"&lt;="&amp;EOMONTH($A11,0),Tabla1[Codigo_actividad],G$4)*G$3</f>
        <v>0</v>
      </c>
      <c r="H11" s="315">
        <f>+SUMIFS(Tabla1[Avance_km],Tabla1[Fecha],"&gt;="&amp;$A11,Tabla1[Fecha],"&lt;="&amp;EOMONTH($A11,0),Tabla1[Codigo_actividad],H$4)*H$3</f>
        <v>0</v>
      </c>
      <c r="I11" s="315"/>
      <c r="J11" s="315">
        <f>+SUMIFS(Tabla1[Avance_km],Tabla1[Fecha],"&gt;="&amp;$A11,Tabla1[Fecha],"&lt;="&amp;EOMONTH($A11,0),Tabla1[Codigo_actividad],J$4,Tabla1[Avance_km],"&gt;0")*J$3</f>
        <v>80723.77665</v>
      </c>
      <c r="K11" s="315">
        <f>SUMIFS(Tabla1[Avance_km],Tabla1[Fecha],"&gt;="&amp;$A11,Tabla1[Fecha],"&lt;="&amp;EOMONTH($A11,0),Tabla1[Codigo_actividad],K$4,Tabla1[Avance_km],"&gt;0")*K$3</f>
        <v>0</v>
      </c>
      <c r="L11" s="315">
        <f>+SUMIFS(Tabla1[Avance_Med],Tabla1[Fecha],"&gt;="&amp;$A11,Tabla1[Fecha],"&lt;="&amp;EOMONTH($A11,0),Tabla1[Codigo_actividad],L$4)*L$3</f>
        <v>0</v>
      </c>
      <c r="M11" s="315">
        <f>+SUMIFS(Tabla1[Avance_km],Tabla1[Fecha],"&gt;="&amp;$A11,Tabla1[Fecha],"&lt;="&amp;EOMONTH($A11,0),Tabla1[Codigo_actividad],M$4)*M$3</f>
        <v>48841.539120000001</v>
      </c>
      <c r="N11" s="315">
        <f>+SUMIFS(Tabla1[Avance_Med],Tabla1[Fecha],"&gt;="&amp;$A11,Tabla1[Fecha],"&lt;="&amp;EOMONTH($A11,0),Tabla1[Codigo_actividad],N$4)*N$3</f>
        <v>0</v>
      </c>
      <c r="O11" s="315">
        <f>+SUMIFS(Tabla1[Avance_Med],Tabla1[Fecha],"&gt;="&amp;$A11,Tabla1[Fecha],"&lt;="&amp;EOMONTH($A11,0),Tabla1[Codigo_actividad],O$4)*O$3</f>
        <v>0</v>
      </c>
      <c r="P11" s="315">
        <f>+SUMIFS(Tabla1[Avance_Med],Tabla1[Fecha],"&gt;="&amp;$A11,Tabla1[Fecha],"&lt;="&amp;EOMONTH($A11,0),Tabla1[Codigo_actividad],P$4)*P$3</f>
        <v>0</v>
      </c>
      <c r="Q11" s="315">
        <f>+SUMIFS(Tabla1[Avance_Med],Tabla1[Fecha],"&gt;="&amp;$A11,Tabla1[Fecha],"&lt;="&amp;EOMONTH($A11,0),Tabla1[Codigo_actividad],Q$4)*Q$3</f>
        <v>0</v>
      </c>
      <c r="R11" s="315">
        <f>+SUMIFS(Tabla1[Avance_Med],Tabla1[Fecha],"&gt;="&amp;$A11,Tabla1[Fecha],"&lt;="&amp;EOMONTH($A11,0),Tabla1[Codigo_actividad],R$4)*R$3</f>
        <v>0</v>
      </c>
      <c r="S11" s="315">
        <f>+SUMIFS(Tabla1[Avance_Med],Tabla1[Fecha],"&gt;="&amp;$A11,Tabla1[Fecha],"&lt;="&amp;EOMONTH($A11,0),Tabla1[Codigo_actividad],S$4)*S$3</f>
        <v>0</v>
      </c>
      <c r="T11" s="315">
        <f>+SUMIFS(Tabla1[Avance_Med],Tabla1[Fecha],"&gt;="&amp;$A11,Tabla1[Fecha],"&lt;="&amp;EOMONTH($A11,0),Tabla1[Codigo_actividad],T$4)*T$3</f>
        <v>0</v>
      </c>
      <c r="U11" s="315">
        <f>+SUMIFS(Tabla1[Avance_Med],Tabla1[Fecha],"&gt;="&amp;$A11,Tabla1[Fecha],"&lt;="&amp;EOMONTH($A11,0),Tabla1[Codigo_actividad],U$4)*U$3</f>
        <v>0</v>
      </c>
      <c r="V11" s="315">
        <f>+SUMIFS(Tabla1[Avance_Med],Tabla1[Fecha],"&gt;="&amp;$A11,Tabla1[Fecha],"&lt;="&amp;EOMONTH($A11,0),Tabla1[Codigo_actividad],V$4)*V$3</f>
        <v>0</v>
      </c>
      <c r="W11" s="315">
        <f>+SUMIFS(Tabla1[Avance_Med],Tabla1[Fecha],"&gt;="&amp;$A11,Tabla1[Fecha],"&lt;="&amp;EOMONTH($A11,0),Tabla1[Codigo_actividad],W$4)*W$3</f>
        <v>0</v>
      </c>
      <c r="X11" s="315">
        <f>+SUMIFS(Tabla1[Avance_Med],Tabla1[Fecha],"&gt;="&amp;$A11,Tabla1[Fecha],"&lt;="&amp;EOMONTH($A11,0),Tabla1[Codigo_actividad],X$4)*X$3</f>
        <v>0</v>
      </c>
      <c r="Y11" s="315">
        <f>+SUMIFS(Tabla1[Avance_Med],Tabla1[Fecha],"&gt;="&amp;$A11,Tabla1[Fecha],"&lt;="&amp;EOMONTH($A11,0),Tabla1[Codigo_actividad],Y$4)*Y$3</f>
        <v>0</v>
      </c>
      <c r="Z11" s="315">
        <f>+SUMIFS(Tabla1[Avance_Med],Tabla1[Fecha],"&gt;="&amp;$A11,Tabla1[Fecha],"&lt;="&amp;EOMONTH($A11,0),Tabla1[Codigo_actividad],Z$4)*Z$3</f>
        <v>0</v>
      </c>
      <c r="AA11" s="315">
        <f>+SUMIFS(Tabla1[Avance_Med],Tabla1[Fecha],"&gt;="&amp;$A11,Tabla1[Fecha],"&lt;="&amp;EOMONTH($A11,0),Tabla1[Codigo_actividad],AA$4)*AA$3</f>
        <v>0</v>
      </c>
      <c r="AB11" s="315">
        <f>+SUMIFS(Tabla1[Avance_Med],Tabla1[Fecha],"&gt;="&amp;$A11,Tabla1[Fecha],"&lt;="&amp;EOMONTH($A11,0),Tabla1[Codigo_actividad],AB$4)*AB$3</f>
        <v>0</v>
      </c>
      <c r="AC11" s="315">
        <f>+SUMIFS(Tabla1[Avance_Med],Tabla1[Fecha],"&gt;="&amp;$A11,Tabla1[Fecha],"&lt;="&amp;EOMONTH($A11,0),Tabla1[Codigo_actividad],AC$4)*AC$3</f>
        <v>0</v>
      </c>
      <c r="AD11" s="315">
        <f>+SUMIFS(Tabla1[Avance_Med],Tabla1[Fecha],"&gt;="&amp;$A11,Tabla1[Fecha],"&lt;="&amp;EOMONTH($A11,0),Tabla1[Codigo_actividad],AD$4)*AD$3</f>
        <v>0</v>
      </c>
      <c r="AE11" s="315">
        <f>+SUMIFS(Tabla1[Avance_Med],Tabla1[Fecha],"&gt;="&amp;$A11,Tabla1[Fecha],"&lt;="&amp;EOMONTH($A11,0),Tabla1[Codigo_actividad],AE$4)*AE$3</f>
        <v>0</v>
      </c>
      <c r="AF11" s="315">
        <f>+SUMIFS(Tabla1[Avance_Med],Tabla1[Fecha],"&gt;="&amp;$A11,Tabla1[Fecha],"&lt;="&amp;EOMONTH($A11,0),Tabla1[Codigo_actividad],AF$4)*AF$3</f>
        <v>0</v>
      </c>
      <c r="AG11" s="315">
        <f>+SUMIFS(Tabla1[Avance_Med],Tabla1[Fecha],"&gt;="&amp;$A11,Tabla1[Fecha],"&lt;="&amp;EOMONTH($A11,0),Tabla1[Codigo_actividad],AG$4)*AG$3</f>
        <v>0</v>
      </c>
      <c r="AH11" s="315">
        <f>+SUMIFS(Tabla1[Avance_Med],Tabla1[Fecha],"&gt;="&amp;$A11,Tabla1[Fecha],"&lt;="&amp;EOMONTH($A11,0),Tabla1[Codigo_actividad],AH$4)*AH$3</f>
        <v>0</v>
      </c>
      <c r="AI11" s="315">
        <f>+SUMIFS(Tabla1[Avance_Med],Tabla1[Fecha],"&gt;="&amp;$A11,Tabla1[Fecha],"&lt;="&amp;EOMONTH($A11,0),Tabla1[Codigo_actividad],AI$4)*AI$3</f>
        <v>0</v>
      </c>
      <c r="AJ11" s="315">
        <f>+SUMIFS(Tabla1[Avance_Med],Tabla1[Fecha],"&gt;="&amp;$A11,Tabla1[Fecha],"&lt;="&amp;EOMONTH($A11,0),Tabla1[Codigo_actividad],AJ$4)*AJ$3</f>
        <v>0</v>
      </c>
      <c r="AK11" s="315">
        <f>+SUMIFS(Tabla1[Avance_Med],Tabla1[Fecha],"&gt;="&amp;$A11,Tabla1[Fecha],"&lt;="&amp;EOMONTH($A11,0),Tabla1[Codigo_actividad],AK$4)*AK$3</f>
        <v>0</v>
      </c>
      <c r="AL11" s="315">
        <f>+SUMIFS(Tabla1[Avance_km],Tabla1[Fecha],"&gt;="&amp;$A11,Tabla1[Fecha],"&lt;="&amp;EOMONTH($A11,0),Tabla1[Codigo_actividad],AL$4)*AL$3</f>
        <v>0</v>
      </c>
      <c r="AM11" s="315">
        <f>+SUMIFS(Tabla1[Avance_Med],Tabla1[Fecha],"&gt;="&amp;$A11,Tabla1[Fecha],"&lt;="&amp;EOMONTH($A11,0),Tabla1[Codigo_actividad],AM$4)*AM$3</f>
        <v>0</v>
      </c>
      <c r="AN11" s="314"/>
      <c r="AO11" s="309">
        <f t="shared" si="0"/>
        <v>129565.31577</v>
      </c>
      <c r="AT11"/>
      <c r="AU11"/>
      <c r="AV11"/>
      <c r="AW11"/>
      <c r="AX11"/>
    </row>
    <row r="12" spans="1:50" x14ac:dyDescent="0.25">
      <c r="A12" s="228">
        <v>46143</v>
      </c>
      <c r="B12" s="315">
        <v>0</v>
      </c>
      <c r="C12" s="315">
        <f>+SUMIFS(Tabla1[Avance_Med],Tabla1[Fecha],"&gt;="&amp;$A12,Tabla1[Fecha],"&lt;="&amp;EOMONTH($A12,0),Tabla1[Codigo_actividad],C$4)*C$3</f>
        <v>0</v>
      </c>
      <c r="D12" s="315">
        <f>+SUMIFS(Tabla1[Avance_Med],Tabla1[Fecha],"&gt;="&amp;$A12,Tabla1[Fecha],"&lt;="&amp;EOMONTH($A12,0),Tabla1[Codigo_actividad],D$4)*D$3</f>
        <v>0</v>
      </c>
      <c r="E12" s="315">
        <f>+SUMIFS(Tabla1[Avance_Med],Tabla1[Fecha],"&gt;="&amp;$A12,Tabla1[Fecha],"&lt;="&amp;EOMONTH($A12,0),Tabla1[Codigo_actividad],E$4)*E$3</f>
        <v>0</v>
      </c>
      <c r="F12" s="315">
        <f>+SUMIFS(Tabla1[Avance_Med],Tabla1[Fecha],"&gt;="&amp;$A12,Tabla1[Fecha],"&lt;="&amp;EOMONTH($A12,0),Tabla1[Codigo_actividad],F$4)*F$3</f>
        <v>0</v>
      </c>
      <c r="G12" s="315">
        <f>+SUMIFS(Tabla1[Avance_Med],Tabla1[Fecha],"&gt;="&amp;$A12,Tabla1[Fecha],"&lt;="&amp;EOMONTH($A12,0),Tabla1[Codigo_actividad],G$4)*G$3</f>
        <v>0</v>
      </c>
      <c r="H12" s="315">
        <f>+SUMIFS(Tabla1[Avance_km],Tabla1[Fecha],"&gt;="&amp;$A12,Tabla1[Fecha],"&lt;="&amp;EOMONTH($A12,0),Tabla1[Codigo_actividad],H$4)*H$3</f>
        <v>163409.42673000001</v>
      </c>
      <c r="I12" s="315"/>
      <c r="J12" s="315">
        <f>+SUMIFS(Tabla1[Avance_km],Tabla1[Fecha],"&gt;="&amp;$A12,Tabla1[Fecha],"&lt;="&amp;EOMONTH($A12,0),Tabla1[Codigo_actividad],J$4,Tabla1[Avance_km],"&gt;0")*J$3</f>
        <v>269838.37078</v>
      </c>
      <c r="K12" s="315">
        <f>SUMIFS(Tabla1[Avance_km],Tabla1[Fecha],"&gt;="&amp;$A12,Tabla1[Fecha],"&lt;="&amp;EOMONTH($A12,0),Tabla1[Codigo_actividad],K$4,Tabla1[Avance_km],"&gt;0")*K$3</f>
        <v>0</v>
      </c>
      <c r="L12" s="315">
        <f>+SUMIFS(Tabla1[Avance_Med],Tabla1[Fecha],"&gt;="&amp;$A12,Tabla1[Fecha],"&lt;="&amp;EOMONTH($A12,0),Tabla1[Codigo_actividad],L$4)*L$3</f>
        <v>0</v>
      </c>
      <c r="M12" s="315">
        <f>+SUMIFS(Tabla1[Avance_km],Tabla1[Fecha],"&gt;="&amp;$A12,Tabla1[Fecha],"&lt;="&amp;EOMONTH($A12,0),Tabla1[Codigo_actividad],M$4)*M$3</f>
        <v>8187.6623399999999</v>
      </c>
      <c r="N12" s="315">
        <f>+SUMIFS(Tabla1[Avance_Med],Tabla1[Fecha],"&gt;="&amp;$A12,Tabla1[Fecha],"&lt;="&amp;EOMONTH($A12,0),Tabla1[Codigo_actividad],N$4)*N$3</f>
        <v>0</v>
      </c>
      <c r="O12" s="315">
        <f>+SUMIFS(Tabla1[Avance_Med],Tabla1[Fecha],"&gt;="&amp;$A12,Tabla1[Fecha],"&lt;="&amp;EOMONTH($A12,0),Tabla1[Codigo_actividad],O$4)*O$3</f>
        <v>0</v>
      </c>
      <c r="P12" s="315">
        <f>+SUMIFS(Tabla1[Avance_Med],Tabla1[Fecha],"&gt;="&amp;$A12,Tabla1[Fecha],"&lt;="&amp;EOMONTH($A12,0),Tabla1[Codigo_actividad],P$4)*P$3</f>
        <v>0</v>
      </c>
      <c r="Q12" s="315">
        <f>+SUMIFS(Tabla1[Avance_Med],Tabla1[Fecha],"&gt;="&amp;$A12,Tabla1[Fecha],"&lt;="&amp;EOMONTH($A12,0),Tabla1[Codigo_actividad],Q$4)*Q$3</f>
        <v>0</v>
      </c>
      <c r="R12" s="315">
        <f>+SUMIFS(Tabla1[Avance_Med],Tabla1[Fecha],"&gt;="&amp;$A12,Tabla1[Fecha],"&lt;="&amp;EOMONTH($A12,0),Tabla1[Codigo_actividad],R$4)*R$3</f>
        <v>0</v>
      </c>
      <c r="S12" s="315">
        <f>+SUMIFS(Tabla1[Avance_Med],Tabla1[Fecha],"&gt;="&amp;$A12,Tabla1[Fecha],"&lt;="&amp;EOMONTH($A12,0),Tabla1[Codigo_actividad],S$4)*S$3</f>
        <v>0</v>
      </c>
      <c r="T12" s="315">
        <f>+SUMIFS(Tabla1[Avance_Med],Tabla1[Fecha],"&gt;="&amp;$A12,Tabla1[Fecha],"&lt;="&amp;EOMONTH($A12,0),Tabla1[Codigo_actividad],T$4)*T$3</f>
        <v>0</v>
      </c>
      <c r="U12" s="315">
        <f>+SUMIFS(Tabla1[Avance_Med],Tabla1[Fecha],"&gt;="&amp;$A12,Tabla1[Fecha],"&lt;="&amp;EOMONTH($A12,0),Tabla1[Codigo_actividad],U$4)*U$3</f>
        <v>0</v>
      </c>
      <c r="V12" s="315">
        <f>+SUMIFS(Tabla1[Avance_Med],Tabla1[Fecha],"&gt;="&amp;$A12,Tabla1[Fecha],"&lt;="&amp;EOMONTH($A12,0),Tabla1[Codigo_actividad],V$4)*V$3</f>
        <v>0</v>
      </c>
      <c r="W12" s="315">
        <f>+SUMIFS(Tabla1[Avance_Med],Tabla1[Fecha],"&gt;="&amp;$A12,Tabla1[Fecha],"&lt;="&amp;EOMONTH($A12,0),Tabla1[Codigo_actividad],W$4)*W$3</f>
        <v>0</v>
      </c>
      <c r="X12" s="315">
        <f>+SUMIFS(Tabla1[Avance_Med],Tabla1[Fecha],"&gt;="&amp;$A12,Tabla1[Fecha],"&lt;="&amp;EOMONTH($A12,0),Tabla1[Codigo_actividad],X$4)*X$3</f>
        <v>0</v>
      </c>
      <c r="Y12" s="315">
        <f>+SUMIFS(Tabla1[Avance_Med],Tabla1[Fecha],"&gt;="&amp;$A12,Tabla1[Fecha],"&lt;="&amp;EOMONTH($A12,0),Tabla1[Codigo_actividad],Y$4)*Y$3</f>
        <v>0</v>
      </c>
      <c r="Z12" s="315">
        <f>+SUMIFS(Tabla1[Avance_Med],Tabla1[Fecha],"&gt;="&amp;$A12,Tabla1[Fecha],"&lt;="&amp;EOMONTH($A12,0),Tabla1[Codigo_actividad],Z$4)*Z$3</f>
        <v>0</v>
      </c>
      <c r="AA12" s="315">
        <f>+SUMIFS(Tabla1[Avance_Med],Tabla1[Fecha],"&gt;="&amp;$A12,Tabla1[Fecha],"&lt;="&amp;EOMONTH($A12,0),Tabla1[Codigo_actividad],AA$4)*AA$3</f>
        <v>0</v>
      </c>
      <c r="AB12" s="315">
        <f>+SUMIFS(Tabla1[Avance_Med],Tabla1[Fecha],"&gt;="&amp;$A12,Tabla1[Fecha],"&lt;="&amp;EOMONTH($A12,0),Tabla1[Codigo_actividad],AB$4)*AB$3</f>
        <v>0</v>
      </c>
      <c r="AC12" s="315">
        <f>+SUMIFS(Tabla1[Avance_Med],Tabla1[Fecha],"&gt;="&amp;$A12,Tabla1[Fecha],"&lt;="&amp;EOMONTH($A12,0),Tabla1[Codigo_actividad],AC$4)*AC$3</f>
        <v>0</v>
      </c>
      <c r="AD12" s="315">
        <f>+SUMIFS(Tabla1[Avance_Med],Tabla1[Fecha],"&gt;="&amp;$A12,Tabla1[Fecha],"&lt;="&amp;EOMONTH($A12,0),Tabla1[Codigo_actividad],AD$4)*AD$3</f>
        <v>0</v>
      </c>
      <c r="AE12" s="315">
        <f>+SUMIFS(Tabla1[Avance_Med],Tabla1[Fecha],"&gt;="&amp;$A12,Tabla1[Fecha],"&lt;="&amp;EOMONTH($A12,0),Tabla1[Codigo_actividad],AE$4)*AE$3</f>
        <v>0</v>
      </c>
      <c r="AF12" s="315">
        <f>+SUMIFS(Tabla1[Avance_Med],Tabla1[Fecha],"&gt;="&amp;$A12,Tabla1[Fecha],"&lt;="&amp;EOMONTH($A12,0),Tabla1[Codigo_actividad],AF$4)*AF$3</f>
        <v>0</v>
      </c>
      <c r="AG12" s="315">
        <f>+SUMIFS(Tabla1[Avance_Med],Tabla1[Fecha],"&gt;="&amp;$A12,Tabla1[Fecha],"&lt;="&amp;EOMONTH($A12,0),Tabla1[Codigo_actividad],AG$4)*AG$3</f>
        <v>0</v>
      </c>
      <c r="AH12" s="315">
        <f>+SUMIFS(Tabla1[Avance_Med],Tabla1[Fecha],"&gt;="&amp;$A12,Tabla1[Fecha],"&lt;="&amp;EOMONTH($A12,0),Tabla1[Codigo_actividad],AH$4)*AH$3</f>
        <v>0</v>
      </c>
      <c r="AI12" s="315">
        <f>+SUMIFS(Tabla1[Avance_Med],Tabla1[Fecha],"&gt;="&amp;$A12,Tabla1[Fecha],"&lt;="&amp;EOMONTH($A12,0),Tabla1[Codigo_actividad],AI$4)*AI$3</f>
        <v>0</v>
      </c>
      <c r="AJ12" s="315">
        <f>+SUMIFS(Tabla1[Avance_Med],Tabla1[Fecha],"&gt;="&amp;$A12,Tabla1[Fecha],"&lt;="&amp;EOMONTH($A12,0),Tabla1[Codigo_actividad],AJ$4)*AJ$3</f>
        <v>0</v>
      </c>
      <c r="AK12" s="315">
        <f>+SUMIFS(Tabla1[Avance_Med],Tabla1[Fecha],"&gt;="&amp;$A12,Tabla1[Fecha],"&lt;="&amp;EOMONTH($A12,0),Tabla1[Codigo_actividad],AK$4)*AK$3</f>
        <v>0</v>
      </c>
      <c r="AL12" s="315">
        <f>+SUMIFS(Tabla1[Avance_km],Tabla1[Fecha],"&gt;="&amp;$A12,Tabla1[Fecha],"&lt;="&amp;EOMONTH($A12,0),Tabla1[Codigo_actividad],AL$4)*AL$3</f>
        <v>0</v>
      </c>
      <c r="AM12" s="315">
        <f>+SUMIFS(Tabla1[Avance_Med],Tabla1[Fecha],"&gt;="&amp;$A12,Tabla1[Fecha],"&lt;="&amp;EOMONTH($A12,0),Tabla1[Codigo_actividad],AM$4)*AM$3</f>
        <v>0</v>
      </c>
      <c r="AN12" s="314"/>
      <c r="AO12" s="309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5">
        <v>0</v>
      </c>
      <c r="C13" s="315">
        <f>+SUMIFS(Tabla1[Avance_Med],Tabla1[Fecha],"&gt;="&amp;$A13,Tabla1[Fecha],"&lt;="&amp;EOMONTH($A13,0),Tabla1[Codigo_actividad],C$4)*C$3</f>
        <v>0</v>
      </c>
      <c r="D13" s="315">
        <f>+SUMIFS(Tabla1[Avance_Med],Tabla1[Fecha],"&gt;="&amp;$A13,Tabla1[Fecha],"&lt;="&amp;EOMONTH($A13,0),Tabla1[Codigo_actividad],D$4)*D$3</f>
        <v>0</v>
      </c>
      <c r="E13" s="315">
        <f>+SUMIFS(Tabla1[Avance_Med],Tabla1[Fecha],"&gt;="&amp;$A13,Tabla1[Fecha],"&lt;="&amp;EOMONTH($A13,0),Tabla1[Codigo_actividad],E$4)*E$3</f>
        <v>0</v>
      </c>
      <c r="F13" s="315">
        <f>+SUMIFS(Tabla1[Avance_Med],Tabla1[Fecha],"&gt;="&amp;$A13,Tabla1[Fecha],"&lt;="&amp;EOMONTH($A13,0),Tabla1[Codigo_actividad],F$4)*F$3</f>
        <v>0</v>
      </c>
      <c r="G13" s="315">
        <f>+SUMIFS(Tabla1[Avance_Med],Tabla1[Fecha],"&gt;="&amp;$A13,Tabla1[Fecha],"&lt;="&amp;EOMONTH($A13,0),Tabla1[Codigo_actividad],G$4)*G$3</f>
        <v>0</v>
      </c>
      <c r="H13" s="315">
        <f>+SUMIFS(Tabla1[Avance_km],Tabla1[Fecha],"&gt;="&amp;$A13,Tabla1[Fecha],"&lt;="&amp;EOMONTH($A13,0),Tabla1[Codigo_actividad],H$4)*H$3</f>
        <v>295191.22248000005</v>
      </c>
      <c r="I13" s="315"/>
      <c r="J13" s="315">
        <f>+SUMIFS(Tabla1[Avance_km],Tabla1[Fecha],"&gt;="&amp;$A13,Tabla1[Fecha],"&lt;="&amp;EOMONTH($A13,0),Tabla1[Codigo_actividad],J$4,Tabla1[Avance_km],"&gt;0")*J$3</f>
        <v>0</v>
      </c>
      <c r="K13" s="315">
        <f>SUMIFS(Tabla1[Avance_km],Tabla1[Fecha],"&gt;="&amp;$A13,Tabla1[Fecha],"&lt;="&amp;EOMONTH($A13,0),Tabla1[Codigo_actividad],K$4,Tabla1[Avance_km],"&gt;0")*K$3</f>
        <v>0</v>
      </c>
      <c r="L13" s="315">
        <f>+SUMIFS(Tabla1[Avance_Med],Tabla1[Fecha],"&gt;="&amp;$A13,Tabla1[Fecha],"&lt;="&amp;EOMONTH($A13,0),Tabla1[Codigo_actividad],L$4)*L$3</f>
        <v>0</v>
      </c>
      <c r="M13" s="315">
        <f>+SUMIFS(Tabla1[Avance_km],Tabla1[Fecha],"&gt;="&amp;$A13,Tabla1[Fecha],"&lt;="&amp;EOMONTH($A13,0),Tabla1[Codigo_actividad],M$4)*M$3</f>
        <v>12228.44414</v>
      </c>
      <c r="N13" s="315">
        <f>+SUMIFS(Tabla1[Avance_Med],Tabla1[Fecha],"&gt;="&amp;$A13,Tabla1[Fecha],"&lt;="&amp;EOMONTH($A13,0),Tabla1[Codigo_actividad],N$4)*N$3</f>
        <v>0</v>
      </c>
      <c r="O13" s="315">
        <f>+SUMIFS(Tabla1[Avance_Med],Tabla1[Fecha],"&gt;="&amp;$A13,Tabla1[Fecha],"&lt;="&amp;EOMONTH($A13,0),Tabla1[Codigo_actividad],O$4)*O$3</f>
        <v>0</v>
      </c>
      <c r="P13" s="315">
        <f>+SUMIFS(Tabla1[Avance_Med],Tabla1[Fecha],"&gt;="&amp;$A13,Tabla1[Fecha],"&lt;="&amp;EOMONTH($A13,0),Tabla1[Codigo_actividad],P$4)*P$3</f>
        <v>0</v>
      </c>
      <c r="Q13" s="315">
        <f>+SUMIFS(Tabla1[Avance_Med],Tabla1[Fecha],"&gt;="&amp;$A13,Tabla1[Fecha],"&lt;="&amp;EOMONTH($A13,0),Tabla1[Codigo_actividad],Q$4)*Q$3</f>
        <v>0</v>
      </c>
      <c r="R13" s="315">
        <f>+SUMIFS(Tabla1[Avance_Med],Tabla1[Fecha],"&gt;="&amp;$A13,Tabla1[Fecha],"&lt;="&amp;EOMONTH($A13,0),Tabla1[Codigo_actividad],R$4)*R$3</f>
        <v>0</v>
      </c>
      <c r="S13" s="315">
        <f>+SUMIFS(Tabla1[Avance_Med],Tabla1[Fecha],"&gt;="&amp;$A13,Tabla1[Fecha],"&lt;="&amp;EOMONTH($A13,0),Tabla1[Codigo_actividad],S$4)*S$3</f>
        <v>0</v>
      </c>
      <c r="T13" s="315">
        <f>+SUMIFS(Tabla1[Avance_Med],Tabla1[Fecha],"&gt;="&amp;$A13,Tabla1[Fecha],"&lt;="&amp;EOMONTH($A13,0),Tabla1[Codigo_actividad],T$4)*T$3</f>
        <v>0</v>
      </c>
      <c r="U13" s="315">
        <f>+SUMIFS(Tabla1[Avance_Med],Tabla1[Fecha],"&gt;="&amp;$A13,Tabla1[Fecha],"&lt;="&amp;EOMONTH($A13,0),Tabla1[Codigo_actividad],U$4)*U$3</f>
        <v>0</v>
      </c>
      <c r="V13" s="315">
        <f>+SUMIFS(Tabla1[Avance_Med],Tabla1[Fecha],"&gt;="&amp;$A13,Tabla1[Fecha],"&lt;="&amp;EOMONTH($A13,0),Tabla1[Codigo_actividad],V$4)*V$3</f>
        <v>0</v>
      </c>
      <c r="W13" s="315">
        <f>+SUMIFS(Tabla1[Avance_Med],Tabla1[Fecha],"&gt;="&amp;$A13,Tabla1[Fecha],"&lt;="&amp;EOMONTH($A13,0),Tabla1[Codigo_actividad],W$4)*W$3</f>
        <v>0</v>
      </c>
      <c r="X13" s="315">
        <f>+SUMIFS(Tabla1[Avance_Med],Tabla1[Fecha],"&gt;="&amp;$A13,Tabla1[Fecha],"&lt;="&amp;EOMONTH($A13,0),Tabla1[Codigo_actividad],X$4)*X$3</f>
        <v>0</v>
      </c>
      <c r="Y13" s="315">
        <f>+SUMIFS(Tabla1[Avance_Med],Tabla1[Fecha],"&gt;="&amp;$A13,Tabla1[Fecha],"&lt;="&amp;EOMONTH($A13,0),Tabla1[Codigo_actividad],Y$4)*Y$3</f>
        <v>0</v>
      </c>
      <c r="Z13" s="315">
        <f>+SUMIFS(Tabla1[Avance_Med],Tabla1[Fecha],"&gt;="&amp;$A13,Tabla1[Fecha],"&lt;="&amp;EOMONTH($A13,0),Tabla1[Codigo_actividad],Z$4)*Z$3</f>
        <v>0</v>
      </c>
      <c r="AA13" s="315">
        <f>+SUMIFS(Tabla1[Avance_Med],Tabla1[Fecha],"&gt;="&amp;$A13,Tabla1[Fecha],"&lt;="&amp;EOMONTH($A13,0),Tabla1[Codigo_actividad],AA$4)*AA$3</f>
        <v>0</v>
      </c>
      <c r="AB13" s="315">
        <f>+SUMIFS(Tabla1[Avance_Med],Tabla1[Fecha],"&gt;="&amp;$A13,Tabla1[Fecha],"&lt;="&amp;EOMONTH($A13,0),Tabla1[Codigo_actividad],AB$4)*AB$3</f>
        <v>0</v>
      </c>
      <c r="AC13" s="315">
        <f>+SUMIFS(Tabla1[Avance_Med],Tabla1[Fecha],"&gt;="&amp;$A13,Tabla1[Fecha],"&lt;="&amp;EOMONTH($A13,0),Tabla1[Codigo_actividad],AC$4)*AC$3</f>
        <v>0</v>
      </c>
      <c r="AD13" s="315">
        <f>+SUMIFS(Tabla1[Avance_Med],Tabla1[Fecha],"&gt;="&amp;$A13,Tabla1[Fecha],"&lt;="&amp;EOMONTH($A13,0),Tabla1[Codigo_actividad],AD$4)*AD$3</f>
        <v>0</v>
      </c>
      <c r="AE13" s="315">
        <f>+SUMIFS(Tabla1[Avance_Med],Tabla1[Fecha],"&gt;="&amp;$A13,Tabla1[Fecha],"&lt;="&amp;EOMONTH($A13,0),Tabla1[Codigo_actividad],AE$4)*AE$3</f>
        <v>0</v>
      </c>
      <c r="AF13" s="315">
        <f>+SUMIFS(Tabla1[Avance_Med],Tabla1[Fecha],"&gt;="&amp;$A13,Tabla1[Fecha],"&lt;="&amp;EOMONTH($A13,0),Tabla1[Codigo_actividad],AF$4)*AF$3</f>
        <v>0</v>
      </c>
      <c r="AG13" s="315">
        <f>+SUMIFS(Tabla1[Avance_Med],Tabla1[Fecha],"&gt;="&amp;$A13,Tabla1[Fecha],"&lt;="&amp;EOMONTH($A13,0),Tabla1[Codigo_actividad],AG$4)*AG$3</f>
        <v>0</v>
      </c>
      <c r="AH13" s="315">
        <f>+SUMIFS(Tabla1[Avance_Med],Tabla1[Fecha],"&gt;="&amp;$A13,Tabla1[Fecha],"&lt;="&amp;EOMONTH($A13,0),Tabla1[Codigo_actividad],AH$4)*AH$3</f>
        <v>0</v>
      </c>
      <c r="AI13" s="315">
        <f>+SUMIFS(Tabla1[Avance_Med],Tabla1[Fecha],"&gt;="&amp;$A13,Tabla1[Fecha],"&lt;="&amp;EOMONTH($A13,0),Tabla1[Codigo_actividad],AI$4)*AI$3</f>
        <v>0</v>
      </c>
      <c r="AJ13" s="315">
        <f>+SUMIFS(Tabla1[Avance_Med],Tabla1[Fecha],"&gt;="&amp;$A13,Tabla1[Fecha],"&lt;="&amp;EOMONTH($A13,0),Tabla1[Codigo_actividad],AJ$4)*AJ$3</f>
        <v>0</v>
      </c>
      <c r="AK13" s="315">
        <f>+SUMIFS(Tabla1[Avance_Med],Tabla1[Fecha],"&gt;="&amp;$A13,Tabla1[Fecha],"&lt;="&amp;EOMONTH($A13,0),Tabla1[Codigo_actividad],AK$4)*AK$3</f>
        <v>0</v>
      </c>
      <c r="AL13" s="315">
        <f>+SUMIFS(Tabla1[Avance_km],Tabla1[Fecha],"&gt;="&amp;$A13,Tabla1[Fecha],"&lt;="&amp;EOMONTH($A13,0),Tabla1[Codigo_actividad],AL$4)*AL$3</f>
        <v>0</v>
      </c>
      <c r="AM13" s="315">
        <f>+SUMIFS(Tabla1[Avance_Med],Tabla1[Fecha],"&gt;="&amp;$A13,Tabla1[Fecha],"&lt;="&amp;EOMONTH($A13,0),Tabla1[Codigo_actividad],AM$4)*AM$3</f>
        <v>0</v>
      </c>
      <c r="AN13" s="314"/>
      <c r="AO13" s="309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5">
        <v>0</v>
      </c>
      <c r="C14" s="315">
        <f>+SUMIFS(Tabla1[Avance_Med],Tabla1[Fecha],"&gt;="&amp;$A14,Tabla1[Fecha],"&lt;="&amp;EOMONTH($A14,0),Tabla1[Codigo_actividad],C$4)*C$3</f>
        <v>0</v>
      </c>
      <c r="D14" s="315">
        <f>+SUMIFS(Tabla1[Avance_Med],Tabla1[Fecha],"&gt;="&amp;$A14,Tabla1[Fecha],"&lt;="&amp;EOMONTH($A14,0),Tabla1[Codigo_actividad],D$4)*D$3</f>
        <v>0</v>
      </c>
      <c r="E14" s="315">
        <f>+SUMIFS(Tabla1[Avance_Med],Tabla1[Fecha],"&gt;="&amp;$A14,Tabla1[Fecha],"&lt;="&amp;EOMONTH($A14,0),Tabla1[Codigo_actividad],E$4)*E$3</f>
        <v>0</v>
      </c>
      <c r="F14" s="315">
        <f>+SUMIFS(Tabla1[Avance_Med],Tabla1[Fecha],"&gt;="&amp;$A14,Tabla1[Fecha],"&lt;="&amp;EOMONTH($A14,0),Tabla1[Codigo_actividad],F$4)*F$3</f>
        <v>0</v>
      </c>
      <c r="G14" s="315">
        <f>+SUMIFS(Tabla1[Avance_Med],Tabla1[Fecha],"&gt;="&amp;$A14,Tabla1[Fecha],"&lt;="&amp;EOMONTH($A14,0),Tabla1[Codigo_actividad],G$4)*G$3</f>
        <v>0</v>
      </c>
      <c r="H14" s="315">
        <f>+SUMIFS(Tabla1[Avance_km],Tabla1[Fecha],"&gt;="&amp;$A14,Tabla1[Fecha],"&lt;="&amp;EOMONTH($A14,0),Tabla1[Codigo_actividad],H$4)*H$3</f>
        <v>197026.49088</v>
      </c>
      <c r="I14" s="315"/>
      <c r="J14" s="315">
        <f>+SUMIFS(Tabla1[Avance_km],Tabla1[Fecha],"&gt;="&amp;$A14,Tabla1[Fecha],"&lt;="&amp;EOMONTH($A14,0),Tabla1[Codigo_actividad],J$4,Tabla1[Avance_km],"&gt;0")*J$3</f>
        <v>142849.22894</v>
      </c>
      <c r="K14" s="315">
        <f>SUMIFS(Tabla1[Avance_km],Tabla1[Fecha],"&gt;="&amp;$A14,Tabla1[Fecha],"&lt;="&amp;EOMONTH($A14,0),Tabla1[Codigo_actividad],K$4,Tabla1[Avance_km],"&gt;0")*K$3</f>
        <v>0</v>
      </c>
      <c r="L14" s="315">
        <f>+SUMIFS(Tabla1[Avance_Med],Tabla1[Fecha],"&gt;="&amp;$A14,Tabla1[Fecha],"&lt;="&amp;EOMONTH($A14,0),Tabla1[Codigo_actividad],L$4)*L$3</f>
        <v>0</v>
      </c>
      <c r="M14" s="315">
        <f>+SUMIFS(Tabla1[Avance_km],Tabla1[Fecha],"&gt;="&amp;$A14,Tabla1[Fecha],"&lt;="&amp;EOMONTH($A14,0),Tabla1[Codigo_actividad],M$4)*M$3</f>
        <v>31231.405700000003</v>
      </c>
      <c r="N14" s="315">
        <f>+SUMIFS(Tabla1[Avance_Med],Tabla1[Fecha],"&gt;="&amp;$A14,Tabla1[Fecha],"&lt;="&amp;EOMONTH($A14,0),Tabla1[Codigo_actividad],N$4)*N$3</f>
        <v>0</v>
      </c>
      <c r="O14" s="315">
        <f>+SUMIFS(Tabla1[Avance_Med],Tabla1[Fecha],"&gt;="&amp;$A14,Tabla1[Fecha],"&lt;="&amp;EOMONTH($A14,0),Tabla1[Codigo_actividad],O$4)*O$3</f>
        <v>0</v>
      </c>
      <c r="P14" s="315">
        <f>+SUMIFS(Tabla1[Avance_Med],Tabla1[Fecha],"&gt;="&amp;$A14,Tabla1[Fecha],"&lt;="&amp;EOMONTH($A14,0),Tabla1[Codigo_actividad],P$4)*P$3</f>
        <v>0</v>
      </c>
      <c r="Q14" s="315">
        <f>+SUMIFS(Tabla1[Avance_Med],Tabla1[Fecha],"&gt;="&amp;$A14,Tabla1[Fecha],"&lt;="&amp;EOMONTH($A14,0),Tabla1[Codigo_actividad],Q$4)*Q$3</f>
        <v>0</v>
      </c>
      <c r="R14" s="315">
        <f>+SUMIFS(Tabla1[Avance_Med],Tabla1[Fecha],"&gt;="&amp;$A14,Tabla1[Fecha],"&lt;="&amp;EOMONTH($A14,0),Tabla1[Codigo_actividad],R$4)*R$3</f>
        <v>0</v>
      </c>
      <c r="S14" s="315">
        <f>+SUMIFS(Tabla1[Avance_Med],Tabla1[Fecha],"&gt;="&amp;$A14,Tabla1[Fecha],"&lt;="&amp;EOMONTH($A14,0),Tabla1[Codigo_actividad],S$4)*S$3</f>
        <v>0</v>
      </c>
      <c r="T14" s="315">
        <f>+SUMIFS(Tabla1[Avance_Med],Tabla1[Fecha],"&gt;="&amp;$A14,Tabla1[Fecha],"&lt;="&amp;EOMONTH($A14,0),Tabla1[Codigo_actividad],T$4)*T$3</f>
        <v>0</v>
      </c>
      <c r="U14" s="315">
        <f>+SUMIFS(Tabla1[Avance_Med],Tabla1[Fecha],"&gt;="&amp;$A14,Tabla1[Fecha],"&lt;="&amp;EOMONTH($A14,0),Tabla1[Codigo_actividad],U$4)*U$3</f>
        <v>0</v>
      </c>
      <c r="V14" s="315">
        <f>+SUMIFS(Tabla1[Avance_Med],Tabla1[Fecha],"&gt;="&amp;$A14,Tabla1[Fecha],"&lt;="&amp;EOMONTH($A14,0),Tabla1[Codigo_actividad],V$4)*V$3</f>
        <v>0</v>
      </c>
      <c r="W14" s="315">
        <f>+SUMIFS(Tabla1[Avance_Med],Tabla1[Fecha],"&gt;="&amp;$A14,Tabla1[Fecha],"&lt;="&amp;EOMONTH($A14,0),Tabla1[Codigo_actividad],W$4)*W$3</f>
        <v>0</v>
      </c>
      <c r="X14" s="315">
        <f>+SUMIFS(Tabla1[Avance_Med],Tabla1[Fecha],"&gt;="&amp;$A14,Tabla1[Fecha],"&lt;="&amp;EOMONTH($A14,0),Tabla1[Codigo_actividad],X$4)*X$3</f>
        <v>0</v>
      </c>
      <c r="Y14" s="315">
        <f>+SUMIFS(Tabla1[Avance_Med],Tabla1[Fecha],"&gt;="&amp;$A14,Tabla1[Fecha],"&lt;="&amp;EOMONTH($A14,0),Tabla1[Codigo_actividad],Y$4)*Y$3</f>
        <v>0</v>
      </c>
      <c r="Z14" s="315">
        <f>+SUMIFS(Tabla1[Avance_Med],Tabla1[Fecha],"&gt;="&amp;$A14,Tabla1[Fecha],"&lt;="&amp;EOMONTH($A14,0),Tabla1[Codigo_actividad],Z$4)*Z$3</f>
        <v>0</v>
      </c>
      <c r="AA14" s="315">
        <f>+SUMIFS(Tabla1[Avance_Med],Tabla1[Fecha],"&gt;="&amp;$A14,Tabla1[Fecha],"&lt;="&amp;EOMONTH($A14,0),Tabla1[Codigo_actividad],AA$4)*AA$3</f>
        <v>0</v>
      </c>
      <c r="AB14" s="315">
        <f>+SUMIFS(Tabla1[Avance_Med],Tabla1[Fecha],"&gt;="&amp;$A14,Tabla1[Fecha],"&lt;="&amp;EOMONTH($A14,0),Tabla1[Codigo_actividad],AB$4)*AB$3</f>
        <v>0</v>
      </c>
      <c r="AC14" s="315">
        <f>+SUMIFS(Tabla1[Avance_Med],Tabla1[Fecha],"&gt;="&amp;$A14,Tabla1[Fecha],"&lt;="&amp;EOMONTH($A14,0),Tabla1[Codigo_actividad],AC$4)*AC$3</f>
        <v>0</v>
      </c>
      <c r="AD14" s="315">
        <f>+SUMIFS(Tabla1[Avance_Med],Tabla1[Fecha],"&gt;="&amp;$A14,Tabla1[Fecha],"&lt;="&amp;EOMONTH($A14,0),Tabla1[Codigo_actividad],AD$4)*AD$3</f>
        <v>0</v>
      </c>
      <c r="AE14" s="315">
        <f>+SUMIFS(Tabla1[Avance_Med],Tabla1[Fecha],"&gt;="&amp;$A14,Tabla1[Fecha],"&lt;="&amp;EOMONTH($A14,0),Tabla1[Codigo_actividad],AE$4)*AE$3</f>
        <v>0</v>
      </c>
      <c r="AF14" s="315">
        <f>+SUMIFS(Tabla1[Avance_Med],Tabla1[Fecha],"&gt;="&amp;$A14,Tabla1[Fecha],"&lt;="&amp;EOMONTH($A14,0),Tabla1[Codigo_actividad],AF$4)*AF$3</f>
        <v>0</v>
      </c>
      <c r="AG14" s="315">
        <f>+SUMIFS(Tabla1[Avance_Med],Tabla1[Fecha],"&gt;="&amp;$A14,Tabla1[Fecha],"&lt;="&amp;EOMONTH($A14,0),Tabla1[Codigo_actividad],AG$4)*AG$3</f>
        <v>0</v>
      </c>
      <c r="AH14" s="315">
        <f>+SUMIFS(Tabla1[Avance_Med],Tabla1[Fecha],"&gt;="&amp;$A14,Tabla1[Fecha],"&lt;="&amp;EOMONTH($A14,0),Tabla1[Codigo_actividad],AH$4)*AH$3</f>
        <v>0</v>
      </c>
      <c r="AI14" s="315">
        <f>+SUMIFS(Tabla1[Avance_Med],Tabla1[Fecha],"&gt;="&amp;$A14,Tabla1[Fecha],"&lt;="&amp;EOMONTH($A14,0),Tabla1[Codigo_actividad],AI$4)*AI$3</f>
        <v>0</v>
      </c>
      <c r="AJ14" s="315">
        <f>+SUMIFS(Tabla1[Avance_Med],Tabla1[Fecha],"&gt;="&amp;$A14,Tabla1[Fecha],"&lt;="&amp;EOMONTH($A14,0),Tabla1[Codigo_actividad],AJ$4)*AJ$3</f>
        <v>0</v>
      </c>
      <c r="AK14" s="315">
        <f>+SUMIFS(Tabla1[Avance_Med],Tabla1[Fecha],"&gt;="&amp;$A14,Tabla1[Fecha],"&lt;="&amp;EOMONTH($A14,0),Tabla1[Codigo_actividad],AK$4)*AK$3</f>
        <v>0</v>
      </c>
      <c r="AL14" s="315">
        <f>+SUMIFS(Tabla1[Avance_km],Tabla1[Fecha],"&gt;="&amp;$A14,Tabla1[Fecha],"&lt;="&amp;EOMONTH($A14,0),Tabla1[Codigo_actividad],AL$4)*AL$3</f>
        <v>0</v>
      </c>
      <c r="AM14" s="315">
        <f>+SUMIFS(Tabla1[Avance_Med],Tabla1[Fecha],"&gt;="&amp;$A14,Tabla1[Fecha],"&lt;="&amp;EOMONTH($A14,0),Tabla1[Codigo_actividad],AM$4)*AM$3</f>
        <v>0</v>
      </c>
      <c r="AN14" s="314"/>
      <c r="AO14" s="309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5">
        <v>0</v>
      </c>
      <c r="C15" s="315">
        <f>+SUMIFS(Tabla1[Avance_Med],Tabla1[Fecha],"&gt;="&amp;$A15,Tabla1[Fecha],"&lt;="&amp;EOMONTH($A15,0),Tabla1[Codigo_actividad],C$4)*C$3</f>
        <v>0</v>
      </c>
      <c r="D15" s="315">
        <f>+SUMIFS(Tabla1[Avance_Med],Tabla1[Fecha],"&gt;="&amp;$A15,Tabla1[Fecha],"&lt;="&amp;EOMONTH($A15,0),Tabla1[Codigo_actividad],D$4)*D$3</f>
        <v>0</v>
      </c>
      <c r="E15" s="315">
        <f>+SUMIFS(Tabla1[Avance_Med],Tabla1[Fecha],"&gt;="&amp;$A15,Tabla1[Fecha],"&lt;="&amp;EOMONTH($A15,0),Tabla1[Codigo_actividad],E$4)*E$3</f>
        <v>0</v>
      </c>
      <c r="F15" s="315">
        <f>+SUMIFS(Tabla1[Avance_Med],Tabla1[Fecha],"&gt;="&amp;$A15,Tabla1[Fecha],"&lt;="&amp;EOMONTH($A15,0),Tabla1[Codigo_actividad],F$4)*F$3</f>
        <v>0</v>
      </c>
      <c r="G15" s="315">
        <f>+SUMIFS(Tabla1[Avance_Med],Tabla1[Fecha],"&gt;="&amp;$A15,Tabla1[Fecha],"&lt;="&amp;EOMONTH($A15,0),Tabla1[Codigo_actividad],G$4)*G$3</f>
        <v>0</v>
      </c>
      <c r="H15" s="315">
        <f>+SUMIFS(Tabla1[Avance_km],Tabla1[Fecha],"&gt;="&amp;$A15,Tabla1[Fecha],"&lt;="&amp;EOMONTH($A15,0),Tabla1[Codigo_actividad],H$4)*H$3</f>
        <v>145693.30653000003</v>
      </c>
      <c r="I15" s="315"/>
      <c r="J15" s="485">
        <f>+SUMIFS(Tabla1[Avance_km],Tabla1[Fecha],"&gt;="&amp;$A15,Tabla1[Fecha],"&lt;="&amp;EOMONTH($A15,0),Tabla1[Codigo_actividad],J$4,Tabla1[Avance_km],"&gt;0")*$J$3</f>
        <v>168022.03384999998</v>
      </c>
      <c r="K15" s="315">
        <f>SUMIFS(Tabla1[Avance_km],Tabla1[Fecha],"&gt;="&amp;$A15,Tabla1[Fecha],"&lt;="&amp;EOMONTH($A15,0),Tabla1[Codigo_actividad],K$4,Tabla1[Avance_km],"&gt;0")*K$3</f>
        <v>300342.56999999995</v>
      </c>
      <c r="L15" s="315">
        <f>+SUMIFS(Tabla1[Avance_Med],Tabla1[Fecha],"&gt;="&amp;$A15,Tabla1[Fecha],"&lt;="&amp;EOMONTH($A15,0),Tabla1[Codigo_actividad],L$4)*L$3</f>
        <v>0</v>
      </c>
      <c r="M15" s="315">
        <f>+SUMIFS(Tabla1[Avance_km],Tabla1[Fecha],"&gt;="&amp;$A15,Tabla1[Fecha],"&lt;="&amp;EOMONTH($A15,0),Tabla1[Codigo_actividad],M$4)*M$3</f>
        <v>27472.8014</v>
      </c>
      <c r="N15" s="315">
        <f>+SUMIFS(Tabla1[Avance_Med],Tabla1[Fecha],"&gt;="&amp;$A15,Tabla1[Fecha],"&lt;="&amp;EOMONTH($A15,0),Tabla1[Codigo_actividad],N$4)*N$3</f>
        <v>0</v>
      </c>
      <c r="O15" s="315">
        <f>+SUMIFS(Tabla1[Avance_Med],Tabla1[Fecha],"&gt;="&amp;$A15,Tabla1[Fecha],"&lt;="&amp;EOMONTH($A15,0),Tabla1[Codigo_actividad],O$4)*O$3</f>
        <v>0</v>
      </c>
      <c r="P15" s="315">
        <f>+SUMIFS(Tabla1[Avance_Med],Tabla1[Fecha],"&gt;="&amp;$A15,Tabla1[Fecha],"&lt;="&amp;EOMONTH($A15,0),Tabla1[Codigo_actividad],P$4)*P$3</f>
        <v>0</v>
      </c>
      <c r="Q15" s="315">
        <f>+SUMIFS(Tabla1[Avance_Med],Tabla1[Fecha],"&gt;="&amp;$A15,Tabla1[Fecha],"&lt;="&amp;EOMONTH($A15,0),Tabla1[Codigo_actividad],Q$4)*Q$3</f>
        <v>15171.98</v>
      </c>
      <c r="R15" s="315">
        <f>+SUMIFS(Tabla1[Avance_Med],Tabla1[Fecha],"&gt;="&amp;$A15,Tabla1[Fecha],"&lt;="&amp;EOMONTH($A15,0),Tabla1[Codigo_actividad],R$4)*R$3</f>
        <v>3531.18</v>
      </c>
      <c r="S15" s="315">
        <f>+SUMIFS(Tabla1[Avance_Med],Tabla1[Fecha],"&gt;="&amp;$A15,Tabla1[Fecha],"&lt;="&amp;EOMONTH($A15,0),Tabla1[Codigo_actividad],S$4)*S$3</f>
        <v>3869.18</v>
      </c>
      <c r="T15" s="315">
        <f>+SUMIFS(Tabla1[Avance_Med],Tabla1[Fecha],"&gt;="&amp;$A15,Tabla1[Fecha],"&lt;="&amp;EOMONTH($A15,0),Tabla1[Codigo_actividad],T$4)*T$3</f>
        <v>3921.18</v>
      </c>
      <c r="U15" s="315">
        <f>+SUMIFS(Tabla1[Avance_Med],Tabla1[Fecha],"&gt;="&amp;$A15,Tabla1[Fecha],"&lt;="&amp;EOMONTH($A15,0),Tabla1[Codigo_actividad],U$4)*U$3</f>
        <v>0</v>
      </c>
      <c r="V15" s="315">
        <f>+SUMIFS(Tabla1[Avance_Med],Tabla1[Fecha],"&gt;="&amp;$A15,Tabla1[Fecha],"&lt;="&amp;EOMONTH($A15,0),Tabla1[Codigo_actividad],V$4)*V$3</f>
        <v>4441.18</v>
      </c>
      <c r="W15" s="315">
        <f>+SUMIFS(Tabla1[Avance_Med],Tabla1[Fecha],"&gt;="&amp;$A15,Tabla1[Fecha],"&lt;="&amp;EOMONTH($A15,0),Tabla1[Codigo_actividad],W$4)*W$3</f>
        <v>0</v>
      </c>
      <c r="X15" s="315">
        <f>+SUMIFS(Tabla1[Avance_Med],Tabla1[Fecha],"&gt;="&amp;$A15,Tabla1[Fecha],"&lt;="&amp;EOMONTH($A15,0),Tabla1[Codigo_actividad],X$4)*X$3</f>
        <v>0</v>
      </c>
      <c r="Y15" s="315">
        <f>+SUMIFS(Tabla1[Avance_Med],Tabla1[Fecha],"&gt;="&amp;$A15,Tabla1[Fecha],"&lt;="&amp;EOMONTH($A15,0),Tabla1[Codigo_actividad],Y$4)*Y$3</f>
        <v>1312</v>
      </c>
      <c r="Z15" s="315">
        <f>+SUMIFS(Tabla1[Avance_Med],Tabla1[Fecha],"&gt;="&amp;$A15,Tabla1[Fecha],"&lt;="&amp;EOMONTH($A15,0),Tabla1[Codigo_actividad],Z$4)*Z$3</f>
        <v>9352</v>
      </c>
      <c r="AA15" s="315">
        <f>+SUMIFS(Tabla1[Avance_Med],Tabla1[Fecha],"&gt;="&amp;$A15,Tabla1[Fecha],"&lt;="&amp;EOMONTH($A15,0),Tabla1[Codigo_actividad],AA$4)*AA$3</f>
        <v>0</v>
      </c>
      <c r="AB15" s="315">
        <f>+SUMIFS(Tabla1[Avance_Med],Tabla1[Fecha],"&gt;="&amp;$A15,Tabla1[Fecha],"&lt;="&amp;EOMONTH($A15,0),Tabla1[Codigo_actividad],AB$4)*AB$3</f>
        <v>0</v>
      </c>
      <c r="AC15" s="315">
        <f>+SUMIFS(Tabla1[Avance_Med],Tabla1[Fecha],"&gt;="&amp;$A15,Tabla1[Fecha],"&lt;="&amp;EOMONTH($A15,0),Tabla1[Codigo_actividad],AC$4)*AC$3</f>
        <v>0</v>
      </c>
      <c r="AD15" s="315">
        <f>+SUMIFS(Tabla1[Avance_Med],Tabla1[Fecha],"&gt;="&amp;$A15,Tabla1[Fecha],"&lt;="&amp;EOMONTH($A15,0),Tabla1[Codigo_actividad],AD$4)*AD$3</f>
        <v>0</v>
      </c>
      <c r="AE15" s="315">
        <f>+SUMIFS(Tabla1[Avance_Med],Tabla1[Fecha],"&gt;="&amp;$A15,Tabla1[Fecha],"&lt;="&amp;EOMONTH($A15,0),Tabla1[Codigo_actividad],AE$4)*AE$3</f>
        <v>0</v>
      </c>
      <c r="AF15" s="315">
        <f>+SUMIFS(Tabla1[Avance_Med],Tabla1[Fecha],"&gt;="&amp;$A15,Tabla1[Fecha],"&lt;="&amp;EOMONTH($A15,0),Tabla1[Codigo_actividad],AF$4)*AF$3</f>
        <v>0</v>
      </c>
      <c r="AG15" s="315">
        <f>+SUMIFS(Tabla1[Avance_Med],Tabla1[Fecha],"&gt;="&amp;$A15,Tabla1[Fecha],"&lt;="&amp;EOMONTH($A15,0),Tabla1[Codigo_actividad],AG$4)*AG$3</f>
        <v>0</v>
      </c>
      <c r="AH15" s="315">
        <f>+SUMIFS(Tabla1[Avance_Med],Tabla1[Fecha],"&gt;="&amp;$A15,Tabla1[Fecha],"&lt;="&amp;EOMONTH($A15,0),Tabla1[Codigo_actividad],AH$4)*AH$3</f>
        <v>0</v>
      </c>
      <c r="AI15" s="315">
        <f>+SUMIFS(Tabla1[Avance_Med],Tabla1[Fecha],"&gt;="&amp;$A15,Tabla1[Fecha],"&lt;="&amp;EOMONTH($A15,0),Tabla1[Codigo_actividad],AI$4)*AI$3</f>
        <v>0</v>
      </c>
      <c r="AJ15" s="315">
        <f>+SUMIFS(Tabla1[Avance_Med],Tabla1[Fecha],"&gt;="&amp;$A15,Tabla1[Fecha],"&lt;="&amp;EOMONTH($A15,0),Tabla1[Codigo_actividad],AJ$4)*AJ$3</f>
        <v>0</v>
      </c>
      <c r="AK15" s="315">
        <f>+SUMIFS(Tabla1[Avance_Med],Tabla1[Fecha],"&gt;="&amp;$A15,Tabla1[Fecha],"&lt;="&amp;EOMONTH($A15,0),Tabla1[Codigo_actividad],AK$4)*AK$3</f>
        <v>0</v>
      </c>
      <c r="AL15" s="315">
        <f>+SUMIFS(Tabla1[Avance_km],Tabla1[Fecha],"&gt;="&amp;$A15,Tabla1[Fecha],"&lt;="&amp;EOMONTH($A15,0),Tabla1[Codigo_actividad],AL$4)*AL$3</f>
        <v>0</v>
      </c>
      <c r="AM15" s="315">
        <f>+SUMIFS(Tabla1[Avance_Med],Tabla1[Fecha],"&gt;="&amp;$A15,Tabla1[Fecha],"&lt;="&amp;EOMONTH($A15,0),Tabla1[Codigo_actividad],AM$4)*AM$3</f>
        <v>0</v>
      </c>
      <c r="AN15" s="314"/>
      <c r="AO15" s="309">
        <f t="shared" si="0"/>
        <v>683129.4117800002</v>
      </c>
      <c r="AT15"/>
      <c r="AU15"/>
      <c r="AV15"/>
      <c r="AW15"/>
      <c r="AX15"/>
    </row>
    <row r="16" spans="1:50" x14ac:dyDescent="0.25">
      <c r="A16" s="228">
        <v>46266</v>
      </c>
      <c r="B16" s="315">
        <v>0</v>
      </c>
      <c r="C16" s="315">
        <f>+SUMIFS(Tabla1[Avance_Med],Tabla1[Fecha],"&gt;="&amp;$A16,Tabla1[Fecha],"&lt;="&amp;EOMONTH($A16,0),Tabla1[Codigo_actividad],C$4)*C$3</f>
        <v>0</v>
      </c>
      <c r="D16" s="315">
        <f>+SUMIFS(Tabla1[Avance_Med],Tabla1[Fecha],"&gt;="&amp;$A16,Tabla1[Fecha],"&lt;="&amp;EOMONTH($A16,0),Tabla1[Codigo_actividad],D$4)*D$3</f>
        <v>0</v>
      </c>
      <c r="E16" s="315">
        <f>+SUMIFS(Tabla1[Avance_Med],Tabla1[Fecha],"&gt;="&amp;$A16,Tabla1[Fecha],"&lt;="&amp;EOMONTH($A16,0),Tabla1[Codigo_actividad],E$4)*E$3</f>
        <v>0</v>
      </c>
      <c r="F16" s="315">
        <f>+SUMIFS(Tabla1[Avance_Med],Tabla1[Fecha],"&gt;="&amp;$A16,Tabla1[Fecha],"&lt;="&amp;EOMONTH($A16,0),Tabla1[Codigo_actividad],F$4)*F$3</f>
        <v>0</v>
      </c>
      <c r="G16" s="315">
        <f>+SUMIFS(Tabla1[Avance_Med],Tabla1[Fecha],"&gt;="&amp;$A16,Tabla1[Fecha],"&lt;="&amp;EOMONTH($A16,0),Tabla1[Codigo_actividad],G$4)*G$3</f>
        <v>0</v>
      </c>
      <c r="H16" s="315">
        <f>+SUMIFS(Tabla1[Avance_km],Tabla1[Fecha],"&gt;="&amp;$A16,Tabla1[Fecha],"&lt;="&amp;EOMONTH($A16,0),Tabla1[Codigo_actividad],H$4)*H$3</f>
        <v>155669.51519999999</v>
      </c>
      <c r="I16" s="315"/>
      <c r="J16" s="315">
        <f>+SUMIFS(Tabla1[Avance_km],Tabla1[Fecha],"&gt;="&amp;$A16,Tabla1[Fecha],"&lt;="&amp;EOMONTH($A16,0),Tabla1[Codigo_actividad],J$4,Tabla1[Avance_km],"&gt;0")*J$3</f>
        <v>0</v>
      </c>
      <c r="K16" s="315">
        <f>SUMIFS(Tabla1[Avance_km],Tabla1[Fecha],"&gt;="&amp;$A16,Tabla1[Fecha],"&lt;="&amp;EOMONTH($A16,0),Tabla1[Codigo_actividad],K$4,Tabla1[Avance_km],"&gt;0")*K$3</f>
        <v>382601.99999999994</v>
      </c>
      <c r="L16" s="315">
        <f>+SUMIFS(Tabla1[Avance_Med],Tabla1[Fecha],"&gt;="&amp;$A16,Tabla1[Fecha],"&lt;="&amp;EOMONTH($A16,0),Tabla1[Codigo_actividad],L$4)*L$3</f>
        <v>93160</v>
      </c>
      <c r="M16" s="315">
        <f>+SUMIFS(Tabla1[Avance_km],Tabla1[Fecha],"&gt;="&amp;$A16,Tabla1[Fecha],"&lt;="&amp;EOMONTH($A16,0),Tabla1[Codigo_actividad],M$4)*M$3</f>
        <v>45306.419399999999</v>
      </c>
      <c r="N16" s="315">
        <f>+SUMIFS(Tabla1[Avance_Med],Tabla1[Fecha],"&gt;="&amp;$A16,Tabla1[Fecha],"&lt;="&amp;EOMONTH($A16,0),Tabla1[Codigo_actividad],N$4)*N$3</f>
        <v>0</v>
      </c>
      <c r="O16" s="315">
        <f>+SUMIFS(Tabla1[Avance_Med],Tabla1[Fecha],"&gt;="&amp;$A16,Tabla1[Fecha],"&lt;="&amp;EOMONTH($A16,0),Tabla1[Codigo_actividad],O$4)*O$3</f>
        <v>0</v>
      </c>
      <c r="P16" s="315">
        <f>+SUMIFS(Tabla1[Avance_Med],Tabla1[Fecha],"&gt;="&amp;$A16,Tabla1[Fecha],"&lt;="&amp;EOMONTH($A16,0),Tabla1[Codigo_actividad],P$4)*P$3</f>
        <v>0</v>
      </c>
      <c r="Q16" s="315">
        <f>+SUMIFS(Tabla1[Avance_Med],Tabla1[Fecha],"&gt;="&amp;$A16,Tabla1[Fecha],"&lt;="&amp;EOMONTH($A16,0),Tabla1[Codigo_actividad],Q$4)*Q$3</f>
        <v>60687.92</v>
      </c>
      <c r="R16" s="315">
        <f>+SUMIFS(Tabla1[Avance_Med],Tabla1[Fecha],"&gt;="&amp;$A16,Tabla1[Fecha],"&lt;="&amp;EOMONTH($A16,0),Tabla1[Codigo_actividad],R$4)*R$3</f>
        <v>14124.72</v>
      </c>
      <c r="S16" s="315">
        <f>+SUMIFS(Tabla1[Avance_Med],Tabla1[Fecha],"&gt;="&amp;$A16,Tabla1[Fecha],"&lt;="&amp;EOMONTH($A16,0),Tabla1[Codigo_actividad],S$4)*S$3</f>
        <v>15476.72</v>
      </c>
      <c r="T16" s="315">
        <f>+SUMIFS(Tabla1[Avance_Med],Tabla1[Fecha],"&gt;="&amp;$A16,Tabla1[Fecha],"&lt;="&amp;EOMONTH($A16,0),Tabla1[Codigo_actividad],T$4)*T$3</f>
        <v>15684.72</v>
      </c>
      <c r="U16" s="315">
        <f>+SUMIFS(Tabla1[Avance_Med],Tabla1[Fecha],"&gt;="&amp;$A16,Tabla1[Fecha],"&lt;="&amp;EOMONTH($A16,0),Tabla1[Codigo_actividad],U$4)*U$3</f>
        <v>4441.18</v>
      </c>
      <c r="V16" s="315">
        <f>+SUMIFS(Tabla1[Avance_Med],Tabla1[Fecha],"&gt;="&amp;$A16,Tabla1[Fecha],"&lt;="&amp;EOMONTH($A16,0),Tabla1[Codigo_actividad],V$4)*V$3</f>
        <v>17764.72</v>
      </c>
      <c r="W16" s="315">
        <f>+SUMIFS(Tabla1[Avance_Med],Tabla1[Fecha],"&gt;="&amp;$A16,Tabla1[Fecha],"&lt;="&amp;EOMONTH($A16,0),Tabla1[Codigo_actividad],W$4)*W$3</f>
        <v>4181.18</v>
      </c>
      <c r="X16" s="315">
        <f>+SUMIFS(Tabla1[Avance_Med],Tabla1[Fecha],"&gt;="&amp;$A16,Tabla1[Fecha],"&lt;="&amp;EOMONTH($A16,0),Tabla1[Codigo_actividad],X$4)*X$3</f>
        <v>6271.77</v>
      </c>
      <c r="Y16" s="315">
        <f>+SUMIFS(Tabla1[Avance_Med],Tabla1[Fecha],"&gt;="&amp;$A16,Tabla1[Fecha],"&lt;="&amp;EOMONTH($A16,0),Tabla1[Codigo_actividad],Y$4)*Y$3</f>
        <v>5248</v>
      </c>
      <c r="Z16" s="315">
        <f>+SUMIFS(Tabla1[Avance_Med],Tabla1[Fecha],"&gt;="&amp;$A16,Tabla1[Fecha],"&lt;="&amp;EOMONTH($A16,0),Tabla1[Codigo_actividad],Z$4)*Z$3</f>
        <v>37408</v>
      </c>
      <c r="AA16" s="315">
        <f>+SUMIFS(Tabla1[Avance_Med],Tabla1[Fecha],"&gt;="&amp;$A16,Tabla1[Fecha],"&lt;="&amp;EOMONTH($A16,0),Tabla1[Codigo_actividad],AA$4)*AA$3</f>
        <v>0</v>
      </c>
      <c r="AB16" s="315">
        <f>+SUMIFS(Tabla1[Avance_Med],Tabla1[Fecha],"&gt;="&amp;$A16,Tabla1[Fecha],"&lt;="&amp;EOMONTH($A16,0),Tabla1[Codigo_actividad],AB$4)*AB$3</f>
        <v>0</v>
      </c>
      <c r="AC16" s="315">
        <f>+SUMIFS(Tabla1[Avance_Med],Tabla1[Fecha],"&gt;="&amp;$A16,Tabla1[Fecha],"&lt;="&amp;EOMONTH($A16,0),Tabla1[Codigo_actividad],AC$4)*AC$3</f>
        <v>0</v>
      </c>
      <c r="AD16" s="315">
        <f>+SUMIFS(Tabla1[Avance_Med],Tabla1[Fecha],"&gt;="&amp;$A16,Tabla1[Fecha],"&lt;="&amp;EOMONTH($A16,0),Tabla1[Codigo_actividad],AD$4)*AD$3</f>
        <v>0</v>
      </c>
      <c r="AE16" s="315">
        <f>+SUMIFS(Tabla1[Avance_Med],Tabla1[Fecha],"&gt;="&amp;$A16,Tabla1[Fecha],"&lt;="&amp;EOMONTH($A16,0),Tabla1[Codigo_actividad],AE$4)*AE$3</f>
        <v>0</v>
      </c>
      <c r="AF16" s="315">
        <f>+SUMIFS(Tabla1[Avance_Med],Tabla1[Fecha],"&gt;="&amp;$A16,Tabla1[Fecha],"&lt;="&amp;EOMONTH($A16,0),Tabla1[Codigo_actividad],AF$4)*AF$3</f>
        <v>0</v>
      </c>
      <c r="AG16" s="315">
        <f>+SUMIFS(Tabla1[Avance_Med],Tabla1[Fecha],"&gt;="&amp;$A16,Tabla1[Fecha],"&lt;="&amp;EOMONTH($A16,0),Tabla1[Codigo_actividad],AG$4)*AG$3</f>
        <v>0</v>
      </c>
      <c r="AH16" s="315">
        <f>+SUMIFS(Tabla1[Avance_Med],Tabla1[Fecha],"&gt;="&amp;$A16,Tabla1[Fecha],"&lt;="&amp;EOMONTH($A16,0),Tabla1[Codigo_actividad],AH$4)*AH$3</f>
        <v>0</v>
      </c>
      <c r="AI16" s="315">
        <f>+SUMIFS(Tabla1[Avance_Med],Tabla1[Fecha],"&gt;="&amp;$A16,Tabla1[Fecha],"&lt;="&amp;EOMONTH($A16,0),Tabla1[Codigo_actividad],AI$4)*AI$3</f>
        <v>0</v>
      </c>
      <c r="AJ16" s="315">
        <f>+SUMIFS(Tabla1[Avance_Med],Tabla1[Fecha],"&gt;="&amp;$A16,Tabla1[Fecha],"&lt;="&amp;EOMONTH($A16,0),Tabla1[Codigo_actividad],AJ$4)*AJ$3</f>
        <v>0</v>
      </c>
      <c r="AK16" s="315">
        <f>+SUMIFS(Tabla1[Avance_Med],Tabla1[Fecha],"&gt;="&amp;$A16,Tabla1[Fecha],"&lt;="&amp;EOMONTH($A16,0),Tabla1[Codigo_actividad],AK$4)*AK$3</f>
        <v>0</v>
      </c>
      <c r="AL16" s="315">
        <f>+SUMIFS(Tabla1[Avance_km],Tabla1[Fecha],"&gt;="&amp;$A16,Tabla1[Fecha],"&lt;="&amp;EOMONTH($A16,0),Tabla1[Codigo_actividad],AL$4)*AL$3</f>
        <v>0</v>
      </c>
      <c r="AM16" s="315">
        <f>+SUMIFS(Tabla1[Avance_Med],Tabla1[Fecha],"&gt;="&amp;$A16,Tabla1[Fecha],"&lt;="&amp;EOMONTH($A16,0),Tabla1[Codigo_actividad],AM$4)*AM$3</f>
        <v>0</v>
      </c>
      <c r="AN16" s="314"/>
      <c r="AO16" s="309">
        <f t="shared" si="0"/>
        <v>858026.86459999997</v>
      </c>
      <c r="AT16"/>
      <c r="AU16"/>
      <c r="AV16"/>
      <c r="AW16"/>
      <c r="AX16"/>
    </row>
    <row r="17" spans="1:52" x14ac:dyDescent="0.25">
      <c r="A17" s="228">
        <v>46296</v>
      </c>
      <c r="B17" s="315">
        <v>0</v>
      </c>
      <c r="C17" s="315">
        <f>+SUMIFS(Tabla1[Avance_Med],Tabla1[Fecha],"&gt;="&amp;$A17,Tabla1[Fecha],"&lt;="&amp;EOMONTH($A17,0),Tabla1[Codigo_actividad],C$4)*C$3</f>
        <v>0</v>
      </c>
      <c r="D17" s="315">
        <f>+SUMIFS(Tabla1[Avance_Med],Tabla1[Fecha],"&gt;="&amp;$A17,Tabla1[Fecha],"&lt;="&amp;EOMONTH($A17,0),Tabla1[Codigo_actividad],D$4)*D$3</f>
        <v>0</v>
      </c>
      <c r="E17" s="315">
        <f>+SUMIFS(Tabla1[Avance_Med],Tabla1[Fecha],"&gt;="&amp;$A17,Tabla1[Fecha],"&lt;="&amp;EOMONTH($A17,0),Tabla1[Codigo_actividad],E$4)*E$3</f>
        <v>0</v>
      </c>
      <c r="F17" s="315">
        <f>+SUMIFS(Tabla1[Avance_Med],Tabla1[Fecha],"&gt;="&amp;$A17,Tabla1[Fecha],"&lt;="&amp;EOMONTH($A17,0),Tabla1[Codigo_actividad],F$4)*F$3</f>
        <v>0</v>
      </c>
      <c r="G17" s="315">
        <f>+SUMIFS(Tabla1[Avance_Med],Tabla1[Fecha],"&gt;="&amp;$A17,Tabla1[Fecha],"&lt;="&amp;EOMONTH($A17,0),Tabla1[Codigo_actividad],G$4)*G$3</f>
        <v>0</v>
      </c>
      <c r="H17" s="315">
        <f>+SUMIFS(Tabla1[Avance_km],Tabla1[Fecha],"&gt;="&amp;$A17,Tabla1[Fecha],"&lt;="&amp;EOMONTH($A17,0),Tabla1[Codigo_actividad],H$4)*H$3</f>
        <v>212266.71067499998</v>
      </c>
      <c r="I17" s="315"/>
      <c r="J17" s="315">
        <f>+SUMIFS(Tabla1[Avance_km],Tabla1[Fecha],"&gt;="&amp;$A17,Tabla1[Fecha],"&lt;="&amp;EOMONTH($A17,0),Tabla1[Codigo_actividad],J$4,Tabla1[Avance_km],"&gt;0")*J$3</f>
        <v>22021.120934999992</v>
      </c>
      <c r="K17" s="315">
        <f>SUMIFS(Tabla1[Avance_km],Tabla1[Fecha],"&gt;="&amp;$A17,Tabla1[Fecha],"&lt;="&amp;EOMONTH($A17,0),Tabla1[Codigo_actividad],K$4,Tabla1[Avance_km],"&gt;0")*K$3</f>
        <v>503577.60000000003</v>
      </c>
      <c r="L17" s="315">
        <f>+SUMIFS(Tabla1[Avance_Med],Tabla1[Fecha],"&gt;="&amp;$A17,Tabla1[Fecha],"&lt;="&amp;EOMONTH($A17,0),Tabla1[Codigo_actividad],L$4)*L$3</f>
        <v>0</v>
      </c>
      <c r="M17" s="315">
        <f>+SUMIFS(Tabla1[Avance_km],Tabla1[Fecha],"&gt;="&amp;$A17,Tabla1[Fecha],"&lt;="&amp;EOMONTH($A17,0),Tabla1[Codigo_actividad],M$4)*M$3</f>
        <v>3667.1787899999986</v>
      </c>
      <c r="N17" s="315">
        <f>+SUMIFS(Tabla1[Avance_Med],Tabla1[Fecha],"&gt;="&amp;$A17,Tabla1[Fecha],"&lt;="&amp;EOMONTH($A17,0),Tabla1[Codigo_actividad],N$4)*N$3</f>
        <v>0</v>
      </c>
      <c r="O17" s="315">
        <f>+SUMIFS(Tabla1[Avance_Med],Tabla1[Fecha],"&gt;="&amp;$A17,Tabla1[Fecha],"&lt;="&amp;EOMONTH($A17,0),Tabla1[Codigo_actividad],O$4)*O$3</f>
        <v>0</v>
      </c>
      <c r="P17" s="315">
        <f>+SUMIFS(Tabla1[Avance_Med],Tabla1[Fecha],"&gt;="&amp;$A17,Tabla1[Fecha],"&lt;="&amp;EOMONTH($A17,0),Tabla1[Codigo_actividad],P$4)*P$3</f>
        <v>0</v>
      </c>
      <c r="Q17" s="315">
        <f>+SUMIFS(Tabla1[Avance_Med],Tabla1[Fecha],"&gt;="&amp;$A17,Tabla1[Fecha],"&lt;="&amp;EOMONTH($A17,0),Tabla1[Codigo_actividad],Q$4)*Q$3</f>
        <v>30343.96</v>
      </c>
      <c r="R17" s="315">
        <f>+SUMIFS(Tabla1[Avance_Med],Tabla1[Fecha],"&gt;="&amp;$A17,Tabla1[Fecha],"&lt;="&amp;EOMONTH($A17,0),Tabla1[Codigo_actividad],R$4)*R$3</f>
        <v>8827.9499999999989</v>
      </c>
      <c r="S17" s="315">
        <f>+SUMIFS(Tabla1[Avance_Med],Tabla1[Fecha],"&gt;="&amp;$A17,Tabla1[Fecha],"&lt;="&amp;EOMONTH($A17,0),Tabla1[Codigo_actividad],S$4)*S$3</f>
        <v>9672.9499999999989</v>
      </c>
      <c r="T17" s="315">
        <f>+SUMIFS(Tabla1[Avance_Med],Tabla1[Fecha],"&gt;="&amp;$A17,Tabla1[Fecha],"&lt;="&amp;EOMONTH($A17,0),Tabla1[Codigo_actividad],T$4)*T$3</f>
        <v>9802.9499999999989</v>
      </c>
      <c r="U17" s="315">
        <f>+SUMIFS(Tabla1[Avance_Med],Tabla1[Fecha],"&gt;="&amp;$A17,Tabla1[Fecha],"&lt;="&amp;EOMONTH($A17,0),Tabla1[Codigo_actividad],U$4)*U$3</f>
        <v>0</v>
      </c>
      <c r="V17" s="315">
        <f>+SUMIFS(Tabla1[Avance_Med],Tabla1[Fecha],"&gt;="&amp;$A17,Tabla1[Fecha],"&lt;="&amp;EOMONTH($A17,0),Tabla1[Codigo_actividad],V$4)*V$3</f>
        <v>11102.95</v>
      </c>
      <c r="W17" s="315">
        <f>+SUMIFS(Tabla1[Avance_Med],Tabla1[Fecha],"&gt;="&amp;$A17,Tabla1[Fecha],"&lt;="&amp;EOMONTH($A17,0),Tabla1[Codigo_actividad],W$4)*W$3</f>
        <v>0</v>
      </c>
      <c r="X17" s="315">
        <f>+SUMIFS(Tabla1[Avance_Med],Tabla1[Fecha],"&gt;="&amp;$A17,Tabla1[Fecha],"&lt;="&amp;EOMONTH($A17,0),Tabla1[Codigo_actividad],X$4)*X$3</f>
        <v>0</v>
      </c>
      <c r="Y17" s="315">
        <f>+SUMIFS(Tabla1[Avance_Med],Tabla1[Fecha],"&gt;="&amp;$A17,Tabla1[Fecha],"&lt;="&amp;EOMONTH($A17,0),Tabla1[Codigo_actividad],Y$4)*Y$3</f>
        <v>2624</v>
      </c>
      <c r="Z17" s="315">
        <f>+SUMIFS(Tabla1[Avance_Med],Tabla1[Fecha],"&gt;="&amp;$A17,Tabla1[Fecha],"&lt;="&amp;EOMONTH($A17,0),Tabla1[Codigo_actividad],Z$4)*Z$3</f>
        <v>18704</v>
      </c>
      <c r="AA17" s="315">
        <f>+SUMIFS(Tabla1[Avance_Med],Tabla1[Fecha],"&gt;="&amp;$A17,Tabla1[Fecha],"&lt;="&amp;EOMONTH($A17,0),Tabla1[Codigo_actividad],AA$4)*AA$3</f>
        <v>0</v>
      </c>
      <c r="AB17" s="315">
        <f>+SUMIFS(Tabla1[Avance_Med],Tabla1[Fecha],"&gt;="&amp;$A17,Tabla1[Fecha],"&lt;="&amp;EOMONTH($A17,0),Tabla1[Codigo_actividad],AB$4)*AB$3</f>
        <v>0</v>
      </c>
      <c r="AC17" s="315">
        <f>+SUMIFS(Tabla1[Avance_Med],Tabla1[Fecha],"&gt;="&amp;$A17,Tabla1[Fecha],"&lt;="&amp;EOMONTH($A17,0),Tabla1[Codigo_actividad],AC$4)*AC$3</f>
        <v>0</v>
      </c>
      <c r="AD17" s="315">
        <f>+SUMIFS(Tabla1[Avance_Med],Tabla1[Fecha],"&gt;="&amp;$A17,Tabla1[Fecha],"&lt;="&amp;EOMONTH($A17,0),Tabla1[Codigo_actividad],AD$4)*AD$3</f>
        <v>0</v>
      </c>
      <c r="AE17" s="315">
        <f>+SUMIFS(Tabla1[Avance_Med],Tabla1[Fecha],"&gt;="&amp;$A17,Tabla1[Fecha],"&lt;="&amp;EOMONTH($A17,0),Tabla1[Codigo_actividad],AE$4)*AE$3</f>
        <v>0</v>
      </c>
      <c r="AF17" s="315">
        <f>+SUMIFS(Tabla1[Avance_Med],Tabla1[Fecha],"&gt;="&amp;$A17,Tabla1[Fecha],"&lt;="&amp;EOMONTH($A17,0),Tabla1[Codigo_actividad],AF$4)*AF$3</f>
        <v>0</v>
      </c>
      <c r="AG17" s="315">
        <f>+SUMIFS(Tabla1[Avance_Med],Tabla1[Fecha],"&gt;="&amp;$A17,Tabla1[Fecha],"&lt;="&amp;EOMONTH($A17,0),Tabla1[Codigo_actividad],AG$4)*AG$3</f>
        <v>0</v>
      </c>
      <c r="AH17" s="315">
        <f>+SUMIFS(Tabla1[Avance_Med],Tabla1[Fecha],"&gt;="&amp;$A17,Tabla1[Fecha],"&lt;="&amp;EOMONTH($A17,0),Tabla1[Codigo_actividad],AH$4)*AH$3</f>
        <v>0</v>
      </c>
      <c r="AI17" s="315">
        <f>+SUMIFS(Tabla1[Avance_Med],Tabla1[Fecha],"&gt;="&amp;$A17,Tabla1[Fecha],"&lt;="&amp;EOMONTH($A17,0),Tabla1[Codigo_actividad],AI$4)*AI$3</f>
        <v>0</v>
      </c>
      <c r="AJ17" s="315">
        <f>+SUMIFS(Tabla1[Avance_Med],Tabla1[Fecha],"&gt;="&amp;$A17,Tabla1[Fecha],"&lt;="&amp;EOMONTH($A17,0),Tabla1[Codigo_actividad],AJ$4)*AJ$3</f>
        <v>0</v>
      </c>
      <c r="AK17" s="315">
        <f>+SUMIFS(Tabla1[Avance_Med],Tabla1[Fecha],"&gt;="&amp;$A17,Tabla1[Fecha],"&lt;="&amp;EOMONTH($A17,0),Tabla1[Codigo_actividad],AK$4)*AK$3</f>
        <v>0</v>
      </c>
      <c r="AL17" s="315">
        <f>+SUMIFS(Tabla1[Avance_km],Tabla1[Fecha],"&gt;="&amp;$A17,Tabla1[Fecha],"&lt;="&amp;EOMONTH($A17,0),Tabla1[Codigo_actividad],AL$4)*AL$3</f>
        <v>0</v>
      </c>
      <c r="AM17" s="315">
        <f>+SUMIFS(Tabla1[Avance_Med],Tabla1[Fecha],"&gt;="&amp;$A17,Tabla1[Fecha],"&lt;="&amp;EOMONTH($A17,0),Tabla1[Codigo_actividad],AM$4)*AM$3</f>
        <v>0</v>
      </c>
      <c r="AN17" s="314"/>
      <c r="AO17" s="309">
        <f t="shared" ref="AO17:AO19" si="1">SUM(B17:AN17)</f>
        <v>832611.37039999978</v>
      </c>
      <c r="AT17"/>
      <c r="AU17"/>
      <c r="AV17"/>
      <c r="AW17"/>
      <c r="AX17"/>
    </row>
    <row r="18" spans="1:52" x14ac:dyDescent="0.25">
      <c r="A18" s="228">
        <v>46327</v>
      </c>
      <c r="B18" s="315">
        <v>0</v>
      </c>
      <c r="C18" s="315">
        <f>+SUMIFS(Tabla1[Avance_Med],Tabla1[Fecha],"&gt;="&amp;$A18,Tabla1[Fecha],"&lt;="&amp;EOMONTH($A18,0),Tabla1[Codigo_actividad],C$4)*C$3</f>
        <v>0</v>
      </c>
      <c r="D18" s="315">
        <f>+SUMIFS(Tabla1[Avance_Med],Tabla1[Fecha],"&gt;="&amp;$A18,Tabla1[Fecha],"&lt;="&amp;EOMONTH($A18,0),Tabla1[Codigo_actividad],D$4)*D$3</f>
        <v>0</v>
      </c>
      <c r="E18" s="315">
        <f>+SUMIFS(Tabla1[Avance_Med],Tabla1[Fecha],"&gt;="&amp;$A18,Tabla1[Fecha],"&lt;="&amp;EOMONTH($A18,0),Tabla1[Codigo_actividad],E$4)*E$3</f>
        <v>0</v>
      </c>
      <c r="F18" s="315">
        <f>+SUMIFS(Tabla1[Avance_Med],Tabla1[Fecha],"&gt;="&amp;$A18,Tabla1[Fecha],"&lt;="&amp;EOMONTH($A18,0),Tabla1[Codigo_actividad],F$4)*F$3</f>
        <v>0</v>
      </c>
      <c r="G18" s="315">
        <f>+SUMIFS(Tabla1[Avance_Med],Tabla1[Fecha],"&gt;="&amp;$A18,Tabla1[Fecha],"&lt;="&amp;EOMONTH($A18,0),Tabla1[Codigo_actividad],G$4)*G$3</f>
        <v>0</v>
      </c>
      <c r="H18" s="315">
        <f>+SUMIFS(Tabla1[Avance_km],Tabla1[Fecha],"&gt;="&amp;$A18,Tabla1[Fecha],"&lt;="&amp;EOMONTH($A18,0),Tabla1[Codigo_actividad],H$4)*H$3</f>
        <v>0</v>
      </c>
      <c r="I18" s="315"/>
      <c r="J18" s="315">
        <f>+SUMIFS(Tabla1[Avance_km],Tabla1[Fecha],"&gt;="&amp;$A18,Tabla1[Fecha],"&lt;="&amp;EOMONTH($A18,0),Tabla1[Codigo_actividad],J$4,Tabla1[Avance_km],"&gt;0")*J$3</f>
        <v>0</v>
      </c>
      <c r="K18" s="315">
        <f>SUMIFS(Tabla1[Avance_km],Tabla1[Fecha],"&gt;="&amp;$A18,Tabla1[Fecha],"&lt;="&amp;EOMONTH($A18,0),Tabla1[Codigo_actividad],K$4,Tabla1[Avance_km],"&gt;0")*K$3</f>
        <v>0</v>
      </c>
      <c r="L18" s="315">
        <f>+SUMIFS(Tabla1[Avance_Med],Tabla1[Fecha],"&gt;="&amp;$A18,Tabla1[Fecha],"&lt;="&amp;EOMONTH($A18,0),Tabla1[Codigo_actividad],L$4)*L$3</f>
        <v>0</v>
      </c>
      <c r="M18" s="315">
        <f>+SUMIFS(Tabla1[Avance_km],Tabla1[Fecha],"&gt;="&amp;$A18,Tabla1[Fecha],"&lt;="&amp;EOMONTH($A18,0),Tabla1[Codigo_actividad],M$4)*M$3</f>
        <v>0</v>
      </c>
      <c r="N18" s="315">
        <f>+SUMIFS(Tabla1[Avance_Med],Tabla1[Fecha],"&gt;="&amp;$A18,Tabla1[Fecha],"&lt;="&amp;EOMONTH($A18,0),Tabla1[Codigo_actividad],N$4)*N$3</f>
        <v>0</v>
      </c>
      <c r="O18" s="315">
        <f>+SUMIFS(Tabla1[Avance_Med],Tabla1[Fecha],"&gt;="&amp;$A18,Tabla1[Fecha],"&lt;="&amp;EOMONTH($A18,0),Tabla1[Codigo_actividad],O$4)*O$3</f>
        <v>0</v>
      </c>
      <c r="P18" s="315">
        <f>+SUMIFS(Tabla1[Avance_Med],Tabla1[Fecha],"&gt;="&amp;$A18,Tabla1[Fecha],"&lt;="&amp;EOMONTH($A18,0),Tabla1[Codigo_actividad],P$4)*P$3</f>
        <v>0</v>
      </c>
      <c r="Q18" s="315">
        <f>+SUMIFS(Tabla1[Avance_Med],Tabla1[Fecha],"&gt;="&amp;$A18,Tabla1[Fecha],"&lt;="&amp;EOMONTH($A18,0),Tabla1[Codigo_actividad],Q$4)*Q$3</f>
        <v>0</v>
      </c>
      <c r="R18" s="315">
        <f>+SUMIFS(Tabla1[Avance_Med],Tabla1[Fecha],"&gt;="&amp;$A18,Tabla1[Fecha],"&lt;="&amp;EOMONTH($A18,0),Tabla1[Codigo_actividad],R$4)*R$3</f>
        <v>0</v>
      </c>
      <c r="S18" s="315">
        <f>+SUMIFS(Tabla1[Avance_Med],Tabla1[Fecha],"&gt;="&amp;$A18,Tabla1[Fecha],"&lt;="&amp;EOMONTH($A18,0),Tabla1[Codigo_actividad],S$4)*S$3</f>
        <v>0</v>
      </c>
      <c r="T18" s="315">
        <f>+SUMIFS(Tabla1[Avance_Med],Tabla1[Fecha],"&gt;="&amp;$A18,Tabla1[Fecha],"&lt;="&amp;EOMONTH($A18,0),Tabla1[Codigo_actividad],T$4)*T$3</f>
        <v>0</v>
      </c>
      <c r="U18" s="315">
        <f>+SUMIFS(Tabla1[Avance_Med],Tabla1[Fecha],"&gt;="&amp;$A18,Tabla1[Fecha],"&lt;="&amp;EOMONTH($A18,0),Tabla1[Codigo_actividad],U$4)*U$3</f>
        <v>0</v>
      </c>
      <c r="V18" s="315">
        <f>+SUMIFS(Tabla1[Avance_Med],Tabla1[Fecha],"&gt;="&amp;$A18,Tabla1[Fecha],"&lt;="&amp;EOMONTH($A18,0),Tabla1[Codigo_actividad],V$4)*V$3</f>
        <v>0</v>
      </c>
      <c r="W18" s="315">
        <f>+SUMIFS(Tabla1[Avance_Med],Tabla1[Fecha],"&gt;="&amp;$A18,Tabla1[Fecha],"&lt;="&amp;EOMONTH($A18,0),Tabla1[Codigo_actividad],W$4)*W$3</f>
        <v>0</v>
      </c>
      <c r="X18" s="315">
        <f>+SUMIFS(Tabla1[Avance_Med],Tabla1[Fecha],"&gt;="&amp;$A18,Tabla1[Fecha],"&lt;="&amp;EOMONTH($A18,0),Tabla1[Codigo_actividad],X$4)*X$3</f>
        <v>0</v>
      </c>
      <c r="Y18" s="315">
        <f>+SUMIFS(Tabla1[Avance_Med],Tabla1[Fecha],"&gt;="&amp;$A18,Tabla1[Fecha],"&lt;="&amp;EOMONTH($A18,0),Tabla1[Codigo_actividad],Y$4)*Y$3</f>
        <v>0</v>
      </c>
      <c r="Z18" s="315">
        <f>+SUMIFS(Tabla1[Avance_Med],Tabla1[Fecha],"&gt;="&amp;$A18,Tabla1[Fecha],"&lt;="&amp;EOMONTH($A18,0),Tabla1[Codigo_actividad],Z$4)*Z$3</f>
        <v>0</v>
      </c>
      <c r="AA18" s="315">
        <f>+SUMIFS(Tabla1[Avance_Med],Tabla1[Fecha],"&gt;="&amp;$A18,Tabla1[Fecha],"&lt;="&amp;EOMONTH($A18,0),Tabla1[Codigo_actividad],AA$4)*AA$3</f>
        <v>0</v>
      </c>
      <c r="AB18" s="315">
        <f>+SUMIFS(Tabla1[Avance_Med],Tabla1[Fecha],"&gt;="&amp;$A18,Tabla1[Fecha],"&lt;="&amp;EOMONTH($A18,0),Tabla1[Codigo_actividad],AB$4)*AB$3</f>
        <v>0</v>
      </c>
      <c r="AC18" s="315">
        <f>+SUMIFS(Tabla1[Avance_Med],Tabla1[Fecha],"&gt;="&amp;$A18,Tabla1[Fecha],"&lt;="&amp;EOMONTH($A18,0),Tabla1[Codigo_actividad],AC$4)*AC$3</f>
        <v>0</v>
      </c>
      <c r="AD18" s="315">
        <f>+SUMIFS(Tabla1[Avance_Med],Tabla1[Fecha],"&gt;="&amp;$A18,Tabla1[Fecha],"&lt;="&amp;EOMONTH($A18,0),Tabla1[Codigo_actividad],AD$4)*AD$3</f>
        <v>0</v>
      </c>
      <c r="AE18" s="315">
        <f>+SUMIFS(Tabla1[Avance_Med],Tabla1[Fecha],"&gt;="&amp;$A18,Tabla1[Fecha],"&lt;="&amp;EOMONTH($A18,0),Tabla1[Codigo_actividad],AE$4)*AE$3</f>
        <v>0</v>
      </c>
      <c r="AF18" s="315">
        <f>+SUMIFS(Tabla1[Avance_Med],Tabla1[Fecha],"&gt;="&amp;$A18,Tabla1[Fecha],"&lt;="&amp;EOMONTH($A18,0),Tabla1[Codigo_actividad],AF$4)*AF$3</f>
        <v>0</v>
      </c>
      <c r="AG18" s="315">
        <f>+SUMIFS(Tabla1[Avance_Med],Tabla1[Fecha],"&gt;="&amp;$A18,Tabla1[Fecha],"&lt;="&amp;EOMONTH($A18,0),Tabla1[Codigo_actividad],AG$4)*AG$3</f>
        <v>0</v>
      </c>
      <c r="AH18" s="315">
        <f>+SUMIFS(Tabla1[Avance_Med],Tabla1[Fecha],"&gt;="&amp;$A18,Tabla1[Fecha],"&lt;="&amp;EOMONTH($A18,0),Tabla1[Codigo_actividad],AH$4)*AH$3</f>
        <v>0</v>
      </c>
      <c r="AI18" s="315">
        <f>+SUMIFS(Tabla1[Avance_Med],Tabla1[Fecha],"&gt;="&amp;$A18,Tabla1[Fecha],"&lt;="&amp;EOMONTH($A18,0),Tabla1[Codigo_actividad],AI$4)*AI$3</f>
        <v>0</v>
      </c>
      <c r="AJ18" s="315">
        <f>+SUMIFS(Tabla1[Avance_Med],Tabla1[Fecha],"&gt;="&amp;$A18,Tabla1[Fecha],"&lt;="&amp;EOMONTH($A18,0),Tabla1[Codigo_actividad],AJ$4)*AJ$3</f>
        <v>0</v>
      </c>
      <c r="AK18" s="315">
        <f>+SUMIFS(Tabla1[Avance_Med],Tabla1[Fecha],"&gt;="&amp;$A18,Tabla1[Fecha],"&lt;="&amp;EOMONTH($A18,0),Tabla1[Codigo_actividad],AK$4)*AK$3</f>
        <v>0</v>
      </c>
      <c r="AL18" s="315">
        <f>+SUMIFS(Tabla1[Avance_km],Tabla1[Fecha],"&gt;="&amp;$A18,Tabla1[Fecha],"&lt;="&amp;EOMONTH($A18,0),Tabla1[Codigo_actividad],AL$4)*AL$3</f>
        <v>0</v>
      </c>
      <c r="AM18" s="315">
        <f>+SUMIFS(Tabla1[Avance_Med],Tabla1[Fecha],"&gt;="&amp;$A18,Tabla1[Fecha],"&lt;="&amp;EOMONTH($A18,0),Tabla1[Codigo_actividad],AM$4)*AM$3</f>
        <v>0</v>
      </c>
      <c r="AN18" s="314"/>
      <c r="AO18" s="309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5">
        <v>0</v>
      </c>
      <c r="C19" s="315">
        <f>+SUMIFS(Tabla1[Avance_Med],Tabla1[Fecha],"&gt;="&amp;$A19,Tabla1[Fecha],"&lt;="&amp;EOMONTH($A19,0),Tabla1[Codigo_actividad],C$4)*C$3</f>
        <v>0</v>
      </c>
      <c r="D19" s="315">
        <f>+SUMIFS(Tabla1[Avance_Med],Tabla1[Fecha],"&gt;="&amp;$A19,Tabla1[Fecha],"&lt;="&amp;EOMONTH($A19,0),Tabla1[Codigo_actividad],D$4)*D$3</f>
        <v>0</v>
      </c>
      <c r="E19" s="315">
        <f>+SUMIFS(Tabla1[Avance_Med],Tabla1[Fecha],"&gt;="&amp;$A19,Tabla1[Fecha],"&lt;="&amp;EOMONTH($A19,0),Tabla1[Codigo_actividad],E$4)*E$3</f>
        <v>0</v>
      </c>
      <c r="F19" s="315">
        <f>+SUMIFS(Tabla1[Avance_Med],Tabla1[Fecha],"&gt;="&amp;$A19,Tabla1[Fecha],"&lt;="&amp;EOMONTH($A19,0),Tabla1[Codigo_actividad],F$4)*F$3</f>
        <v>0</v>
      </c>
      <c r="G19" s="315">
        <f>+SUMIFS(Tabla1[Avance_Med],Tabla1[Fecha],"&gt;="&amp;$A19,Tabla1[Fecha],"&lt;="&amp;EOMONTH($A19,0),Tabla1[Codigo_actividad],G$4)*G$3</f>
        <v>0</v>
      </c>
      <c r="H19" s="315">
        <f>+SUMIFS(Tabla1[Avance_km],Tabla1[Fecha],"&gt;="&amp;$A19,Tabla1[Fecha],"&lt;="&amp;EOMONTH($A19,0),Tabla1[Codigo_actividad],H$4)*H$3</f>
        <v>0</v>
      </c>
      <c r="I19" s="315"/>
      <c r="J19" s="315">
        <f>+SUMIFS(Tabla1[Avance_km],Tabla1[Fecha],"&gt;="&amp;$A19,Tabla1[Fecha],"&lt;="&amp;EOMONTH($A19,0),Tabla1[Codigo_actividad],J$4,Tabla1[Avance_km],"&gt;0")*J$3</f>
        <v>0</v>
      </c>
      <c r="K19" s="315">
        <f>SUMIFS(Tabla1[Avance_km],Tabla1[Fecha],"&gt;="&amp;$A19,Tabla1[Fecha],"&lt;="&amp;EOMONTH($A19,0),Tabla1[Codigo_actividad],K$4,Tabla1[Avance_km],"&gt;0")*K$3</f>
        <v>0</v>
      </c>
      <c r="L19" s="315">
        <f>+SUMIFS(Tabla1[Avance_Med],Tabla1[Fecha],"&gt;="&amp;$A19,Tabla1[Fecha],"&lt;="&amp;EOMONTH($A19,0),Tabla1[Codigo_actividad],L$4)*L$3</f>
        <v>0</v>
      </c>
      <c r="M19" s="315">
        <f>+SUMIFS(Tabla1[Avance_km],Tabla1[Fecha],"&gt;="&amp;$A19,Tabla1[Fecha],"&lt;="&amp;EOMONTH($A19,0),Tabla1[Codigo_actividad],M$4)*M$3</f>
        <v>0</v>
      </c>
      <c r="N19" s="315">
        <f>+SUMIFS(Tabla1[Avance_Med],Tabla1[Fecha],"&gt;="&amp;$A19,Tabla1[Fecha],"&lt;="&amp;EOMONTH($A19,0),Tabla1[Codigo_actividad],N$4)*N$3</f>
        <v>0</v>
      </c>
      <c r="O19" s="315">
        <f>+SUMIFS(Tabla1[Avance_Med],Tabla1[Fecha],"&gt;="&amp;$A19,Tabla1[Fecha],"&lt;="&amp;EOMONTH($A19,0),Tabla1[Codigo_actividad],O$4)*O$3</f>
        <v>0</v>
      </c>
      <c r="P19" s="315">
        <f>+SUMIFS(Tabla1[Avance_Med],Tabla1[Fecha],"&gt;="&amp;$A19,Tabla1[Fecha],"&lt;="&amp;EOMONTH($A19,0),Tabla1[Codigo_actividad],P$4)*P$3</f>
        <v>0</v>
      </c>
      <c r="Q19" s="315">
        <f>+SUMIFS(Tabla1[Avance_Med],Tabla1[Fecha],"&gt;="&amp;$A19,Tabla1[Fecha],"&lt;="&amp;EOMONTH($A19,0),Tabla1[Codigo_actividad],Q$4)*Q$3</f>
        <v>0</v>
      </c>
      <c r="R19" s="315">
        <f>+SUMIFS(Tabla1[Avance_Med],Tabla1[Fecha],"&gt;="&amp;$A19,Tabla1[Fecha],"&lt;="&amp;EOMONTH($A19,0),Tabla1[Codigo_actividad],R$4)*R$3</f>
        <v>0</v>
      </c>
      <c r="S19" s="315">
        <f>+SUMIFS(Tabla1[Avance_Med],Tabla1[Fecha],"&gt;="&amp;$A19,Tabla1[Fecha],"&lt;="&amp;EOMONTH($A19,0),Tabla1[Codigo_actividad],S$4)*S$3</f>
        <v>0</v>
      </c>
      <c r="T19" s="315">
        <f>+SUMIFS(Tabla1[Avance_Med],Tabla1[Fecha],"&gt;="&amp;$A19,Tabla1[Fecha],"&lt;="&amp;EOMONTH($A19,0),Tabla1[Codigo_actividad],T$4)*T$3</f>
        <v>0</v>
      </c>
      <c r="U19" s="315">
        <f>+SUMIFS(Tabla1[Avance_Med],Tabla1[Fecha],"&gt;="&amp;$A19,Tabla1[Fecha],"&lt;="&amp;EOMONTH($A19,0),Tabla1[Codigo_actividad],U$4)*U$3</f>
        <v>0</v>
      </c>
      <c r="V19" s="315">
        <f>+SUMIFS(Tabla1[Avance_Med],Tabla1[Fecha],"&gt;="&amp;$A19,Tabla1[Fecha],"&lt;="&amp;EOMONTH($A19,0),Tabla1[Codigo_actividad],V$4)*V$3</f>
        <v>0</v>
      </c>
      <c r="W19" s="315">
        <f>+SUMIFS(Tabla1[Avance_Med],Tabla1[Fecha],"&gt;="&amp;$A19,Tabla1[Fecha],"&lt;="&amp;EOMONTH($A19,0),Tabla1[Codigo_actividad],W$4)*W$3</f>
        <v>0</v>
      </c>
      <c r="X19" s="315">
        <f>+SUMIFS(Tabla1[Avance_Med],Tabla1[Fecha],"&gt;="&amp;$A19,Tabla1[Fecha],"&lt;="&amp;EOMONTH($A19,0),Tabla1[Codigo_actividad],X$4)*X$3</f>
        <v>0</v>
      </c>
      <c r="Y19" s="315">
        <f>+SUMIFS(Tabla1[Avance_Med],Tabla1[Fecha],"&gt;="&amp;$A19,Tabla1[Fecha],"&lt;="&amp;EOMONTH($A19,0),Tabla1[Codigo_actividad],Y$4)*Y$3</f>
        <v>0</v>
      </c>
      <c r="Z19" s="315">
        <f>+SUMIFS(Tabla1[Avance_Med],Tabla1[Fecha],"&gt;="&amp;$A19,Tabla1[Fecha],"&lt;="&amp;EOMONTH($A19,0),Tabla1[Codigo_actividad],Z$4)*Z$3</f>
        <v>0</v>
      </c>
      <c r="AA19" s="315">
        <f>+SUMIFS(Tabla1[Avance_Med],Tabla1[Fecha],"&gt;="&amp;$A19,Tabla1[Fecha],"&lt;="&amp;EOMONTH($A19,0),Tabla1[Codigo_actividad],AA$4)*AA$3</f>
        <v>0</v>
      </c>
      <c r="AB19" s="315">
        <f>+SUMIFS(Tabla1[Avance_Med],Tabla1[Fecha],"&gt;="&amp;$A19,Tabla1[Fecha],"&lt;="&amp;EOMONTH($A19,0),Tabla1[Codigo_actividad],AB$4)*AB$3</f>
        <v>0</v>
      </c>
      <c r="AC19" s="315">
        <f>+SUMIFS(Tabla1[Avance_Med],Tabla1[Fecha],"&gt;="&amp;$A19,Tabla1[Fecha],"&lt;="&amp;EOMONTH($A19,0),Tabla1[Codigo_actividad],AC$4)*AC$3</f>
        <v>0</v>
      </c>
      <c r="AD19" s="315">
        <f>+SUMIFS(Tabla1[Avance_Med],Tabla1[Fecha],"&gt;="&amp;$A19,Tabla1[Fecha],"&lt;="&amp;EOMONTH($A19,0),Tabla1[Codigo_actividad],AD$4)*AD$3</f>
        <v>0</v>
      </c>
      <c r="AE19" s="315">
        <f>+SUMIFS(Tabla1[Avance_Med],Tabla1[Fecha],"&gt;="&amp;$A19,Tabla1[Fecha],"&lt;="&amp;EOMONTH($A19,0),Tabla1[Codigo_actividad],AE$4)*AE$3</f>
        <v>0</v>
      </c>
      <c r="AF19" s="315">
        <f>+SUMIFS(Tabla1[Avance_Med],Tabla1[Fecha],"&gt;="&amp;$A19,Tabla1[Fecha],"&lt;="&amp;EOMONTH($A19,0),Tabla1[Codigo_actividad],AF$4)*AF$3</f>
        <v>0</v>
      </c>
      <c r="AG19" s="315">
        <f>+SUMIFS(Tabla1[Avance_Med],Tabla1[Fecha],"&gt;="&amp;$A19,Tabla1[Fecha],"&lt;="&amp;EOMONTH($A19,0),Tabla1[Codigo_actividad],AG$4)*AG$3</f>
        <v>0</v>
      </c>
      <c r="AH19" s="315">
        <f>+SUMIFS(Tabla1[Avance_Med],Tabla1[Fecha],"&gt;="&amp;$A19,Tabla1[Fecha],"&lt;="&amp;EOMONTH($A19,0),Tabla1[Codigo_actividad],AH$4)*AH$3</f>
        <v>0</v>
      </c>
      <c r="AI19" s="315">
        <f>+SUMIFS(Tabla1[Avance_Med],Tabla1[Fecha],"&gt;="&amp;$A19,Tabla1[Fecha],"&lt;="&amp;EOMONTH($A19,0),Tabla1[Codigo_actividad],AI$4)*AI$3</f>
        <v>0</v>
      </c>
      <c r="AJ19" s="315">
        <f>+SUMIFS(Tabla1[Avance_Med],Tabla1[Fecha],"&gt;="&amp;$A19,Tabla1[Fecha],"&lt;="&amp;EOMONTH($A19,0),Tabla1[Codigo_actividad],AJ$4)*AJ$3</f>
        <v>0</v>
      </c>
      <c r="AK19" s="315">
        <f>+SUMIFS(Tabla1[Avance_Med],Tabla1[Fecha],"&gt;="&amp;$A19,Tabla1[Fecha],"&lt;="&amp;EOMONTH($A19,0),Tabla1[Codigo_actividad],AK$4)*AK$3</f>
        <v>0</v>
      </c>
      <c r="AL19" s="315">
        <f>+SUMIFS(Tabla1[Avance_km],Tabla1[Fecha],"&gt;="&amp;$A19,Tabla1[Fecha],"&lt;="&amp;EOMONTH($A19,0),Tabla1[Codigo_actividad],AL$4)*AL$3</f>
        <v>0</v>
      </c>
      <c r="AM19" s="315">
        <f>+SUMIFS(Tabla1[Avance_Med],Tabla1[Fecha],"&gt;="&amp;$A19,Tabla1[Fecha],"&lt;="&amp;EOMONTH($A19,0),Tabla1[Codigo_actividad],AM$4)*AM$3</f>
        <v>0</v>
      </c>
      <c r="AN19" s="314"/>
      <c r="AO19" s="309">
        <f t="shared" si="1"/>
        <v>0</v>
      </c>
      <c r="AT19"/>
      <c r="AU19"/>
      <c r="AV19"/>
      <c r="AW19"/>
      <c r="AX19"/>
    </row>
    <row r="20" spans="1:52" x14ac:dyDescent="0.25">
      <c r="A20" t="s">
        <v>438</v>
      </c>
      <c r="B20"/>
      <c r="C20"/>
      <c r="D20"/>
      <c r="E20"/>
      <c r="F20"/>
      <c r="G20"/>
      <c r="H20"/>
      <c r="I20"/>
      <c r="AO20" s="310">
        <f>SUM(AO5:AO19)+AO25</f>
        <v>-2749497.3526999983</v>
      </c>
      <c r="AQ20" s="414">
        <f>+AO20/AO5</f>
        <v>0.24630624419923364</v>
      </c>
      <c r="AT20"/>
      <c r="AU20"/>
      <c r="AV20"/>
      <c r="AW20"/>
      <c r="AX20"/>
    </row>
    <row r="21" spans="1:52" x14ac:dyDescent="0.25">
      <c r="A21"/>
      <c r="B21" s="311">
        <f>SUM(B6:B19)</f>
        <v>0</v>
      </c>
      <c r="C21" s="311">
        <f t="shared" ref="C21:AM21" si="2">SUM(C6:C19)</f>
        <v>0</v>
      </c>
      <c r="D21" s="311">
        <f t="shared" si="2"/>
        <v>0</v>
      </c>
      <c r="E21" s="311">
        <f t="shared" si="2"/>
        <v>0</v>
      </c>
      <c r="F21" s="311">
        <f t="shared" si="2"/>
        <v>0</v>
      </c>
      <c r="G21" s="311">
        <f t="shared" si="2"/>
        <v>0</v>
      </c>
      <c r="H21" s="439">
        <f>SUM(H6:H19)</f>
        <v>2620032.6599550005</v>
      </c>
      <c r="I21" s="312">
        <f t="shared" si="2"/>
        <v>0</v>
      </c>
      <c r="J21" s="439">
        <f t="shared" si="2"/>
        <v>2037743.3019349999</v>
      </c>
      <c r="K21" s="311">
        <f t="shared" si="2"/>
        <v>1186522.17</v>
      </c>
      <c r="L21" s="311">
        <f t="shared" si="2"/>
        <v>1844568</v>
      </c>
      <c r="M21" s="439">
        <f t="shared" si="2"/>
        <v>410591.96541</v>
      </c>
      <c r="N21" s="311">
        <f t="shared" si="2"/>
        <v>0</v>
      </c>
      <c r="O21" s="311">
        <f t="shared" si="2"/>
        <v>0</v>
      </c>
      <c r="P21" s="311">
        <f t="shared" si="2"/>
        <v>0</v>
      </c>
      <c r="Q21" s="311">
        <f t="shared" si="2"/>
        <v>106203.85999999999</v>
      </c>
      <c r="R21" s="311">
        <f t="shared" si="2"/>
        <v>26483.85</v>
      </c>
      <c r="S21" s="311">
        <f t="shared" si="2"/>
        <v>29018.85</v>
      </c>
      <c r="T21" s="311">
        <f t="shared" si="2"/>
        <v>29408.85</v>
      </c>
      <c r="U21" s="311">
        <f t="shared" si="2"/>
        <v>4441.18</v>
      </c>
      <c r="V21" s="311">
        <f t="shared" si="2"/>
        <v>33308.850000000006</v>
      </c>
      <c r="W21" s="311">
        <f t="shared" si="2"/>
        <v>4181.18</v>
      </c>
      <c r="X21" s="311">
        <f t="shared" si="2"/>
        <v>6271.77</v>
      </c>
      <c r="Y21" s="311">
        <f t="shared" si="2"/>
        <v>9184</v>
      </c>
      <c r="Z21" s="311">
        <f t="shared" si="2"/>
        <v>65464</v>
      </c>
      <c r="AA21" s="311">
        <f t="shared" si="2"/>
        <v>0</v>
      </c>
      <c r="AB21" s="311">
        <f t="shared" si="2"/>
        <v>0</v>
      </c>
      <c r="AC21" s="311">
        <f t="shared" si="2"/>
        <v>0</v>
      </c>
      <c r="AD21" s="311">
        <f t="shared" si="2"/>
        <v>0</v>
      </c>
      <c r="AE21" s="311">
        <f t="shared" si="2"/>
        <v>0</v>
      </c>
      <c r="AF21" s="311">
        <f t="shared" si="2"/>
        <v>0</v>
      </c>
      <c r="AG21" s="311">
        <f t="shared" si="2"/>
        <v>0</v>
      </c>
      <c r="AH21" s="311">
        <f t="shared" si="2"/>
        <v>0</v>
      </c>
      <c r="AI21" s="311">
        <f t="shared" si="2"/>
        <v>0</v>
      </c>
      <c r="AJ21" s="311">
        <f t="shared" si="2"/>
        <v>0</v>
      </c>
      <c r="AK21" s="311">
        <f t="shared" si="2"/>
        <v>0</v>
      </c>
      <c r="AL21" s="311">
        <f t="shared" si="2"/>
        <v>0</v>
      </c>
      <c r="AM21" s="311">
        <f t="shared" si="2"/>
        <v>0</v>
      </c>
      <c r="AN21" s="229"/>
      <c r="AO21" s="413">
        <f>+IF(SUM(AO6:AO19)=SUM(B21:AM21),SUM(AO6:AO19))</f>
        <v>8413424.4873000011</v>
      </c>
      <c r="AQ21" s="415">
        <f>-AO21/AO5</f>
        <v>0.75369375580076636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3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3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4">
        <f>+B22-B23</f>
        <v>0</v>
      </c>
      <c r="C24" s="484"/>
      <c r="D24" s="484"/>
      <c r="E24" s="484"/>
      <c r="F24" s="484"/>
      <c r="G24" s="484"/>
      <c r="H24"/>
      <c r="I24"/>
      <c r="J24"/>
      <c r="K24" s="484"/>
      <c r="L24" s="484"/>
      <c r="M24" s="484"/>
      <c r="N24" s="484"/>
      <c r="O24" s="484"/>
      <c r="P24" s="484"/>
      <c r="Q24" s="484"/>
      <c r="R24" s="484"/>
      <c r="S24" s="484"/>
      <c r="T24" s="484"/>
      <c r="U24" s="484"/>
      <c r="V24" s="484"/>
      <c r="W24" s="484"/>
      <c r="X24" s="484"/>
      <c r="Y24" s="484"/>
      <c r="Z24" s="484"/>
      <c r="AA24" s="484"/>
      <c r="AB24" s="484"/>
      <c r="AC24" s="484"/>
      <c r="AD24" s="484"/>
      <c r="AE24" s="484"/>
      <c r="AF24" s="484"/>
      <c r="AG24" s="484"/>
      <c r="AH24" s="484"/>
      <c r="AI24" s="484"/>
      <c r="AJ24" s="484"/>
      <c r="AK24" s="484"/>
      <c r="AL24"/>
      <c r="AM24"/>
      <c r="AN24"/>
      <c r="AO24" s="479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342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79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8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8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0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8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2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2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8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2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8">
        <f>+SUMIFS(Tabla1[EV],Tabla1[Fecha],"&gt;="&amp;$A30,Tabla1[Fecha],"&lt;="&amp;EOMONTH($A30,0),Tabla1[EV],"&gt;0")</f>
        <v>8126.7120000000004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8">
        <f>+SUMIFS(Tabla1[EV],Tabla1[Fecha],"&gt;="&amp;$A31,Tabla1[Fecha],"&lt;="&amp;EOMONTH($A31,0),Tabla1[EV],"&gt;0")</f>
        <v>129565.31576999999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0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8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8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8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8">
        <f>+SUMIFS(Tabla1[EV],Tabla1[Fecha],"&gt;="&amp;$A35,Tabla1[Fecha],"&lt;="&amp;EOMONTH($A35,0),Tabla1[EV],"&gt;0")</f>
        <v>683129.41178000032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8">
        <f>+SUMIFS(Tabla1[EV],Tabla1[Fecha],"&gt;="&amp;$A36,Tabla1[Fecha],"&lt;="&amp;EOMONTH($A36,0),Tabla1[EV],"&gt;0")</f>
        <v>858026.86460000102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8">
        <f>+SUMIFS(Tabla1[EV],Tabla1[Fecha],"&gt;="&amp;$A37,Tabla1[Fecha],"&lt;="&amp;EOMONTH($A37,0),Tabla1[EV],"&gt;0")</f>
        <v>832611.37040000036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504</v>
      </c>
      <c r="B38" s="313">
        <f>SUM(B26:B37)</f>
        <v>8413424.4873000011</v>
      </c>
      <c r="C38" s="294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2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0" priority="1" stopIfTrue="1">
      <formula>B6=0</formula>
    </cfRule>
    <cfRule type="expression" dxfId="19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5" customFormat="1" ht="129.75" x14ac:dyDescent="0.25">
      <c r="B1" s="296" t="s">
        <v>275</v>
      </c>
      <c r="C1" s="296" t="s">
        <v>277</v>
      </c>
      <c r="D1" s="296" t="s">
        <v>279</v>
      </c>
      <c r="E1" s="296" t="s">
        <v>281</v>
      </c>
      <c r="F1" s="296" t="s">
        <v>283</v>
      </c>
      <c r="G1" s="296" t="s">
        <v>285</v>
      </c>
      <c r="H1" s="298" t="s">
        <v>78</v>
      </c>
      <c r="I1" s="298" t="s">
        <v>81</v>
      </c>
      <c r="J1" s="298" t="s">
        <v>79</v>
      </c>
      <c r="K1" s="298" t="s">
        <v>82</v>
      </c>
      <c r="L1" s="298" t="s">
        <v>80</v>
      </c>
      <c r="M1" s="298" t="s">
        <v>77</v>
      </c>
      <c r="N1" s="298" t="s">
        <v>293</v>
      </c>
      <c r="O1" s="298" t="s">
        <v>295</v>
      </c>
      <c r="P1" s="300" t="s">
        <v>297</v>
      </c>
      <c r="Q1" s="300" t="s">
        <v>411</v>
      </c>
      <c r="R1" s="300" t="s">
        <v>412</v>
      </c>
      <c r="S1" s="300" t="s">
        <v>419</v>
      </c>
      <c r="T1" s="300" t="s">
        <v>413</v>
      </c>
      <c r="U1" s="300" t="s">
        <v>420</v>
      </c>
      <c r="V1" s="300" t="s">
        <v>418</v>
      </c>
      <c r="W1" s="300" t="s">
        <v>414</v>
      </c>
      <c r="X1" s="300" t="s">
        <v>421</v>
      </c>
      <c r="Y1" s="300" t="s">
        <v>416</v>
      </c>
      <c r="Z1" s="300" t="s">
        <v>415</v>
      </c>
      <c r="AA1" s="300" t="s">
        <v>417</v>
      </c>
      <c r="AB1" s="302" t="s">
        <v>422</v>
      </c>
      <c r="AC1" s="302" t="s">
        <v>423</v>
      </c>
      <c r="AD1" s="302" t="s">
        <v>424</v>
      </c>
      <c r="AE1" s="302" t="s">
        <v>425</v>
      </c>
      <c r="AF1" s="302" t="s">
        <v>426</v>
      </c>
      <c r="AG1" s="302" t="s">
        <v>427</v>
      </c>
      <c r="AH1" s="302" t="s">
        <v>428</v>
      </c>
      <c r="AI1" s="302" t="s">
        <v>429</v>
      </c>
      <c r="AJ1" s="302" t="s">
        <v>430</v>
      </c>
      <c r="AK1" s="302" t="s">
        <v>431</v>
      </c>
      <c r="AL1" s="302" t="s">
        <v>432</v>
      </c>
      <c r="AM1" s="302" t="s">
        <v>433</v>
      </c>
    </row>
    <row r="2" spans="1:39" s="76" customFormat="1" x14ac:dyDescent="0.25">
      <c r="B2" s="297" t="s">
        <v>96</v>
      </c>
      <c r="C2" s="297" t="s">
        <v>96</v>
      </c>
      <c r="D2" s="297" t="s">
        <v>96</v>
      </c>
      <c r="E2" s="297" t="s">
        <v>96</v>
      </c>
      <c r="F2" s="297" t="s">
        <v>96</v>
      </c>
      <c r="G2" s="297" t="s">
        <v>96</v>
      </c>
      <c r="H2" s="299" t="s">
        <v>107</v>
      </c>
      <c r="I2" s="299" t="s">
        <v>107</v>
      </c>
      <c r="J2" s="299" t="s">
        <v>107</v>
      </c>
      <c r="K2" s="299" t="s">
        <v>107</v>
      </c>
      <c r="L2" s="299" t="s">
        <v>112</v>
      </c>
      <c r="M2" s="299" t="s">
        <v>107</v>
      </c>
      <c r="N2" s="299" t="s">
        <v>96</v>
      </c>
      <c r="O2" s="299" t="s">
        <v>96</v>
      </c>
      <c r="P2" s="301" t="s">
        <v>117</v>
      </c>
      <c r="Q2" s="301" t="s">
        <v>435</v>
      </c>
      <c r="R2" s="301" t="s">
        <v>435</v>
      </c>
      <c r="S2" s="301" t="s">
        <v>125</v>
      </c>
      <c r="T2" s="301" t="s">
        <v>125</v>
      </c>
      <c r="U2" s="301" t="s">
        <v>125</v>
      </c>
      <c r="V2" s="301" t="s">
        <v>125</v>
      </c>
      <c r="W2" s="301" t="s">
        <v>125</v>
      </c>
      <c r="X2" s="301" t="s">
        <v>125</v>
      </c>
      <c r="Y2" s="301" t="s">
        <v>125</v>
      </c>
      <c r="Z2" s="301" t="s">
        <v>125</v>
      </c>
      <c r="AA2" s="301" t="s">
        <v>96</v>
      </c>
      <c r="AB2" s="303" t="s">
        <v>96</v>
      </c>
      <c r="AC2" s="303" t="s">
        <v>96</v>
      </c>
      <c r="AD2" s="303" t="s">
        <v>96</v>
      </c>
      <c r="AE2" s="303" t="s">
        <v>96</v>
      </c>
      <c r="AF2" s="303" t="s">
        <v>96</v>
      </c>
      <c r="AG2" s="303" t="s">
        <v>96</v>
      </c>
      <c r="AH2" s="303" t="s">
        <v>96</v>
      </c>
      <c r="AI2" s="303" t="s">
        <v>96</v>
      </c>
      <c r="AJ2" s="303" t="s">
        <v>434</v>
      </c>
      <c r="AK2" s="303" t="s">
        <v>434</v>
      </c>
      <c r="AL2" s="303" t="s">
        <v>434</v>
      </c>
      <c r="AM2" s="303" t="s">
        <v>96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121</v>
      </c>
      <c r="S4" s="76" t="s">
        <v>123</v>
      </c>
      <c r="T4" s="1" t="s">
        <v>126</v>
      </c>
      <c r="U4" s="1" t="s">
        <v>128</v>
      </c>
      <c r="V4" s="1" t="s">
        <v>130</v>
      </c>
      <c r="W4" s="1" t="s">
        <v>132</v>
      </c>
      <c r="X4" s="1" t="s">
        <v>134</v>
      </c>
      <c r="Y4" s="1" t="s">
        <v>136</v>
      </c>
      <c r="Z4" s="1" t="s">
        <v>138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4" t="s">
        <v>519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2">
        <f>+SUMIFS(Tabla1[Avance_km],Tabla1[Fecha],"&gt;="&amp;$A5,Tabla1[Fecha],"&lt;="&amp;EOMONTH($A5,0),Tabla1[Codigo_actividad],H$4)*H$3</f>
        <v>31.548999999999999</v>
      </c>
      <c r="I5" s="233"/>
      <c r="J5" s="342">
        <f>+SUMIFS(Tabla1[Avance_km],Tabla1[Fecha],"&gt;="&amp;$A5,Tabla1[Fecha],"&lt;="&amp;EOMONTH($A5,0),Tabla1[Codigo_actividad],J$4, Tabla1[Avance_km],"&gt;0")*J$3</f>
        <v>53.048999999999999</v>
      </c>
      <c r="K5" s="477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2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2">
        <f>+SUMIFS(Tabla1[Avance_km],Tabla1[Fecha],"&gt;="&amp;$A6,Tabla1[Fecha],"&lt;="&amp;EOMONTH($A6,0),Tabla1[Codigo_actividad],H$4)*H$3</f>
        <v>31.517000000000003</v>
      </c>
      <c r="I6" s="233"/>
      <c r="J6" s="342">
        <f>+SUMIFS(Tabla1[Avance_km],Tabla1[Fecha],"&gt;="&amp;$A6,Tabla1[Fecha],"&lt;="&amp;EOMONTH($A6,0),Tabla1[Codigo_actividad],J$4, Tabla1[Avance_km],"&gt;0")*J$3</f>
        <v>31.543999999999993</v>
      </c>
      <c r="K6" s="477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2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2">
        <f>+SUMIFS(Tabla1[Avance_km],Tabla1[Fecha],"&gt;="&amp;$A7,Tabla1[Fecha],"&lt;="&amp;EOMONTH($A7,0),Tabla1[Codigo_actividad],H$4)*H$3</f>
        <v>36.840000000000011</v>
      </c>
      <c r="I7" s="233"/>
      <c r="J7" s="342">
        <f>+SUMIFS(Tabla1[Avance_km],Tabla1[Fecha],"&gt;="&amp;$A7,Tabla1[Fecha],"&lt;="&amp;EOMONTH($A7,0),Tabla1[Codigo_actividad],J$4, Tabla1[Avance_km],"&gt;0")*J$3</f>
        <v>15.313000000000004</v>
      </c>
      <c r="K7" s="477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2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2">
        <f>+SUMIFS(Tabla1[Avance_km],Tabla1[Fecha],"&gt;="&amp;$A8,Tabla1[Fecha],"&lt;="&amp;EOMONTH($A8,0),Tabla1[Codigo_actividad],H$4)*H$3</f>
        <v>0</v>
      </c>
      <c r="I8" s="233"/>
      <c r="J8" s="342">
        <f>+SUMIFS(Tabla1[Avance_km],Tabla1[Fecha],"&gt;="&amp;$A8,Tabla1[Fecha],"&lt;="&amp;EOMONTH($A8,0),Tabla1[Codigo_actividad],J$4, Tabla1[Avance_km],"&gt;0")*J$3</f>
        <v>0</v>
      </c>
      <c r="K8" s="477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2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0</v>
      </c>
      <c r="C9" s="233">
        <f>+SUMIFS(Tabla1[Avance_Med],Tabla1[Fecha],"&gt;="&amp;$A9,Tabla1[Fecha],"&lt;="&amp;EOMONTH($A9,0),Tabla1[Codigo_actividad],C$4)*C$3</f>
        <v>0</v>
      </c>
      <c r="D9" s="233">
        <f>+SUMIFS(Tabla1[Avance_Med],Tabla1[Fecha],"&gt;="&amp;$A9,Tabla1[Fecha],"&lt;="&amp;EOMONTH($A9,0),Tabla1[Codigo_actividad],D$4)*D$3</f>
        <v>0</v>
      </c>
      <c r="E9" s="233">
        <f>+SUMIFS(Tabla1[Avance_Med],Tabla1[Fecha],"&gt;="&amp;$A9,Tabla1[Fecha],"&lt;="&amp;EOMONTH($A9,0),Tabla1[Codigo_actividad],E$4)*E$3</f>
        <v>0</v>
      </c>
      <c r="F9" s="233">
        <f>+SUMIFS(Tabla1[Avance_Med],Tabla1[Fecha],"&gt;="&amp;$A9,Tabla1[Fecha],"&lt;="&amp;EOMONTH($A9,0),Tabla1[Codigo_actividad],F$4)*F$3</f>
        <v>0</v>
      </c>
      <c r="G9" s="233">
        <f>+SUMIFS(Tabla1[Avance_Med],Tabla1[Fecha],"&gt;="&amp;$A9,Tabla1[Fecha],"&lt;="&amp;EOMONTH($A9,0),Tabla1[Codigo_actividad],G$4)*G$3</f>
        <v>0</v>
      </c>
      <c r="H9" s="342">
        <f>+SUMIFS(Tabla1[Avance_km],Tabla1[Fecha],"&gt;="&amp;$A9,Tabla1[Fecha],"&lt;="&amp;EOMONTH($A9,0),Tabla1[Codigo_actividad],H$4)*H$3</f>
        <v>0</v>
      </c>
      <c r="I9" s="233"/>
      <c r="J9" s="342">
        <f>+SUMIFS(Tabla1[Avance_km],Tabla1[Fecha],"&gt;="&amp;$A9,Tabla1[Fecha],"&lt;="&amp;EOMONTH($A9,0),Tabla1[Codigo_actividad],J$4, Tabla1[Avance_km],"&gt;0")*J$3</f>
        <v>0</v>
      </c>
      <c r="K9" s="477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2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0</v>
      </c>
      <c r="O9" s="233">
        <f>+SUMIFS(Tabla1[Avance_Med],Tabla1[Fecha],"&gt;="&amp;$A9,Tabla1[Fecha],"&lt;="&amp;EOMONTH($A9,0),Tabla1[Codigo_actividad],O$4)*O$3</f>
        <v>0</v>
      </c>
      <c r="P9" s="233">
        <f>+SUMIFS(Tabla1[Avance_Med],Tabla1[Fecha],"&gt;="&amp;$A9,Tabla1[Fecha],"&lt;="&amp;EOMONTH($A9,0),Tabla1[Codigo_actividad],P$4)*P$3</f>
        <v>0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0</v>
      </c>
      <c r="C10" s="233">
        <f>+SUMIFS(Tabla1[Avance_Med],Tabla1[Fecha],"&gt;="&amp;$A10,Tabla1[Fecha],"&lt;="&amp;EOMONTH($A10,0),Tabla1[Codigo_actividad],C$4)*C$3</f>
        <v>0</v>
      </c>
      <c r="D10" s="233">
        <f>+SUMIFS(Tabla1[Avance_Med],Tabla1[Fecha],"&gt;="&amp;$A10,Tabla1[Fecha],"&lt;="&amp;EOMONTH($A10,0),Tabla1[Codigo_actividad],D$4)*D$3</f>
        <v>0</v>
      </c>
      <c r="E10" s="233">
        <f>+SUMIFS(Tabla1[Avance_Med],Tabla1[Fecha],"&gt;="&amp;$A10,Tabla1[Fecha],"&lt;="&amp;EOMONTH($A10,0),Tabla1[Codigo_actividad],E$4)*E$3</f>
        <v>0</v>
      </c>
      <c r="F10" s="233">
        <f>+SUMIFS(Tabla1[Avance_Med],Tabla1[Fecha],"&gt;="&amp;$A10,Tabla1[Fecha],"&lt;="&amp;EOMONTH($A10,0),Tabla1[Codigo_actividad],F$4)*F$3</f>
        <v>0</v>
      </c>
      <c r="G10" s="233">
        <f>+SUMIFS(Tabla1[Avance_Med],Tabla1[Fecha],"&gt;="&amp;$A10,Tabla1[Fecha],"&lt;="&amp;EOMONTH($A10,0),Tabla1[Codigo_actividad],G$4)*G$3</f>
        <v>0</v>
      </c>
      <c r="H10" s="342">
        <f>+SUMIFS(Tabla1[Avance_km],Tabla1[Fecha],"&gt;="&amp;$A10,Tabla1[Fecha],"&lt;="&amp;EOMONTH($A10,0),Tabla1[Codigo_actividad],H$4)*H$3</f>
        <v>0</v>
      </c>
      <c r="I10" s="233"/>
      <c r="J10" s="342">
        <f>+SUMIFS(Tabla1[Avance_km],Tabla1[Fecha],"&gt;="&amp;$A10,Tabla1[Fecha],"&lt;="&amp;EOMONTH($A10,0),Tabla1[Codigo_actividad],J$4, Tabla1[Avance_km],"&gt;0")*J$3</f>
        <v>5.9550000000000001</v>
      </c>
      <c r="K10" s="477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2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2">
        <f>+SUMIFS(Tabla1[Avance_km],Tabla1[Fecha],"&gt;="&amp;$A11,Tabla1[Fecha],"&lt;="&amp;EOMONTH($A11,0),Tabla1[Codigo_actividad],H$4)*H$3</f>
        <v>11.253</v>
      </c>
      <c r="I11" s="233"/>
      <c r="J11" s="342">
        <f>+SUMIFS(Tabla1[Avance_km],Tabla1[Fecha],"&gt;="&amp;$A11,Tabla1[Fecha],"&lt;="&amp;EOMONTH($A11,0),Tabla1[Codigo_actividad],J$4, Tabla1[Avance_km],"&gt;0")*J$3</f>
        <v>19.906000000000002</v>
      </c>
      <c r="K11" s="477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2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2">
        <f>+SUMIFS(Tabla1[Avance_km],Tabla1[Fecha],"&gt;="&amp;$A12,Tabla1[Fecha],"&lt;="&amp;EOMONTH($A12,0),Tabla1[Codigo_actividad],H$4)*H$3</f>
        <v>20.328000000000003</v>
      </c>
      <c r="I12" s="233"/>
      <c r="J12" s="342">
        <f>+SUMIFS(Tabla1[Avance_km],Tabla1[Fecha],"&gt;="&amp;$A12,Tabla1[Fecha],"&lt;="&amp;EOMONTH($A12,0),Tabla1[Codigo_actividad],J$4, Tabla1[Avance_km],"&gt;0")*J$3</f>
        <v>0</v>
      </c>
      <c r="K12" s="477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2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2">
        <f>+SUMIFS(Tabla1[Avance_km],Tabla1[Fecha],"&gt;="&amp;$A13,Tabla1[Fecha],"&lt;="&amp;EOMONTH($A13,0),Tabla1[Codigo_actividad],H$4)*H$3</f>
        <v>13.568</v>
      </c>
      <c r="I13" s="233"/>
      <c r="J13" s="342">
        <f>+SUMIFS(Tabla1[Avance_km],Tabla1[Fecha],"&gt;="&amp;$A13,Tabla1[Fecha],"&lt;="&amp;EOMONTH($A13,0),Tabla1[Codigo_actividad],J$4, Tabla1[Avance_km],"&gt;0")*J$3</f>
        <v>10.538</v>
      </c>
      <c r="K13" s="477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2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2">
        <f>+SUMIFS(Tabla1[Avance_km],Tabla1[Fecha],"&gt;="&amp;$A14,Tabla1[Fecha],"&lt;="&amp;EOMONTH($A14,0),Tabla1[Codigo_actividad],H$4)*H$3</f>
        <v>10.033000000000001</v>
      </c>
      <c r="I14" s="233"/>
      <c r="J14" s="342">
        <f>+SUMIFS(Tabla1[Avance_km],Tabla1[Fecha],"&gt;="&amp;$A14,Tabla1[Fecha],"&lt;="&amp;EOMONTH($A14,0),Tabla1[Codigo_actividad],J$4, Tabla1[Avance_km],"&gt;0")*J$3</f>
        <v>12.395</v>
      </c>
      <c r="K14" s="477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2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0</v>
      </c>
      <c r="AK14" s="233">
        <f>+SUMIFS(Tabla1[Avance_Med],Tabla1[Fecha],"&gt;="&amp;$A14,Tabla1[Fecha],"&lt;="&amp;EOMONTH($A14,0),Tabla1[Codigo_actividad],AK$4)*AK$3</f>
        <v>0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2">
        <f>+SUMIFS(Tabla1[Avance_km],Tabla1[Fecha],"&gt;="&amp;$A15,Tabla1[Fecha],"&lt;="&amp;EOMONTH($A15,0),Tabla1[Codigo_actividad],H$4)*H$3</f>
        <v>10.719999999999999</v>
      </c>
      <c r="I15" s="233"/>
      <c r="J15" s="342">
        <f>+SUMIFS(Tabla1[Avance_km],Tabla1[Fecha],"&gt;="&amp;$A15,Tabla1[Fecha],"&lt;="&amp;EOMONTH($A15,0),Tabla1[Codigo_actividad],J$4, Tabla1[Avance_km],"&gt;0")*J$3</f>
        <v>0</v>
      </c>
      <c r="K15" s="477">
        <f>ROUND(SUMIFS(Tabla1[Avance_km],Tabla1[Fecha],"&gt;="&amp;$A15,Tabla1[Fecha],"&lt;="&amp;EOMONTH($A15,0),Tabla1[Codigo_actividad],K$4,Tabla1[Avance_km],"&gt;0"),3)*K$3</f>
        <v>27.934999999999999</v>
      </c>
      <c r="L15" s="233">
        <f>+SUMIFS(Tabla1[Avance_Med],Tabla1[Fecha],"&gt;="&amp;$A15,Tabla1[Fecha],"&lt;="&amp;EOMONTH($A15,0),Tabla1[Codigo_actividad],L$4)*L$3</f>
        <v>20</v>
      </c>
      <c r="M15" s="342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0</v>
      </c>
      <c r="O15" s="233">
        <f>+SUMIFS(Tabla1[Avance_Med],Tabla1[Fecha],"&gt;="&amp;$A15,Tabla1[Fecha],"&lt;="&amp;EOMONTH($A15,0),Tabla1[Codigo_actividad],O$4)*O$3</f>
        <v>0</v>
      </c>
      <c r="P15" s="233">
        <f>+SUMIFS(Tabla1[Avance_Med],Tabla1[Fecha],"&gt;="&amp;$A15,Tabla1[Fecha],"&lt;="&amp;EOMONTH($A15,0),Tabla1[Codigo_actividad],P$4)*P$3</f>
        <v>0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2">
        <f>+SUMIFS(Tabla1[Avance_km],Tabla1[Fecha],"&gt;="&amp;$A16,Tabla1[Fecha],"&lt;="&amp;EOMONTH($A16,0),Tabla1[Codigo_actividad],H$4)*H$3</f>
        <v>14.6175</v>
      </c>
      <c r="I16" s="233"/>
      <c r="J16" s="342">
        <f>+SUMIFS(Tabla1[Avance_km],Tabla1[Fecha],"&gt;="&amp;$A16,Tabla1[Fecha],"&lt;="&amp;EOMONTH($A16,0),Tabla1[Codigo_actividad],J$4, Tabla1[Avance_km],"&gt;0")*J$3</f>
        <v>1.6244999999999994</v>
      </c>
      <c r="K16" s="477">
        <f>ROUND(SUMIFS(Tabla1[Avance_km],Tabla1[Fecha],"&gt;="&amp;$A16,Tabla1[Fecha],"&lt;="&amp;EOMONTH($A16,0),Tabla1[Codigo_actividad],K$4,Tabla1[Avance_km],"&gt;0"),3)*K$3</f>
        <v>36.767000000000003</v>
      </c>
      <c r="L16" s="233">
        <f>+SUMIFS(Tabla1[Avance_Med],Tabla1[Fecha],"&gt;="&amp;$A16,Tabla1[Fecha],"&lt;="&amp;EOMONTH($A16,0),Tabla1[Codigo_actividad],L$4)*L$3</f>
        <v>0</v>
      </c>
      <c r="M16" s="342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0</v>
      </c>
      <c r="O16" s="233">
        <f>+SUMIFS(Tabla1[Avance_Med],Tabla1[Fecha],"&gt;="&amp;$A16,Tabla1[Fecha],"&lt;="&amp;EOMONTH($A16,0),Tabla1[Codigo_actividad],O$4)*O$3</f>
        <v>0</v>
      </c>
      <c r="P16" s="233">
        <f>+SUMIFS(Tabla1[Avance_Med],Tabla1[Fecha],"&gt;="&amp;$A16,Tabla1[Fecha],"&lt;="&amp;EOMONTH($A16,0),Tabla1[Codigo_actividad],P$4)*P$3</f>
        <v>0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2">
        <f>+SUMIFS(Tabla1[Avance_km],Tabla1[Fecha],"&gt;="&amp;$A17,Tabla1[Fecha],"&lt;="&amp;EOMONTH($A17,0),Tabla1[Codigo_actividad],H$4)*H$3</f>
        <v>0</v>
      </c>
      <c r="I17" s="233"/>
      <c r="J17" s="342">
        <f>+SUMIFS(Tabla1[Avance_km],Tabla1[Fecha],"&gt;="&amp;$A17,Tabla1[Fecha],"&lt;="&amp;EOMONTH($A17,0),Tabla1[Codigo_actividad],J$4, Tabla1[Avance_km],"&gt;0")*J$3</f>
        <v>0</v>
      </c>
      <c r="K17" s="477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2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2">
        <f>+SUMIFS(Tabla1[Avance_km],Tabla1[Fecha],"&gt;="&amp;$A18,Tabla1[Fecha],"&lt;="&amp;EOMONTH($A18,0),Tabla1[Codigo_actividad],H$4)*H$3</f>
        <v>0</v>
      </c>
      <c r="I18" s="233"/>
      <c r="J18" s="342">
        <f>+SUMIFS(Tabla1[Avance_km],Tabla1[Fecha],"&gt;="&amp;$A18,Tabla1[Fecha],"&lt;="&amp;EOMONTH($A18,0),Tabla1[Codigo_actividad],J$4, Tabla1[Avance_km],"&gt;0")*J$3</f>
        <v>0</v>
      </c>
      <c r="K18" s="477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2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442</v>
      </c>
      <c r="B19" s="305">
        <f>SUM(B5:B18)</f>
        <v>0</v>
      </c>
      <c r="C19" s="305">
        <f t="shared" ref="C19:AM19" si="0">SUM(C5:C18)</f>
        <v>0</v>
      </c>
      <c r="D19" s="305">
        <f t="shared" si="0"/>
        <v>0</v>
      </c>
      <c r="E19" s="305">
        <f t="shared" si="0"/>
        <v>0</v>
      </c>
      <c r="F19" s="305">
        <f t="shared" si="0"/>
        <v>0</v>
      </c>
      <c r="G19" s="305">
        <f t="shared" si="0"/>
        <v>0</v>
      </c>
      <c r="H19" s="305">
        <f t="shared" si="0"/>
        <v>180.42550000000003</v>
      </c>
      <c r="I19" s="305">
        <f t="shared" si="0"/>
        <v>0</v>
      </c>
      <c r="J19" s="471">
        <f t="shared" si="0"/>
        <v>150.32450000000003</v>
      </c>
      <c r="K19" s="478">
        <f t="shared" si="0"/>
        <v>86.631</v>
      </c>
      <c r="L19" s="305">
        <f t="shared" si="0"/>
        <v>396</v>
      </c>
      <c r="M19" s="305">
        <f t="shared" si="0"/>
        <v>181.88550000000001</v>
      </c>
      <c r="N19" s="305">
        <f t="shared" si="0"/>
        <v>0</v>
      </c>
      <c r="O19" s="305">
        <f t="shared" si="0"/>
        <v>0</v>
      </c>
      <c r="P19" s="305">
        <f t="shared" si="0"/>
        <v>0</v>
      </c>
      <c r="Q19" s="305">
        <f t="shared" si="0"/>
        <v>14</v>
      </c>
      <c r="R19" s="305">
        <f t="shared" si="0"/>
        <v>15</v>
      </c>
      <c r="S19" s="305">
        <f t="shared" si="0"/>
        <v>15</v>
      </c>
      <c r="T19" s="305">
        <f t="shared" si="0"/>
        <v>15</v>
      </c>
      <c r="U19" s="305">
        <f t="shared" si="0"/>
        <v>2</v>
      </c>
      <c r="V19" s="305">
        <f t="shared" si="0"/>
        <v>15</v>
      </c>
      <c r="W19" s="305">
        <f t="shared" si="0"/>
        <v>2</v>
      </c>
      <c r="X19" s="305">
        <f t="shared" si="0"/>
        <v>3</v>
      </c>
      <c r="Y19" s="305">
        <f t="shared" si="0"/>
        <v>14</v>
      </c>
      <c r="Z19" s="305">
        <f t="shared" si="0"/>
        <v>14</v>
      </c>
      <c r="AA19" s="305">
        <f t="shared" si="0"/>
        <v>0</v>
      </c>
      <c r="AB19" s="305">
        <f t="shared" si="0"/>
        <v>0</v>
      </c>
      <c r="AC19" s="305">
        <f t="shared" si="0"/>
        <v>0</v>
      </c>
      <c r="AD19" s="305">
        <f t="shared" si="0"/>
        <v>0</v>
      </c>
      <c r="AE19" s="305">
        <f t="shared" si="0"/>
        <v>0</v>
      </c>
      <c r="AF19" s="305">
        <f t="shared" si="0"/>
        <v>0</v>
      </c>
      <c r="AG19" s="305">
        <f t="shared" si="0"/>
        <v>0</v>
      </c>
      <c r="AH19" s="305">
        <f t="shared" si="0"/>
        <v>0</v>
      </c>
      <c r="AI19" s="305">
        <f t="shared" si="0"/>
        <v>0</v>
      </c>
      <c r="AJ19" s="305">
        <f t="shared" si="0"/>
        <v>0</v>
      </c>
      <c r="AK19" s="305">
        <f t="shared" si="0"/>
        <v>0</v>
      </c>
      <c r="AL19" s="305">
        <f t="shared" si="0"/>
        <v>0</v>
      </c>
      <c r="AM19" s="305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0" t="s">
        <v>446</v>
      </c>
      <c r="B21" s="305">
        <f>+_xlfn.XLOOKUP(B4,Catalogo!$B:$B,Catalogo!$D:$D)</f>
        <v>105</v>
      </c>
      <c r="C21" s="305">
        <f>+_xlfn.XLOOKUP(C4,Catalogo!$B:$B,Catalogo!$D:$D)</f>
        <v>105</v>
      </c>
      <c r="D21" s="305">
        <f>+_xlfn.XLOOKUP(D4,Catalogo!$B:$B,Catalogo!$D:$D)</f>
        <v>105</v>
      </c>
      <c r="E21" s="305">
        <f>+_xlfn.XLOOKUP(E4,Catalogo!$B:$B,Catalogo!$D:$D)</f>
        <v>105</v>
      </c>
      <c r="F21" s="305">
        <f>+_xlfn.XLOOKUP(F4,Catalogo!$B:$B,Catalogo!$D:$D)</f>
        <v>105</v>
      </c>
      <c r="G21" s="305">
        <f>+_xlfn.XLOOKUP(G4,Catalogo!$B:$B,Catalogo!$D:$D)</f>
        <v>105</v>
      </c>
      <c r="H21" s="305">
        <v>200</v>
      </c>
      <c r="I21" s="305">
        <f>+_xlfn.XLOOKUP(I4,Catalogo!$B:$B,Catalogo!$D:$D)</f>
        <v>200</v>
      </c>
      <c r="J21" s="305">
        <v>200</v>
      </c>
      <c r="K21" s="305">
        <f>+_xlfn.XLOOKUP(K4,Catalogo!$B:$B,Catalogo!$D:$D)</f>
        <v>200</v>
      </c>
      <c r="L21" s="305">
        <f>+_xlfn.XLOOKUP(L4,Catalogo!$B:$B,Catalogo!$D:$D)</f>
        <v>500</v>
      </c>
      <c r="M21" s="305">
        <v>200</v>
      </c>
      <c r="N21" s="305">
        <f>+_xlfn.XLOOKUP(N4,Catalogo!$B:$B,Catalogo!$D:$D)</f>
        <v>105</v>
      </c>
      <c r="O21" s="305">
        <f>+_xlfn.XLOOKUP(O4,Catalogo!$B:$B,Catalogo!$D:$D)</f>
        <v>105</v>
      </c>
      <c r="P21" s="305">
        <f>+_xlfn.XLOOKUP(P4,Catalogo!$B:$B,Catalogo!$D:$D)</f>
        <v>105</v>
      </c>
      <c r="Q21" s="305">
        <f>+_xlfn.XLOOKUP(Q4,Catalogo!$B:$B,Catalogo!$D:$D)</f>
        <v>55</v>
      </c>
      <c r="R21" s="305">
        <f>+_xlfn.XLOOKUP(R4,Catalogo!$B:$B,Catalogo!$D:$D)</f>
        <v>55</v>
      </c>
      <c r="S21" s="305">
        <f>+_xlfn.XLOOKUP(S4,Catalogo!$B:$B,Catalogo!$D:$D)</f>
        <v>100</v>
      </c>
      <c r="T21" s="305">
        <f>+_xlfn.XLOOKUP(T4,Catalogo!$B:$B,Catalogo!$D:$D)</f>
        <v>100</v>
      </c>
      <c r="U21" s="305">
        <f>+_xlfn.XLOOKUP(U4,Catalogo!$B:$B,Catalogo!$D:$D)</f>
        <v>170</v>
      </c>
      <c r="V21" s="305">
        <f>+_xlfn.XLOOKUP(V4,Catalogo!$B:$B,Catalogo!$D:$D)</f>
        <v>170</v>
      </c>
      <c r="W21" s="305">
        <f>+_xlfn.XLOOKUP(W4,Catalogo!$B:$B,Catalogo!$D:$D)</f>
        <v>100</v>
      </c>
      <c r="X21" s="305">
        <f>+_xlfn.XLOOKUP(X4,Catalogo!$B:$B,Catalogo!$D:$D)</f>
        <v>100</v>
      </c>
      <c r="Y21" s="305">
        <f>+_xlfn.XLOOKUP(Y4,Catalogo!$B:$B,Catalogo!$D:$D)</f>
        <v>55</v>
      </c>
      <c r="Z21" s="305">
        <f>+_xlfn.XLOOKUP(Z4,Catalogo!$B:$B,Catalogo!$D:$D)</f>
        <v>55</v>
      </c>
      <c r="AA21" s="305">
        <f>+_xlfn.XLOOKUP(AA4,Catalogo!$B:$B,Catalogo!$D:$D)</f>
        <v>105</v>
      </c>
      <c r="AB21" s="305">
        <f>+_xlfn.XLOOKUP(AB4,Catalogo!$B:$B,Catalogo!$D:$D)</f>
        <v>105</v>
      </c>
      <c r="AC21" s="305">
        <f>+_xlfn.XLOOKUP(AC4,Catalogo!$B:$B,Catalogo!$D:$D)</f>
        <v>105</v>
      </c>
      <c r="AD21" s="305">
        <f>+_xlfn.XLOOKUP(AD4,Catalogo!$B:$B,Catalogo!$D:$D)</f>
        <v>105</v>
      </c>
      <c r="AE21" s="305">
        <f>+_xlfn.XLOOKUP(AE4,Catalogo!$B:$B,Catalogo!$D:$D)</f>
        <v>105</v>
      </c>
      <c r="AF21" s="305">
        <f>+_xlfn.XLOOKUP(AF4,Catalogo!$B:$B,Catalogo!$D:$D)</f>
        <v>105</v>
      </c>
      <c r="AG21" s="305">
        <f>+_xlfn.XLOOKUP(AG4,Catalogo!$B:$B,Catalogo!$D:$D)</f>
        <v>105</v>
      </c>
      <c r="AH21" s="305">
        <f>+_xlfn.XLOOKUP(AH4,Catalogo!$B:$B,Catalogo!$D:$D)</f>
        <v>105</v>
      </c>
      <c r="AI21" s="305">
        <f>+_xlfn.XLOOKUP(AI4,Catalogo!$B:$B,Catalogo!$D:$D)</f>
        <v>105</v>
      </c>
      <c r="AJ21" s="305">
        <f>+_xlfn.XLOOKUP(AJ4,Catalogo!$B:$B,Catalogo!$D:$D)</f>
        <v>100</v>
      </c>
      <c r="AK21" s="305">
        <f>+_xlfn.XLOOKUP(AK4,Catalogo!$B:$B,Catalogo!$D:$D)</f>
        <v>500</v>
      </c>
      <c r="AL21" s="305">
        <f>+_xlfn.XLOOKUP(AL4,Catalogo!$B:$B,Catalogo!$D:$D)</f>
        <v>800</v>
      </c>
      <c r="AM21" s="305">
        <f>+_xlfn.XLOOKUP(AM4,Catalogo!$B:$B,Catalogo!$D:$D)</f>
        <v>105</v>
      </c>
    </row>
    <row r="22" spans="1:49" s="1" customFormat="1" x14ac:dyDescent="0.25">
      <c r="A22" s="330" t="s">
        <v>447</v>
      </c>
      <c r="B22" s="327">
        <f>+B19/B21</f>
        <v>0</v>
      </c>
      <c r="C22" s="327">
        <f t="shared" ref="C22:P22" si="1">+C19/C21</f>
        <v>0</v>
      </c>
      <c r="D22" s="327">
        <f t="shared" si="1"/>
        <v>0</v>
      </c>
      <c r="E22" s="327">
        <f t="shared" si="1"/>
        <v>0</v>
      </c>
      <c r="F22" s="327">
        <f t="shared" si="1"/>
        <v>0</v>
      </c>
      <c r="G22" s="327">
        <f t="shared" si="1"/>
        <v>0</v>
      </c>
      <c r="H22" s="337">
        <f t="shared" si="1"/>
        <v>0.90212750000000019</v>
      </c>
      <c r="I22" s="339"/>
      <c r="J22" s="337">
        <f t="shared" si="1"/>
        <v>0.75162250000000019</v>
      </c>
      <c r="K22" s="337">
        <f t="shared" si="1"/>
        <v>0.43315500000000001</v>
      </c>
      <c r="L22" s="337">
        <f t="shared" si="1"/>
        <v>0.79200000000000004</v>
      </c>
      <c r="M22" s="337">
        <f t="shared" si="1"/>
        <v>0.90942750000000006</v>
      </c>
      <c r="N22" s="337">
        <f t="shared" si="1"/>
        <v>0</v>
      </c>
      <c r="O22" s="337">
        <f t="shared" si="1"/>
        <v>0</v>
      </c>
      <c r="P22" s="338">
        <f t="shared" si="1"/>
        <v>0</v>
      </c>
      <c r="Q22" s="328">
        <f t="shared" ref="Q22" si="2">+Q19/Q21</f>
        <v>0.25454545454545452</v>
      </c>
      <c r="R22" s="328">
        <f t="shared" ref="R22" si="3">+R19/R21</f>
        <v>0.27272727272727271</v>
      </c>
      <c r="S22" s="328">
        <f t="shared" ref="S22" si="4">+S19/S21</f>
        <v>0.15</v>
      </c>
      <c r="T22" s="328">
        <f t="shared" ref="T22" si="5">+T19/T21</f>
        <v>0.15</v>
      </c>
      <c r="U22" s="328">
        <f t="shared" ref="U22" si="6">+U19/U21</f>
        <v>1.1764705882352941E-2</v>
      </c>
      <c r="V22" s="328">
        <f t="shared" ref="V22" si="7">+V19/V21</f>
        <v>8.8235294117647065E-2</v>
      </c>
      <c r="W22" s="328">
        <f t="shared" ref="W22" si="8">+W19/W21</f>
        <v>0.02</v>
      </c>
      <c r="X22" s="328">
        <f t="shared" ref="X22" si="9">+X19/X21</f>
        <v>0.03</v>
      </c>
      <c r="Y22" s="328">
        <f t="shared" ref="Y22" si="10">+Y19/Y21</f>
        <v>0.25454545454545452</v>
      </c>
      <c r="Z22" s="328">
        <f t="shared" ref="Z22" si="11">+Z19/Z21</f>
        <v>0.25454545454545452</v>
      </c>
      <c r="AA22" s="328">
        <f t="shared" ref="AA22" si="12">+AA19/AA21</f>
        <v>0</v>
      </c>
      <c r="AB22" s="329">
        <f t="shared" ref="AB22" si="13">+AB19/AB21</f>
        <v>0</v>
      </c>
      <c r="AC22" s="329">
        <f t="shared" ref="AC22" si="14">+AC19/AC21</f>
        <v>0</v>
      </c>
      <c r="AD22" s="329">
        <f t="shared" ref="AD22" si="15">+AD19/AD21</f>
        <v>0</v>
      </c>
      <c r="AE22" s="329">
        <f t="shared" ref="AE22" si="16">+AE19/AE21</f>
        <v>0</v>
      </c>
      <c r="AF22" s="329">
        <f t="shared" ref="AF22" si="17">+AF19/AF21</f>
        <v>0</v>
      </c>
      <c r="AG22" s="329">
        <f t="shared" ref="AG22" si="18">+AG19/AG21</f>
        <v>0</v>
      </c>
      <c r="AH22" s="329">
        <f t="shared" ref="AH22" si="19">+AH19/AH21</f>
        <v>0</v>
      </c>
      <c r="AI22" s="329">
        <f t="shared" ref="AI22" si="20">+AI19/AI21</f>
        <v>0</v>
      </c>
      <c r="AJ22" s="329">
        <f t="shared" ref="AJ22" si="21">+AJ19/AJ21</f>
        <v>0</v>
      </c>
      <c r="AK22" s="329">
        <f t="shared" ref="AK22" si="22">+AK19/AK21</f>
        <v>0</v>
      </c>
      <c r="AL22" s="329">
        <f t="shared" ref="AL22" si="23">+AL19/AL21</f>
        <v>0</v>
      </c>
      <c r="AM22" s="329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78" t="s">
        <v>394</v>
      </c>
      <c r="C25" s="578"/>
      <c r="D25" s="348">
        <v>100</v>
      </c>
      <c r="E25" s="332" t="str">
        <f>REPT("█",ROUND(D25/5,0))&amp;REPT("░",20-ROUND(D25/5,0))&amp;" "&amp;ROUND(D25,0)&amp;"%"</f>
        <v>████████████████████ 100%</v>
      </c>
      <c r="M25" s="350">
        <v>11</v>
      </c>
      <c r="N25" s="1" t="s">
        <v>117</v>
      </c>
      <c r="P25" s="504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78" t="s">
        <v>443</v>
      </c>
      <c r="C26" s="578"/>
      <c r="D26" s="348">
        <f>+AVERAGE(H22:O22)*100</f>
        <v>54.119035714285722</v>
      </c>
      <c r="E26" s="333" t="str">
        <f>REPT("█",ROUND(D26/5,0))&amp;REPT("░",20-ROUND(D26/5,0))&amp;" "&amp;ROUND(D26,0)&amp;"%"</f>
        <v>███████████░░░░░░░░░ 54%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78" t="s">
        <v>444</v>
      </c>
      <c r="C27" s="578"/>
      <c r="D27" s="348">
        <f>+AVERAGE(P22:AA22)*100</f>
        <v>12.386363636363635</v>
      </c>
      <c r="E27" s="347" t="str">
        <f>REPT("█",ROUND(D27/5,0))&amp;REPT("░",20-ROUND(D27/5,0))&amp;" "&amp;ROUND(D27,0)&amp;"%"</f>
        <v>██░░░░░░░░░░░░░░░░░░ 12%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78" t="s">
        <v>445</v>
      </c>
      <c r="C28" s="578"/>
      <c r="D28" s="348">
        <f>+AVERAGE(AB22:AM22)*100</f>
        <v>0</v>
      </c>
      <c r="E28" s="346" t="str">
        <f>REPT("█",ROUND(D28/5,0))&amp;REPT("░",20-ROUND(D28/5,0))&amp;" "&amp;ROUND(D28,0)&amp;"%"</f>
        <v>░░░░░░░░░░░░░░░░░░░░ 0%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3"/>
      <c r="E30" s="349" t="s">
        <v>450</v>
      </c>
      <c r="F30"/>
      <c r="G30"/>
      <c r="H30"/>
      <c r="I30"/>
    </row>
    <row r="31" spans="1:49" ht="16.5" x14ac:dyDescent="0.25">
      <c r="A31"/>
      <c r="B31"/>
      <c r="C31"/>
      <c r="D31"/>
      <c r="E31" s="349" t="s">
        <v>609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18" priority="2" stopIfTrue="1">
      <formula>B5=0</formula>
    </cfRule>
    <cfRule type="expression" dxfId="17" priority="3">
      <formula>IF(MONTH($A5)=MONTH(TODAY()),"VERDADERO","FALSO")</formula>
    </cfRule>
    <cfRule type="expression" dxfId="16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1" t="s">
        <v>394</v>
      </c>
      <c r="C3" s="344">
        <v>100</v>
      </c>
      <c r="D3" s="332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1" t="s">
        <v>443</v>
      </c>
      <c r="C4" s="345">
        <f>+AVERAGE('EV (3)'!H22:O22)*100</f>
        <v>54.119035714285722</v>
      </c>
      <c r="D4" s="333" t="str">
        <f>REPT("█",ROUND(C4/5,0))&amp;REPT("░",20-ROUND(C4/5,0))&amp;" "&amp;ROUND(C4,0)&amp;"%"</f>
        <v>███████████░░░░░░░░░ 54%</v>
      </c>
    </row>
    <row r="5" spans="2:4" ht="26.25" x14ac:dyDescent="0.35">
      <c r="B5" s="331" t="s">
        <v>444</v>
      </c>
      <c r="C5" s="345">
        <f>+AVERAGE('EV (3)'!P22:AA22)*100</f>
        <v>12.386363636363635</v>
      </c>
      <c r="D5" s="334" t="str">
        <f t="shared" ref="D5:D6" si="0">REPT("█",ROUND(C5/5,0))&amp;REPT("░",20-ROUND(C5/5,0))&amp;" "&amp;ROUND(C5,0)&amp;"%"</f>
        <v>██░░░░░░░░░░░░░░░░░░ 12%</v>
      </c>
    </row>
    <row r="6" spans="2:4" ht="26.25" x14ac:dyDescent="0.35">
      <c r="B6" s="331" t="s">
        <v>445</v>
      </c>
      <c r="C6" s="345">
        <f>IFERROR(AVERAGE('EV (3)'!AB22:AM22)*100,0)</f>
        <v>0</v>
      </c>
      <c r="D6" s="335" t="str">
        <f t="shared" si="0"/>
        <v>░░░░░░░░░░░░░░░░░░░░ 0%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6" t="s">
        <v>450</v>
      </c>
    </row>
    <row r="9" spans="2:4" ht="16.5" x14ac:dyDescent="0.3">
      <c r="B9" s="104"/>
      <c r="C9" s="104"/>
      <c r="D9" s="336" t="s">
        <v>448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J12" sqref="J1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2" customFormat="1" ht="14.25" customHeight="1" x14ac:dyDescent="0.25">
      <c r="A1" s="521"/>
      <c r="B1" s="521"/>
      <c r="C1" s="521"/>
      <c r="D1" s="521"/>
      <c r="E1" s="521"/>
      <c r="F1" s="521" t="s">
        <v>13</v>
      </c>
      <c r="G1" s="521" t="s">
        <v>22</v>
      </c>
      <c r="H1" s="521" t="s">
        <v>328</v>
      </c>
      <c r="I1" s="521" t="s">
        <v>407</v>
      </c>
      <c r="J1" s="521" t="s">
        <v>532</v>
      </c>
      <c r="K1" s="521" t="s">
        <v>557</v>
      </c>
      <c r="L1" s="521" t="s">
        <v>264</v>
      </c>
      <c r="M1" s="522" t="s">
        <v>334</v>
      </c>
    </row>
    <row r="2" spans="1:18" x14ac:dyDescent="0.25">
      <c r="A2"/>
      <c r="B2"/>
      <c r="C2"/>
      <c r="D2"/>
      <c r="E2"/>
      <c r="F2" s="1" t="s">
        <v>179</v>
      </c>
      <c r="G2" s="1" t="s">
        <v>180</v>
      </c>
      <c r="H2" s="1" t="s">
        <v>210</v>
      </c>
      <c r="I2" s="1" t="s">
        <v>351</v>
      </c>
      <c r="J2" s="1" t="s">
        <v>640</v>
      </c>
      <c r="K2" s="1" t="s">
        <v>377</v>
      </c>
      <c r="L2" s="1" t="s">
        <v>271</v>
      </c>
      <c r="M2" s="1" t="s">
        <v>272</v>
      </c>
    </row>
    <row r="3" spans="1:18" x14ac:dyDescent="0.25">
      <c r="A3" s="539">
        <v>1.1000000000000001</v>
      </c>
      <c r="B3" s="527" t="s">
        <v>275</v>
      </c>
      <c r="C3" s="537">
        <f>+_xlfn.XLOOKUP(A3,Catalogo!$B:$B,Catalogo!D:D)</f>
        <v>105</v>
      </c>
      <c r="D3" s="555">
        <f>_xlfn.XLOOKUP(A3,Catalogo!B6:B69,Catalogo!F6:F69)</f>
        <v>2532.81</v>
      </c>
      <c r="E3" s="537" t="s">
        <v>96</v>
      </c>
      <c r="F3" s="118">
        <f>+SUMIFS(Tabla1[Avance_Med],Tabla1[nombre_actividad],'EV (4)'!$B3,Tabla1[Sistema],'EV (4)'!F$1)</f>
        <v>0</v>
      </c>
      <c r="G3" s="33">
        <f>+SUMIFS(Tabla1[Avance_Med],Tabla1[nombre_actividad],'EV (4)'!$B3,Tabla1[Sistema],'EV (4)'!G$1)</f>
        <v>0</v>
      </c>
      <c r="H3" s="33">
        <f>+SUMIFS(Tabla1[Avance_Med],Tabla1[nombre_actividad],'EV (4)'!$B3,Tabla1[Sistema],'EV (4)'!H$1)</f>
        <v>0</v>
      </c>
      <c r="I3" s="33">
        <f>+SUMIFS(Tabla1[Avance_Med],Tabla1[nombre_actividad],'EV (4)'!$B3,Tabla1[Sistema],'EV (4)'!I$1)</f>
        <v>0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0</v>
      </c>
      <c r="L3" s="33">
        <f>+SUMIFS(Tabla1[Avance_Med],Tabla1[nombre_actividad],'EV (4)'!$B3,Tabla1[Sistema],'EV (4)'!L$1)</f>
        <v>0</v>
      </c>
      <c r="M3" s="33">
        <f>+SUMIFS(Tabla1[Avance_Med],Tabla1[nombre_actividad],'EV (4)'!$B3,Tabla1[Sistema],'EV (4)'!M$1)</f>
        <v>0</v>
      </c>
      <c r="N3" s="533" t="str">
        <f>IF(SUM(F3:M3)=0,"",SUM(F3:M3))</f>
        <v/>
      </c>
      <c r="O3" s="531" t="str">
        <f>IF(N3&lt;&gt;"",_xlfn.XLOOKUP(A3,Catalogo!B6:B69,Catalogo!F6:F69)*N3,"")</f>
        <v/>
      </c>
      <c r="P3" s="548" t="str">
        <f>IFERROR($N3/$C3,"")</f>
        <v/>
      </c>
      <c r="Q3" s="549" t="str">
        <f>IFERROR(1-P3,"")</f>
        <v/>
      </c>
      <c r="R3" s="550"/>
    </row>
    <row r="4" spans="1:18" x14ac:dyDescent="0.25">
      <c r="A4" s="539">
        <v>1.2</v>
      </c>
      <c r="B4" s="527" t="s">
        <v>277</v>
      </c>
      <c r="C4" s="537">
        <f>+_xlfn.XLOOKUP(A4,Catalogo!$B:$B,Catalogo!D:D)</f>
        <v>105</v>
      </c>
      <c r="D4" s="555">
        <f>_xlfn.XLOOKUP(A4,Catalogo!B7:B70,Catalogo!F7:F70)</f>
        <v>3250.01</v>
      </c>
      <c r="E4" s="537" t="s">
        <v>96</v>
      </c>
      <c r="F4" s="118">
        <f>+SUMIFS(Tabla1[Avance_Med],Tabla1[nombre_actividad],'EV (4)'!$B4,Tabla1[Sistema],'EV (4)'!F$1)</f>
        <v>0</v>
      </c>
      <c r="G4" s="33">
        <f>+SUMIFS(Tabla1[Avance_Med],Tabla1[nombre_actividad],'EV (4)'!$B4,Tabla1[Sistema],'EV (4)'!G$1)</f>
        <v>0</v>
      </c>
      <c r="H4" s="33">
        <f>+SUMIFS(Tabla1[Avance_Med],Tabla1[nombre_actividad],'EV (4)'!$B4,Tabla1[Sistema],'EV (4)'!H$1)</f>
        <v>0</v>
      </c>
      <c r="I4" s="33">
        <f>+SUMIFS(Tabla1[Avance_Med],Tabla1[nombre_actividad],'EV (4)'!$B4,Tabla1[Sistema],'EV (4)'!I$1)</f>
        <v>0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0</v>
      </c>
      <c r="L4" s="33">
        <f>+SUMIFS(Tabla1[Avance_Med],Tabla1[nombre_actividad],'EV (4)'!$B4,Tabla1[Sistema],'EV (4)'!L$1)</f>
        <v>0</v>
      </c>
      <c r="M4" s="33">
        <f>+SUMIFS(Tabla1[Avance_Med],Tabla1[nombre_actividad],'EV (4)'!$B4,Tabla1[Sistema],'EV (4)'!M$1)</f>
        <v>0</v>
      </c>
      <c r="N4" s="533" t="str">
        <f t="shared" ref="N4:N40" si="0">IF(SUM(F4:M4)=0,"",SUM(F4:M4))</f>
        <v/>
      </c>
      <c r="O4" s="531" t="str">
        <f>IF(N4&lt;&gt;"",_xlfn.XLOOKUP(A4,Catalogo!B7:B70,Catalogo!F7:F70)*N4,"")</f>
        <v/>
      </c>
      <c r="P4" s="548" t="str">
        <f t="shared" ref="P4:P40" si="1">IFERROR($N4/$C4,"")</f>
        <v/>
      </c>
      <c r="Q4" s="549" t="str">
        <f t="shared" ref="Q4:Q40" si="2">IFERROR(1-P4,"")</f>
        <v/>
      </c>
      <c r="R4" s="550"/>
    </row>
    <row r="5" spans="1:18" x14ac:dyDescent="0.25">
      <c r="A5" s="539">
        <v>1.3</v>
      </c>
      <c r="B5" s="527" t="s">
        <v>279</v>
      </c>
      <c r="C5" s="537">
        <f>+_xlfn.XLOOKUP(A5,Catalogo!$B:$B,Catalogo!D:D)</f>
        <v>105</v>
      </c>
      <c r="D5" s="555">
        <f>_xlfn.XLOOKUP(A5,Catalogo!B8:B71,Catalogo!F8:F71)</f>
        <v>985.32</v>
      </c>
      <c r="E5" s="537" t="s">
        <v>96</v>
      </c>
      <c r="F5" s="118">
        <f>+SUMIFS(Tabla1[Avance_Med],Tabla1[nombre_actividad],'EV (4)'!$B5,Tabla1[Sistema],'EV (4)'!F$1)</f>
        <v>0</v>
      </c>
      <c r="G5" s="33">
        <f>+SUMIFS(Tabla1[Avance_Med],Tabla1[nombre_actividad],'EV (4)'!$B5,Tabla1[Sistema],'EV (4)'!G$1)</f>
        <v>0</v>
      </c>
      <c r="H5" s="33">
        <f>+SUMIFS(Tabla1[Avance_Med],Tabla1[nombre_actividad],'EV (4)'!$B5,Tabla1[Sistema],'EV (4)'!H$1)</f>
        <v>0</v>
      </c>
      <c r="I5" s="33">
        <f>+SUMIFS(Tabla1[Avance_Med],Tabla1[nombre_actividad],'EV (4)'!$B5,Tabla1[Sistema],'EV (4)'!I$1)</f>
        <v>0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0</v>
      </c>
      <c r="L5" s="33">
        <f>+SUMIFS(Tabla1[Avance_Med],Tabla1[nombre_actividad],'EV (4)'!$B5,Tabla1[Sistema],'EV (4)'!L$1)</f>
        <v>0</v>
      </c>
      <c r="M5" s="33">
        <f>+SUMIFS(Tabla1[Avance_Med],Tabla1[nombre_actividad],'EV (4)'!$B5,Tabla1[Sistema],'EV (4)'!M$1)</f>
        <v>0</v>
      </c>
      <c r="N5" s="533" t="str">
        <f t="shared" si="0"/>
        <v/>
      </c>
      <c r="O5" s="531" t="str">
        <f>IF(N5&lt;&gt;"",_xlfn.XLOOKUP(A5,Catalogo!B8:B71,Catalogo!F8:F71)*N5,"")</f>
        <v/>
      </c>
      <c r="P5" s="548" t="str">
        <f t="shared" si="1"/>
        <v/>
      </c>
      <c r="Q5" s="549" t="str">
        <f t="shared" si="2"/>
        <v/>
      </c>
      <c r="R5" s="550"/>
    </row>
    <row r="6" spans="1:18" x14ac:dyDescent="0.25">
      <c r="A6" s="539">
        <v>1.4</v>
      </c>
      <c r="B6" s="527" t="s">
        <v>281</v>
      </c>
      <c r="C6" s="537">
        <f>+_xlfn.XLOOKUP(A6,Catalogo!$B:$B,Catalogo!D:D)</f>
        <v>105</v>
      </c>
      <c r="D6" s="555">
        <f>_xlfn.XLOOKUP(A6,Catalogo!B9:B72,Catalogo!F9:F72)</f>
        <v>1062.92</v>
      </c>
      <c r="E6" s="537" t="s">
        <v>96</v>
      </c>
      <c r="F6" s="118">
        <f>+SUMIFS(Tabla1[Avance_Med],Tabla1[nombre_actividad],'EV (4)'!$B6,Tabla1[Sistema],'EV (4)'!F$1)</f>
        <v>0</v>
      </c>
      <c r="G6" s="33">
        <f>+SUMIFS(Tabla1[Avance_Med],Tabla1[nombre_actividad],'EV (4)'!$B6,Tabla1[Sistema],'EV (4)'!G$1)</f>
        <v>0</v>
      </c>
      <c r="H6" s="33">
        <f>+SUMIFS(Tabla1[Avance_Med],Tabla1[nombre_actividad],'EV (4)'!$B6,Tabla1[Sistema],'EV (4)'!H$1)</f>
        <v>0</v>
      </c>
      <c r="I6" s="33">
        <f>+SUMIFS(Tabla1[Avance_Med],Tabla1[nombre_actividad],'EV (4)'!$B6,Tabla1[Sistema],'EV (4)'!I$1)</f>
        <v>0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0</v>
      </c>
      <c r="L6" s="33">
        <f>+SUMIFS(Tabla1[Avance_Med],Tabla1[nombre_actividad],'EV (4)'!$B6,Tabla1[Sistema],'EV (4)'!L$1)</f>
        <v>0</v>
      </c>
      <c r="M6" s="33">
        <f>+SUMIFS(Tabla1[Avance_Med],Tabla1[nombre_actividad],'EV (4)'!$B6,Tabla1[Sistema],'EV (4)'!M$1)</f>
        <v>0</v>
      </c>
      <c r="N6" s="533" t="str">
        <f t="shared" si="0"/>
        <v/>
      </c>
      <c r="O6" s="531" t="str">
        <f>IF(N6&lt;&gt;"",_xlfn.XLOOKUP(A6,Catalogo!B9:B72,Catalogo!F9:F72)*N6,"")</f>
        <v/>
      </c>
      <c r="P6" s="548" t="str">
        <f t="shared" si="1"/>
        <v/>
      </c>
      <c r="Q6" s="549" t="str">
        <f t="shared" si="2"/>
        <v/>
      </c>
      <c r="R6" s="550"/>
    </row>
    <row r="7" spans="1:18" x14ac:dyDescent="0.25">
      <c r="A7" s="539">
        <v>1.5</v>
      </c>
      <c r="B7" s="527" t="s">
        <v>283</v>
      </c>
      <c r="C7" s="537">
        <f>+_xlfn.XLOOKUP(A7,Catalogo!$B:$B,Catalogo!D:D)</f>
        <v>105</v>
      </c>
      <c r="D7" s="555">
        <f>_xlfn.XLOOKUP(A7,Catalogo!B10:B73,Catalogo!F10:F73)</f>
        <v>1337.25</v>
      </c>
      <c r="E7" s="537" t="s">
        <v>96</v>
      </c>
      <c r="F7" s="118">
        <f>+SUMIFS(Tabla1[Avance_Med],Tabla1[nombre_actividad],'EV (4)'!$B7,Tabla1[Sistema],'EV (4)'!F$1)</f>
        <v>0</v>
      </c>
      <c r="G7" s="33">
        <f>+SUMIFS(Tabla1[Avance_Med],Tabla1[nombre_actividad],'EV (4)'!$B7,Tabla1[Sistema],'EV (4)'!G$1)</f>
        <v>0</v>
      </c>
      <c r="H7" s="33">
        <f>+SUMIFS(Tabla1[Avance_Med],Tabla1[nombre_actividad],'EV (4)'!$B7,Tabla1[Sistema],'EV (4)'!H$1)</f>
        <v>0</v>
      </c>
      <c r="I7" s="33">
        <f>+SUMIFS(Tabla1[Avance_Med],Tabla1[nombre_actividad],'EV (4)'!$B7,Tabla1[Sistema],'EV (4)'!I$1)</f>
        <v>0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0</v>
      </c>
      <c r="L7" s="33">
        <f>+SUMIFS(Tabla1[Avance_Med],Tabla1[nombre_actividad],'EV (4)'!$B7,Tabla1[Sistema],'EV (4)'!L$1)</f>
        <v>0</v>
      </c>
      <c r="M7" s="33">
        <f>+SUMIFS(Tabla1[Avance_Med],Tabla1[nombre_actividad],'EV (4)'!$B7,Tabla1[Sistema],'EV (4)'!M$1)</f>
        <v>0</v>
      </c>
      <c r="N7" s="533" t="str">
        <f t="shared" si="0"/>
        <v/>
      </c>
      <c r="O7" s="531" t="str">
        <f>IF(N7&lt;&gt;"",_xlfn.XLOOKUP(A7,Catalogo!B10:B73,Catalogo!F10:F73)*N7,"")</f>
        <v/>
      </c>
      <c r="P7" s="548" t="str">
        <f t="shared" si="1"/>
        <v/>
      </c>
      <c r="Q7" s="549" t="str">
        <f t="shared" si="2"/>
        <v/>
      </c>
      <c r="R7" s="550"/>
    </row>
    <row r="8" spans="1:18" x14ac:dyDescent="0.25">
      <c r="A8" s="539">
        <v>1.6</v>
      </c>
      <c r="B8" s="527" t="s">
        <v>285</v>
      </c>
      <c r="C8" s="537">
        <f>+_xlfn.XLOOKUP(A8,Catalogo!$B:$B,Catalogo!D:D)</f>
        <v>105</v>
      </c>
      <c r="D8" s="555">
        <f>_xlfn.XLOOKUP(A8,Catalogo!B11:B74,Catalogo!F11:F74)</f>
        <v>1581.21</v>
      </c>
      <c r="E8" s="537" t="s">
        <v>96</v>
      </c>
      <c r="F8" s="118">
        <f>+SUMIFS(Tabla1[Avance_Med],Tabla1[nombre_actividad],'EV (4)'!$B8,Tabla1[Sistema],'EV (4)'!F$1)</f>
        <v>0</v>
      </c>
      <c r="G8" s="33">
        <f>+SUMIFS(Tabla1[Avance_Med],Tabla1[nombre_actividad],'EV (4)'!$B8,Tabla1[Sistema],'EV (4)'!G$1)</f>
        <v>0</v>
      </c>
      <c r="H8" s="33">
        <f>+SUMIFS(Tabla1[Avance_Med],Tabla1[nombre_actividad],'EV (4)'!$B8,Tabla1[Sistema],'EV (4)'!H$1)</f>
        <v>0</v>
      </c>
      <c r="I8" s="33">
        <f>+SUMIFS(Tabla1[Avance_Med],Tabla1[nombre_actividad],'EV (4)'!$B8,Tabla1[Sistema],'EV (4)'!I$1)</f>
        <v>0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0</v>
      </c>
      <c r="L8" s="33">
        <f>+SUMIFS(Tabla1[Avance_Med],Tabla1[nombre_actividad],'EV (4)'!$B8,Tabla1[Sistema],'EV (4)'!L$1)</f>
        <v>0</v>
      </c>
      <c r="M8" s="33">
        <f>+SUMIFS(Tabla1[Avance_Med],Tabla1[nombre_actividad],'EV (4)'!$B8,Tabla1[Sistema],'EV (4)'!M$1)</f>
        <v>0</v>
      </c>
      <c r="N8" s="533" t="str">
        <f t="shared" si="0"/>
        <v/>
      </c>
      <c r="O8" s="531" t="str">
        <f>IF(N8&lt;&gt;"",_xlfn.XLOOKUP(A8,Catalogo!B11:B74,Catalogo!F11:F74)*N8,"")</f>
        <v/>
      </c>
      <c r="P8" s="548" t="str">
        <f t="shared" si="1"/>
        <v/>
      </c>
      <c r="Q8" s="549" t="str">
        <f t="shared" si="2"/>
        <v/>
      </c>
      <c r="R8" s="550"/>
    </row>
    <row r="9" spans="1:18" x14ac:dyDescent="0.25">
      <c r="A9" s="540">
        <v>2.1</v>
      </c>
      <c r="B9" s="528" t="s">
        <v>78</v>
      </c>
      <c r="C9" s="537">
        <f>+_xlfn.XLOOKUP(A9,Catalogo!$B:$B,Catalogo!D:D)</f>
        <v>200</v>
      </c>
      <c r="D9" s="555">
        <f>_xlfn.XLOOKUP(A9,Catalogo!B12:B75,Catalogo!F12:F75)</f>
        <v>14521.41</v>
      </c>
      <c r="E9" s="537" t="s">
        <v>107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4">
        <f t="shared" si="0"/>
        <v>180.42550000000003</v>
      </c>
      <c r="O9" s="531">
        <f>IF(N9&lt;&gt;"",_xlfn.XLOOKUP(A9,Catalogo!B12:B75,Catalogo!F12:F75)*N9,"")</f>
        <v>2620032.6599550005</v>
      </c>
      <c r="P9" s="548">
        <f t="shared" si="1"/>
        <v>0.90212750000000019</v>
      </c>
      <c r="Q9" s="549">
        <f t="shared" si="2"/>
        <v>9.7872499999999807E-2</v>
      </c>
      <c r="R9" s="558">
        <f>+Q9*C9</f>
        <v>19.574499999999961</v>
      </c>
    </row>
    <row r="10" spans="1:18" x14ac:dyDescent="0.25">
      <c r="A10" s="540">
        <v>2.2000000000000002</v>
      </c>
      <c r="B10" s="528" t="s">
        <v>81</v>
      </c>
      <c r="C10" s="537">
        <f>+_xlfn.XLOOKUP(A10,Catalogo!$B:$B,Catalogo!D:D)</f>
        <v>200</v>
      </c>
      <c r="D10" s="555">
        <f>_xlfn.XLOOKUP(A10,Catalogo!B13:B76,Catalogo!F13:F76)</f>
        <v>13555.63</v>
      </c>
      <c r="E10" s="537" t="s">
        <v>107</v>
      </c>
      <c r="F10" s="142">
        <f>+SUMIFS(Tabla1[Avance_km],Tabla1[nombre_actividad],'EV (4)'!$B10,Tabla1[Sistema],'EV (4)'!F$1)</f>
        <v>0</v>
      </c>
      <c r="G10" s="526">
        <f>+SUMIFS(Tabla1[Avance_km],Tabla1[nombre_actividad],'EV (4)'!$B10,Tabla1[Sistema],'EV (4)'!G$1)</f>
        <v>0</v>
      </c>
      <c r="H10" s="526">
        <f>+SUMIFS(Tabla1[Avance_km],Tabla1[nombre_actividad],'EV (4)'!$B10,Tabla1[Sistema],'EV (4)'!H$1)</f>
        <v>0</v>
      </c>
      <c r="I10" s="526">
        <f>+SUMIFS(Tabla1[Avance_km],Tabla1[nombre_actividad],'EV (4)'!$B10,Tabla1[Sistema],'EV (4)'!I$1)</f>
        <v>0</v>
      </c>
      <c r="J10" s="526">
        <f>+SUMIFS(Tabla1[Avance_km],Tabla1[nombre_actividad],'EV (4)'!$B10,Tabla1[Sistema],'EV (4)'!J$1)</f>
        <v>0</v>
      </c>
      <c r="K10" s="526">
        <f>+SUMIFS(Tabla1[Avance_km],Tabla1[nombre_actividad],'EV (4)'!$B10,Tabla1[Sistema],'EV (4)'!K$1)</f>
        <v>0</v>
      </c>
      <c r="L10" s="526">
        <f>+SUMIFS(Tabla1[Avance_km],Tabla1[nombre_actividad],'EV (4)'!$B10,Tabla1[Sistema],'EV (4)'!L$1)</f>
        <v>0</v>
      </c>
      <c r="M10" s="526">
        <f>+SUMIFS(Tabla1[Avance_km],Tabla1[nombre_actividad],'EV (4)'!$B10,Tabla1[Sistema],'EV (4)'!M$1)</f>
        <v>0</v>
      </c>
      <c r="N10" s="533" t="str">
        <f t="shared" si="0"/>
        <v/>
      </c>
      <c r="O10" s="531" t="str">
        <f>IF(N10&lt;&gt;"",_xlfn.XLOOKUP(A10,Catalogo!B13:B76,Catalogo!F13:F76)*N10,"")</f>
        <v/>
      </c>
      <c r="P10" s="548" t="str">
        <f t="shared" si="1"/>
        <v/>
      </c>
      <c r="Q10" s="549" t="str">
        <f t="shared" si="2"/>
        <v/>
      </c>
      <c r="R10" s="550"/>
    </row>
    <row r="11" spans="1:18" x14ac:dyDescent="0.25">
      <c r="A11" s="540">
        <v>2.2999999999999998</v>
      </c>
      <c r="B11" s="528" t="s">
        <v>79</v>
      </c>
      <c r="C11" s="537">
        <f>+_xlfn.XLOOKUP(A11,Catalogo!$B:$B,Catalogo!D:D)</f>
        <v>200</v>
      </c>
      <c r="D11" s="555">
        <f>_xlfn.XLOOKUP(A11,Catalogo!B14:B77,Catalogo!F14:F77)</f>
        <v>13555.63</v>
      </c>
      <c r="E11" s="537" t="s">
        <v>107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4">
        <f t="shared" si="0"/>
        <v>150.32450000000006</v>
      </c>
      <c r="O11" s="531">
        <f>IF(N11&lt;&gt;"",_xlfn.XLOOKUP(A11,Catalogo!B14:B77,Catalogo!F14:F77)*N11,"")</f>
        <v>2037743.3019350006</v>
      </c>
      <c r="P11" s="548">
        <f t="shared" si="1"/>
        <v>0.7516225000000003</v>
      </c>
      <c r="Q11" s="549">
        <f t="shared" si="2"/>
        <v>0.2483774999999997</v>
      </c>
      <c r="R11" s="558">
        <f>+Q11*C11</f>
        <v>49.675499999999943</v>
      </c>
    </row>
    <row r="12" spans="1:18" x14ac:dyDescent="0.25">
      <c r="A12" s="540">
        <v>2.4</v>
      </c>
      <c r="B12" s="528" t="s">
        <v>82</v>
      </c>
      <c r="C12" s="537">
        <f>+_xlfn.XLOOKUP(A12,Catalogo!$B:$B,Catalogo!D:D)</f>
        <v>200</v>
      </c>
      <c r="D12" s="555">
        <f>_xlfn.XLOOKUP(A12,Catalogo!B15:B78,Catalogo!F15:F78)</f>
        <v>13696.28</v>
      </c>
      <c r="E12" s="537" t="s">
        <v>107</v>
      </c>
      <c r="F12" s="524">
        <f>+SUMIFS(Tabla1[Avance_km],Tabla1[nombre_actividad],'EV (4)'!$B12,Tabla1[Sistema],'EV (4)'!F$1)</f>
        <v>20.545444456450944</v>
      </c>
      <c r="G12" s="525">
        <f>+SUMIFS(Tabla1[Avance_km],Tabla1[nombre_actividad],'EV (4)'!$B12,Tabla1[Sistema],'EV (4)'!G$1)</f>
        <v>20.720286092281988</v>
      </c>
      <c r="H12" s="525">
        <f>+SUMIFS(Tabla1[Avance_km],Tabla1[nombre_actividad],'EV (4)'!$B12,Tabla1[Sistema],'EV (4)'!H$1)</f>
        <v>12.151611240424405</v>
      </c>
      <c r="I12" s="525">
        <f>+SUMIFS(Tabla1[Avance_km],Tabla1[nombre_actividad],'EV (4)'!$B12,Tabla1[Sistema],'EV (4)'!I$1)</f>
        <v>8.1010741602829377</v>
      </c>
      <c r="J12" s="525">
        <f>+SUMIFS(Tabla1[Avance_km],Tabla1[nombre_actividad],'EV (4)'!$B12,Tabla1[Sistema],'EV (4)'!J$1)</f>
        <v>23.436480562605315</v>
      </c>
      <c r="K12" s="525">
        <f>+SUMIFS(Tabla1[Avance_km],Tabla1[nombre_actividad],'EV (4)'!$B12,Tabla1[Sistema],'EV (4)'!K$1)</f>
        <v>1.676084309024056</v>
      </c>
      <c r="L12" s="526">
        <f>+SUMIFS(Tabla1[Avance_km],Tabla1[nombre_actividad],'EV (4)'!$B12,Tabla1[Sistema],'EV (4)'!L$1)</f>
        <v>0</v>
      </c>
      <c r="M12" s="526">
        <f>+SUMIFS(Tabla1[Avance_km],Tabla1[nombre_actividad],'EV (4)'!$B12,Tabla1[Sistema],'EV (4)'!M$1)</f>
        <v>0</v>
      </c>
      <c r="N12" s="534">
        <f t="shared" si="0"/>
        <v>86.630980821069642</v>
      </c>
      <c r="O12" s="531">
        <f>IF(N12&lt;&gt;"",_xlfn.XLOOKUP(A12,Catalogo!B15:B78,Catalogo!F15:F78)*N12,"")</f>
        <v>1186522.1699999997</v>
      </c>
      <c r="P12" s="548">
        <f t="shared" si="1"/>
        <v>0.43315490410534818</v>
      </c>
      <c r="Q12" s="549">
        <f t="shared" si="2"/>
        <v>0.56684509589465182</v>
      </c>
      <c r="R12" s="558"/>
    </row>
    <row r="13" spans="1:18" x14ac:dyDescent="0.25">
      <c r="A13" s="541">
        <v>2.5</v>
      </c>
      <c r="B13" s="528" t="s">
        <v>80</v>
      </c>
      <c r="C13" s="537">
        <f>+_xlfn.XLOOKUP(A13,Catalogo!$B:$B,Catalogo!D:D)</f>
        <v>500</v>
      </c>
      <c r="D13" s="555">
        <f>_xlfn.XLOOKUP(A13,Catalogo!B16:B79,Catalogo!F16:F79)</f>
        <v>4658</v>
      </c>
      <c r="E13" s="537" t="s">
        <v>112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33">
        <f t="shared" si="0"/>
        <v>396</v>
      </c>
      <c r="O13" s="531">
        <f>IF(N13&lt;&gt;"",_xlfn.XLOOKUP(A13,Catalogo!B16:B79,Catalogo!F16:F79)*N13,"")</f>
        <v>1844568</v>
      </c>
      <c r="P13" s="548">
        <f t="shared" si="1"/>
        <v>0.79200000000000004</v>
      </c>
      <c r="Q13" s="549">
        <f t="shared" si="2"/>
        <v>0.20799999999999996</v>
      </c>
      <c r="R13" s="550"/>
    </row>
    <row r="14" spans="1:18" x14ac:dyDescent="0.25">
      <c r="A14" s="540">
        <v>2.6</v>
      </c>
      <c r="B14" s="528" t="s">
        <v>77</v>
      </c>
      <c r="C14" s="537">
        <f>+_xlfn.XLOOKUP(A14,Catalogo!$B:$B,Catalogo!D:D)</f>
        <v>200</v>
      </c>
      <c r="D14" s="555">
        <f>_xlfn.XLOOKUP(A14,Catalogo!B17:B80,Catalogo!F17:F80)</f>
        <v>2257.42</v>
      </c>
      <c r="E14" s="537" t="s">
        <v>107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4">
        <f t="shared" si="0"/>
        <v>181.88550000000004</v>
      </c>
      <c r="O14" s="531">
        <f>IF(N14&lt;&gt;"",_xlfn.XLOOKUP(A14,Catalogo!B17:B80,Catalogo!F17:F80)*N14,"")</f>
        <v>410591.96541000012</v>
      </c>
      <c r="P14" s="548">
        <f t="shared" si="1"/>
        <v>0.90942750000000017</v>
      </c>
      <c r="Q14" s="549">
        <f t="shared" si="2"/>
        <v>9.0572499999999834E-2</v>
      </c>
      <c r="R14" s="558">
        <f>+Q14*C14</f>
        <v>18.114499999999968</v>
      </c>
    </row>
    <row r="15" spans="1:18" x14ac:dyDescent="0.25">
      <c r="A15" s="540">
        <v>2.7</v>
      </c>
      <c r="B15" s="528" t="s">
        <v>293</v>
      </c>
      <c r="C15" s="537">
        <f>+_xlfn.XLOOKUP(A15,Catalogo!$B:$B,Catalogo!D:D)</f>
        <v>105</v>
      </c>
      <c r="D15" s="555">
        <f>_xlfn.XLOOKUP(A15,Catalogo!B18:B81,Catalogo!F18:F81)</f>
        <v>3540.12</v>
      </c>
      <c r="E15" s="537" t="s">
        <v>96</v>
      </c>
      <c r="F15" s="118">
        <f>+SUMIFS(Tabla1[Avance_Med],Tabla1[nombre_actividad],'EV (4)'!$B15,Tabla1[Sistema],'EV (4)'!F$1)</f>
        <v>0</v>
      </c>
      <c r="G15" s="33">
        <f>+SUMIFS(Tabla1[Avance_Med],Tabla1[nombre_actividad],'EV (4)'!$B15,Tabla1[Sistema],'EV (4)'!G$1)</f>
        <v>0</v>
      </c>
      <c r="H15" s="33">
        <f>+SUMIFS(Tabla1[Avance_Med],Tabla1[nombre_actividad],'EV (4)'!$B15,Tabla1[Sistema],'EV (4)'!H$1)</f>
        <v>0</v>
      </c>
      <c r="I15" s="33">
        <f>+SUMIFS(Tabla1[Avance_Med],Tabla1[nombre_actividad],'EV (4)'!$B15,Tabla1[Sistema],'EV (4)'!I$1)</f>
        <v>0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3">
        <f>+SUMIFS(Tabla1[Avance_Med],Tabla1[nombre_actividad],'EV (4)'!$B15,Tabla1[Sistema],'EV (4)'!L$1)</f>
        <v>0</v>
      </c>
      <c r="M15" s="523">
        <f>+SUMIFS(Tabla1[Avance_Med],Tabla1[nombre_actividad],'EV (4)'!$B15,Tabla1[Sistema],'EV (4)'!M$1)</f>
        <v>0</v>
      </c>
      <c r="N15" s="533" t="str">
        <f t="shared" si="0"/>
        <v/>
      </c>
      <c r="O15" s="531" t="str">
        <f>IF(N15&lt;&gt;"",_xlfn.XLOOKUP(A15,Catalogo!B18:B81,Catalogo!F18:F81)*N15,"")</f>
        <v/>
      </c>
      <c r="P15" s="548" t="str">
        <f t="shared" si="1"/>
        <v/>
      </c>
      <c r="Q15" s="549" t="str">
        <f t="shared" si="2"/>
        <v/>
      </c>
      <c r="R15" s="550"/>
    </row>
    <row r="16" spans="1:18" x14ac:dyDescent="0.25">
      <c r="A16" s="540">
        <v>2.8</v>
      </c>
      <c r="B16" s="528" t="s">
        <v>295</v>
      </c>
      <c r="C16" s="537">
        <f>+_xlfn.XLOOKUP(A16,Catalogo!$B:$B,Catalogo!D:D)</f>
        <v>105</v>
      </c>
      <c r="D16" s="555">
        <f>_xlfn.XLOOKUP(A16,Catalogo!B19:B82,Catalogo!F19:F82)</f>
        <v>2646.28</v>
      </c>
      <c r="E16" s="537" t="s">
        <v>96</v>
      </c>
      <c r="F16" s="118">
        <f>+SUMIFS(Tabla1[Avance_Med],Tabla1[nombre_actividad],'EV (4)'!$B16,Tabla1[Sistema],'EV (4)'!F$1)</f>
        <v>0</v>
      </c>
      <c r="G16" s="33">
        <f>+SUMIFS(Tabla1[Avance_Med],Tabla1[nombre_actividad],'EV (4)'!$B16,Tabla1[Sistema],'EV (4)'!G$1)</f>
        <v>0</v>
      </c>
      <c r="H16" s="33">
        <f>+SUMIFS(Tabla1[Avance_Med],Tabla1[nombre_actividad],'EV (4)'!$B16,Tabla1[Sistema],'EV (4)'!H$1)</f>
        <v>0</v>
      </c>
      <c r="I16" s="33">
        <f>+SUMIFS(Tabla1[Avance_Med],Tabla1[nombre_actividad],'EV (4)'!$B16,Tabla1[Sistema],'EV (4)'!I$1)</f>
        <v>0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3">
        <f>+SUMIFS(Tabla1[Avance_Med],Tabla1[nombre_actividad],'EV (4)'!$B16,Tabla1[Sistema],'EV (4)'!L$1)</f>
        <v>0</v>
      </c>
      <c r="M16" s="523">
        <f>+SUMIFS(Tabla1[Avance_Med],Tabla1[nombre_actividad],'EV (4)'!$B16,Tabla1[Sistema],'EV (4)'!M$1)</f>
        <v>0</v>
      </c>
      <c r="N16" s="533" t="str">
        <f t="shared" si="0"/>
        <v/>
      </c>
      <c r="O16" s="531" t="str">
        <f>IF(N16&lt;&gt;"",_xlfn.XLOOKUP(A16,Catalogo!B19:B82,Catalogo!F19:F82)*N16,"")</f>
        <v/>
      </c>
      <c r="P16" s="548" t="str">
        <f t="shared" si="1"/>
        <v/>
      </c>
      <c r="Q16" s="549" t="str">
        <f t="shared" si="2"/>
        <v/>
      </c>
      <c r="R16" s="550"/>
    </row>
    <row r="17" spans="1:18" x14ac:dyDescent="0.25">
      <c r="A17" s="542">
        <v>3.1</v>
      </c>
      <c r="B17" s="529" t="s">
        <v>297</v>
      </c>
      <c r="C17" s="537">
        <f>+_xlfn.XLOOKUP(A17,Catalogo!$B:$B,Catalogo!D:D)</f>
        <v>105</v>
      </c>
      <c r="D17" s="555">
        <f>_xlfn.XLOOKUP(A17,Catalogo!B20:B83,Catalogo!F20:F83)</f>
        <v>1970.65</v>
      </c>
      <c r="E17" s="537" t="s">
        <v>117</v>
      </c>
      <c r="F17" s="118">
        <f>+SUMIFS(Tabla1[Avance_Med],Tabla1[nombre_actividad],'EV (4)'!$B17,Tabla1[Sistema],'EV (4)'!F$1)</f>
        <v>0</v>
      </c>
      <c r="G17" s="33">
        <f>+SUMIFS(Tabla1[Avance_Med],Tabla1[nombre_actividad],'EV (4)'!$B17,Tabla1[Sistema],'EV (4)'!G$1)</f>
        <v>0</v>
      </c>
      <c r="H17" s="33">
        <f>+SUMIFS(Tabla1[Avance_Med],Tabla1[nombre_actividad],'EV (4)'!$B17,Tabla1[Sistema],'EV (4)'!H$1)</f>
        <v>0</v>
      </c>
      <c r="I17" s="33">
        <f>+SUMIFS(Tabla1[Avance_Med],Tabla1[nombre_actividad],'EV (4)'!$B17,Tabla1[Sistema],'EV (4)'!I$1)</f>
        <v>0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3">
        <f>+SUMIFS(Tabla1[Avance_Med],Tabla1[nombre_actividad],'EV (4)'!$B17,Tabla1[Sistema],'EV (4)'!L$1)</f>
        <v>0</v>
      </c>
      <c r="M17" s="523">
        <f>+SUMIFS(Tabla1[Avance_Med],Tabla1[nombre_actividad],'EV (4)'!$B17,Tabla1[Sistema],'EV (4)'!M$1)</f>
        <v>0</v>
      </c>
      <c r="N17" s="533" t="str">
        <f t="shared" si="0"/>
        <v/>
      </c>
      <c r="O17" s="531" t="str">
        <f>IF(N17&lt;&gt;"",_xlfn.XLOOKUP(A17,Catalogo!B20:B83,Catalogo!F20:F83)*N17,"")</f>
        <v/>
      </c>
      <c r="P17" s="548" t="str">
        <f t="shared" si="1"/>
        <v/>
      </c>
      <c r="Q17" s="549" t="str">
        <f t="shared" si="2"/>
        <v/>
      </c>
      <c r="R17" s="550"/>
    </row>
    <row r="18" spans="1:18" x14ac:dyDescent="0.25">
      <c r="A18" s="542">
        <v>3.2</v>
      </c>
      <c r="B18" s="529" t="s">
        <v>411</v>
      </c>
      <c r="C18" s="537">
        <f>+_xlfn.XLOOKUP(A18,Catalogo!$B:$B,Catalogo!D:D)</f>
        <v>55</v>
      </c>
      <c r="D18" s="555">
        <f>_xlfn.XLOOKUP(A18,Catalogo!B21:B84,Catalogo!F21:F84)</f>
        <v>7585.99</v>
      </c>
      <c r="E18" s="537" t="s">
        <v>119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3">
        <f t="shared" si="0"/>
        <v>14</v>
      </c>
      <c r="O18" s="531">
        <f>IF(N18&lt;&gt;"",_xlfn.XLOOKUP(A18,Catalogo!B21:B84,Catalogo!F21:F84)*N18,"")</f>
        <v>106203.86</v>
      </c>
      <c r="P18" s="548">
        <f t="shared" si="1"/>
        <v>0.25454545454545452</v>
      </c>
      <c r="Q18" s="549">
        <f t="shared" si="2"/>
        <v>0.74545454545454548</v>
      </c>
      <c r="R18" s="550"/>
    </row>
    <row r="19" spans="1:18" x14ac:dyDescent="0.25">
      <c r="A19" s="542" t="s">
        <v>121</v>
      </c>
      <c r="B19" s="529" t="s">
        <v>412</v>
      </c>
      <c r="C19" s="537">
        <f>+_xlfn.XLOOKUP(A19,Catalogo!$B:$B,Catalogo!D:D)</f>
        <v>55</v>
      </c>
      <c r="D19" s="555">
        <f>_xlfn.XLOOKUP(A19,Catalogo!B22:B85,Catalogo!F22:F85)</f>
        <v>1765.59</v>
      </c>
      <c r="E19" s="537" t="s">
        <v>119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3">
        <f t="shared" si="0"/>
        <v>15</v>
      </c>
      <c r="O19" s="531">
        <f>IF(N19&lt;&gt;"",_xlfn.XLOOKUP(A19,Catalogo!B22:B85,Catalogo!F22:F85)*N19,"")</f>
        <v>26483.85</v>
      </c>
      <c r="P19" s="548">
        <f t="shared" si="1"/>
        <v>0.27272727272727271</v>
      </c>
      <c r="Q19" s="549">
        <f t="shared" si="2"/>
        <v>0.72727272727272729</v>
      </c>
      <c r="R19" s="550"/>
    </row>
    <row r="20" spans="1:18" x14ac:dyDescent="0.25">
      <c r="A20" s="542" t="s">
        <v>123</v>
      </c>
      <c r="B20" s="529" t="s">
        <v>419</v>
      </c>
      <c r="C20" s="538">
        <f>+_xlfn.XLOOKUP(A20,Catalogo!$B:$B,Catalogo!D:D)</f>
        <v>100</v>
      </c>
      <c r="D20" s="556">
        <f>_xlfn.XLOOKUP(A20,Catalogo!B23:B86,Catalogo!F23:F86)</f>
        <v>1934.59</v>
      </c>
      <c r="E20" s="538" t="s">
        <v>125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3">
        <f t="shared" si="0"/>
        <v>15</v>
      </c>
      <c r="O20" s="531">
        <f>IF(N20&lt;&gt;"",_xlfn.XLOOKUP(A20,Catalogo!B23:B86,Catalogo!F23:F86)*N20,"")</f>
        <v>29018.85</v>
      </c>
      <c r="P20" s="548">
        <f t="shared" si="1"/>
        <v>0.15</v>
      </c>
      <c r="Q20" s="549">
        <f t="shared" si="2"/>
        <v>0.85</v>
      </c>
      <c r="R20" s="550"/>
    </row>
    <row r="21" spans="1:18" x14ac:dyDescent="0.25">
      <c r="A21" s="542" t="s">
        <v>126</v>
      </c>
      <c r="B21" s="529" t="s">
        <v>413</v>
      </c>
      <c r="C21" s="538">
        <f>+_xlfn.XLOOKUP(A21,Catalogo!$B:$B,Catalogo!D:D)</f>
        <v>100</v>
      </c>
      <c r="D21" s="556">
        <f>_xlfn.XLOOKUP(A21,Catalogo!B24:B87,Catalogo!F24:F87)</f>
        <v>1960.59</v>
      </c>
      <c r="E21" s="538" t="s">
        <v>125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3">
        <f t="shared" si="0"/>
        <v>15</v>
      </c>
      <c r="O21" s="531">
        <f>IF(N21&lt;&gt;"",_xlfn.XLOOKUP(A21,Catalogo!B24:B87,Catalogo!F24:F87)*N21,"")</f>
        <v>29408.85</v>
      </c>
      <c r="P21" s="548">
        <f t="shared" si="1"/>
        <v>0.15</v>
      </c>
      <c r="Q21" s="549">
        <f t="shared" si="2"/>
        <v>0.85</v>
      </c>
      <c r="R21" s="550"/>
    </row>
    <row r="22" spans="1:18" x14ac:dyDescent="0.25">
      <c r="A22" s="542" t="s">
        <v>128</v>
      </c>
      <c r="B22" s="529" t="s">
        <v>420</v>
      </c>
      <c r="C22" s="538">
        <f>+_xlfn.XLOOKUP(A22,Catalogo!$B:$B,Catalogo!D:D)</f>
        <v>170</v>
      </c>
      <c r="D22" s="556">
        <f>_xlfn.XLOOKUP(A22,Catalogo!B25:B88,Catalogo!F25:F88)</f>
        <v>2220.59</v>
      </c>
      <c r="E22" s="538" t="s">
        <v>125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3">
        <f t="shared" si="0"/>
        <v>2</v>
      </c>
      <c r="O22" s="531">
        <f>IF(N22&lt;&gt;"",_xlfn.XLOOKUP(A22,Catalogo!B25:B88,Catalogo!F25:F88)*N22,"")</f>
        <v>4441.18</v>
      </c>
      <c r="P22" s="548">
        <f t="shared" si="1"/>
        <v>1.1764705882352941E-2</v>
      </c>
      <c r="Q22" s="549">
        <f t="shared" si="2"/>
        <v>0.9882352941176471</v>
      </c>
      <c r="R22" s="550"/>
    </row>
    <row r="23" spans="1:18" x14ac:dyDescent="0.25">
      <c r="A23" s="542" t="s">
        <v>130</v>
      </c>
      <c r="B23" s="529" t="s">
        <v>418</v>
      </c>
      <c r="C23" s="538">
        <f>+_xlfn.XLOOKUP(A23,Catalogo!$B:$B,Catalogo!D:D)</f>
        <v>170</v>
      </c>
      <c r="D23" s="556">
        <f>_xlfn.XLOOKUP(A23,Catalogo!B26:B89,Catalogo!F26:F89)</f>
        <v>2220.59</v>
      </c>
      <c r="E23" s="538" t="s">
        <v>125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3">
        <f t="shared" si="0"/>
        <v>15</v>
      </c>
      <c r="O23" s="531">
        <f>IF(N23&lt;&gt;"",_xlfn.XLOOKUP(A23,Catalogo!B26:B89,Catalogo!F26:F89)*N23,"")</f>
        <v>33308.850000000006</v>
      </c>
      <c r="P23" s="548">
        <f t="shared" si="1"/>
        <v>8.8235294117647065E-2</v>
      </c>
      <c r="Q23" s="549">
        <f t="shared" si="2"/>
        <v>0.91176470588235292</v>
      </c>
      <c r="R23" s="550"/>
    </row>
    <row r="24" spans="1:18" x14ac:dyDescent="0.25">
      <c r="A24" s="542" t="s">
        <v>132</v>
      </c>
      <c r="B24" s="529" t="s">
        <v>414</v>
      </c>
      <c r="C24" s="538">
        <f>+_xlfn.XLOOKUP(A24,Catalogo!$B:$B,Catalogo!D:D)</f>
        <v>100</v>
      </c>
      <c r="D24" s="556">
        <f>_xlfn.XLOOKUP(A24,Catalogo!B27:B90,Catalogo!F27:F90)</f>
        <v>2090.59</v>
      </c>
      <c r="E24" s="538" t="s">
        <v>125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3">
        <f t="shared" si="0"/>
        <v>2</v>
      </c>
      <c r="O24" s="531">
        <f>IF(N24&lt;&gt;"",_xlfn.XLOOKUP(A24,Catalogo!B27:B90,Catalogo!F27:F90)*N24,"")</f>
        <v>4181.18</v>
      </c>
      <c r="P24" s="548">
        <f t="shared" si="1"/>
        <v>0.02</v>
      </c>
      <c r="Q24" s="549">
        <f t="shared" si="2"/>
        <v>0.98</v>
      </c>
      <c r="R24" s="550"/>
    </row>
    <row r="25" spans="1:18" x14ac:dyDescent="0.25">
      <c r="A25" s="542" t="s">
        <v>134</v>
      </c>
      <c r="B25" s="529" t="s">
        <v>421</v>
      </c>
      <c r="C25" s="538">
        <f>+_xlfn.XLOOKUP(A25,Catalogo!$B:$B,Catalogo!D:D)</f>
        <v>100</v>
      </c>
      <c r="D25" s="556">
        <f>_xlfn.XLOOKUP(A25,Catalogo!B28:B91,Catalogo!F28:F91)</f>
        <v>2090.59</v>
      </c>
      <c r="E25" s="538" t="s">
        <v>125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3">
        <f t="shared" si="0"/>
        <v>3</v>
      </c>
      <c r="O25" s="531">
        <f>IF(N25&lt;&gt;"",_xlfn.XLOOKUP(A25,Catalogo!B28:B91,Catalogo!F28:F91)*N25,"")</f>
        <v>6271.77</v>
      </c>
      <c r="P25" s="548">
        <f t="shared" si="1"/>
        <v>0.03</v>
      </c>
      <c r="Q25" s="549">
        <f t="shared" si="2"/>
        <v>0.97</v>
      </c>
      <c r="R25" s="550"/>
    </row>
    <row r="26" spans="1:18" x14ac:dyDescent="0.25">
      <c r="A26" s="542" t="s">
        <v>136</v>
      </c>
      <c r="B26" s="529" t="s">
        <v>416</v>
      </c>
      <c r="C26" s="538">
        <f>+_xlfn.XLOOKUP(A26,Catalogo!$B:$B,Catalogo!D:D)</f>
        <v>55</v>
      </c>
      <c r="D26" s="556">
        <f>_xlfn.XLOOKUP(A26,Catalogo!B29:B92,Catalogo!F29:F92)</f>
        <v>656</v>
      </c>
      <c r="E26" s="538" t="s">
        <v>125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3">
        <f t="shared" si="0"/>
        <v>14</v>
      </c>
      <c r="O26" s="531">
        <f>IF(N26&lt;&gt;"",_xlfn.XLOOKUP(A26,Catalogo!B29:B92,Catalogo!F29:F92)*N26,"")</f>
        <v>9184</v>
      </c>
      <c r="P26" s="548">
        <f t="shared" si="1"/>
        <v>0.25454545454545452</v>
      </c>
      <c r="Q26" s="549">
        <f t="shared" si="2"/>
        <v>0.74545454545454548</v>
      </c>
      <c r="R26" s="550"/>
    </row>
    <row r="27" spans="1:18" x14ac:dyDescent="0.25">
      <c r="A27" s="542" t="s">
        <v>138</v>
      </c>
      <c r="B27" s="529" t="s">
        <v>415</v>
      </c>
      <c r="C27" s="538">
        <f>+_xlfn.XLOOKUP(A27,Catalogo!$B:$B,Catalogo!D:D)</f>
        <v>55</v>
      </c>
      <c r="D27" s="556">
        <f>_xlfn.XLOOKUP(A27,Catalogo!B30:B93,Catalogo!F30:F93)</f>
        <v>4676</v>
      </c>
      <c r="E27" s="538" t="s">
        <v>125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3">
        <f t="shared" si="0"/>
        <v>14</v>
      </c>
      <c r="O27" s="531">
        <f>IF(N27&lt;&gt;"",_xlfn.XLOOKUP(A27,Catalogo!B30:B93,Catalogo!F30:F93)*N27,"")</f>
        <v>65464</v>
      </c>
      <c r="P27" s="548">
        <f t="shared" si="1"/>
        <v>0.25454545454545452</v>
      </c>
      <c r="Q27" s="549">
        <f t="shared" si="2"/>
        <v>0.74545454545454548</v>
      </c>
      <c r="R27" s="550"/>
    </row>
    <row r="28" spans="1:18" x14ac:dyDescent="0.25">
      <c r="A28" s="542">
        <v>3.4</v>
      </c>
      <c r="B28" s="529" t="s">
        <v>417</v>
      </c>
      <c r="C28" s="538">
        <f>+_xlfn.XLOOKUP(A28,Catalogo!$B:$B,Catalogo!D:D)</f>
        <v>105</v>
      </c>
      <c r="D28" s="556">
        <f>_xlfn.XLOOKUP(A28,Catalogo!B31:B94,Catalogo!F31:F94)</f>
        <v>4124.2700000000004</v>
      </c>
      <c r="E28" s="538" t="s">
        <v>96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3" t="str">
        <f t="shared" si="0"/>
        <v/>
      </c>
      <c r="O28" s="531" t="str">
        <f>IF(N28&lt;&gt;"",_xlfn.XLOOKUP(A28,Catalogo!B31:B94,Catalogo!F31:F94)*N28,"")</f>
        <v/>
      </c>
      <c r="P28" s="548" t="str">
        <f t="shared" si="1"/>
        <v/>
      </c>
      <c r="Q28" s="549" t="str">
        <f t="shared" si="2"/>
        <v/>
      </c>
      <c r="R28" s="550"/>
    </row>
    <row r="29" spans="1:18" x14ac:dyDescent="0.25">
      <c r="A29" s="543">
        <v>4.0999999999999996</v>
      </c>
      <c r="B29" s="530" t="s">
        <v>422</v>
      </c>
      <c r="C29" s="538">
        <f>+_xlfn.XLOOKUP(A29,Catalogo!$B:$B,Catalogo!D:D)</f>
        <v>105</v>
      </c>
      <c r="D29" s="556">
        <f>_xlfn.XLOOKUP(A29,Catalogo!B32:B95,Catalogo!F32:F95)</f>
        <v>5020.99</v>
      </c>
      <c r="E29" s="538" t="s">
        <v>96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3" t="str">
        <f t="shared" si="0"/>
        <v/>
      </c>
      <c r="O29" s="531" t="str">
        <f>IF(N29&lt;&gt;"",_xlfn.XLOOKUP(A29,Catalogo!B32:B95,Catalogo!F32:F95)*N29,"")</f>
        <v/>
      </c>
      <c r="P29" s="548" t="str">
        <f t="shared" si="1"/>
        <v/>
      </c>
      <c r="Q29" s="549" t="str">
        <f t="shared" si="2"/>
        <v/>
      </c>
      <c r="R29" s="550"/>
    </row>
    <row r="30" spans="1:18" x14ac:dyDescent="0.25">
      <c r="A30" s="543">
        <v>4.2</v>
      </c>
      <c r="B30" s="530" t="s">
        <v>423</v>
      </c>
      <c r="C30" s="538">
        <f>+_xlfn.XLOOKUP(A30,Catalogo!$B:$B,Catalogo!D:D)</f>
        <v>105</v>
      </c>
      <c r="D30" s="556">
        <f>_xlfn.XLOOKUP(A30,Catalogo!B33:B96,Catalogo!F33:F96)</f>
        <v>3652.99</v>
      </c>
      <c r="E30" s="538" t="s">
        <v>96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3" t="str">
        <f t="shared" si="0"/>
        <v/>
      </c>
      <c r="O30" s="531" t="str">
        <f>IF(N30&lt;&gt;"",_xlfn.XLOOKUP(A30,Catalogo!B33:B96,Catalogo!F33:F96)*N30,"")</f>
        <v/>
      </c>
      <c r="P30" s="548" t="str">
        <f t="shared" si="1"/>
        <v/>
      </c>
      <c r="Q30" s="549" t="str">
        <f t="shared" si="2"/>
        <v/>
      </c>
      <c r="R30" s="550"/>
    </row>
    <row r="31" spans="1:18" x14ac:dyDescent="0.25">
      <c r="A31" s="543">
        <v>4.3</v>
      </c>
      <c r="B31" s="530" t="s">
        <v>424</v>
      </c>
      <c r="C31" s="538">
        <f>+_xlfn.XLOOKUP(A31,Catalogo!$B:$B,Catalogo!D:D)</f>
        <v>105</v>
      </c>
      <c r="D31" s="556">
        <f>_xlfn.XLOOKUP(A31,Catalogo!B34:B97,Catalogo!F34:F97)</f>
        <v>3201.98</v>
      </c>
      <c r="E31" s="538" t="s">
        <v>96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3" t="str">
        <f t="shared" si="0"/>
        <v/>
      </c>
      <c r="O31" s="531" t="str">
        <f>IF(N31&lt;&gt;"",_xlfn.XLOOKUP(A31,Catalogo!B34:B97,Catalogo!F34:F97)*N31,"")</f>
        <v/>
      </c>
      <c r="P31" s="548" t="str">
        <f t="shared" si="1"/>
        <v/>
      </c>
      <c r="Q31" s="549" t="str">
        <f t="shared" si="2"/>
        <v/>
      </c>
      <c r="R31" s="550"/>
    </row>
    <row r="32" spans="1:18" x14ac:dyDescent="0.25">
      <c r="A32" s="543">
        <v>4.4000000000000004</v>
      </c>
      <c r="B32" s="530" t="s">
        <v>425</v>
      </c>
      <c r="C32" s="538">
        <f>+_xlfn.XLOOKUP(A32,Catalogo!$B:$B,Catalogo!D:D)</f>
        <v>105</v>
      </c>
      <c r="D32" s="556">
        <f>_xlfn.XLOOKUP(A32,Catalogo!B35:B98,Catalogo!F35:F98)</f>
        <v>6840</v>
      </c>
      <c r="E32" s="538" t="s">
        <v>96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3" t="str">
        <f t="shared" si="0"/>
        <v/>
      </c>
      <c r="O32" s="531" t="str">
        <f>IF(N32&lt;&gt;"",_xlfn.XLOOKUP(A32,Catalogo!B35:B98,Catalogo!F35:F98)*N32,"")</f>
        <v/>
      </c>
      <c r="P32" s="548" t="str">
        <f t="shared" si="1"/>
        <v/>
      </c>
      <c r="Q32" s="549" t="str">
        <f t="shared" si="2"/>
        <v/>
      </c>
      <c r="R32" s="550"/>
    </row>
    <row r="33" spans="1:18" x14ac:dyDescent="0.25">
      <c r="A33" s="543">
        <v>4.5</v>
      </c>
      <c r="B33" s="530" t="s">
        <v>426</v>
      </c>
      <c r="C33" s="538">
        <f>+_xlfn.XLOOKUP(A33,Catalogo!$B:$B,Catalogo!D:D)</f>
        <v>105</v>
      </c>
      <c r="D33" s="556">
        <f>_xlfn.XLOOKUP(A33,Catalogo!B36:B99,Catalogo!F36:F99)</f>
        <v>2052</v>
      </c>
      <c r="E33" s="538" t="s">
        <v>96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3" t="str">
        <f t="shared" si="0"/>
        <v/>
      </c>
      <c r="O33" s="531" t="str">
        <f>IF(N33&lt;&gt;"",_xlfn.XLOOKUP(A33,Catalogo!B36:B99,Catalogo!F36:F99)*N33,"")</f>
        <v/>
      </c>
      <c r="P33" s="548" t="str">
        <f t="shared" si="1"/>
        <v/>
      </c>
      <c r="Q33" s="549" t="str">
        <f t="shared" si="2"/>
        <v/>
      </c>
      <c r="R33" s="550"/>
    </row>
    <row r="34" spans="1:18" x14ac:dyDescent="0.25">
      <c r="A34" s="543">
        <v>4.5999999999999996</v>
      </c>
      <c r="B34" s="530" t="s">
        <v>427</v>
      </c>
      <c r="C34" s="538">
        <f>+_xlfn.XLOOKUP(A34,Catalogo!$B:$B,Catalogo!D:D)</f>
        <v>105</v>
      </c>
      <c r="D34" s="556">
        <f>_xlfn.XLOOKUP(A34,Catalogo!B37:B100,Catalogo!F37:F100)</f>
        <v>3420</v>
      </c>
      <c r="E34" s="538" t="s">
        <v>96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3" t="str">
        <f t="shared" si="0"/>
        <v/>
      </c>
      <c r="O34" s="531" t="str">
        <f>IF(N34&lt;&gt;"",_xlfn.XLOOKUP(A34,Catalogo!B37:B100,Catalogo!F37:F100)*N34,"")</f>
        <v/>
      </c>
      <c r="P34" s="548" t="str">
        <f t="shared" si="1"/>
        <v/>
      </c>
      <c r="Q34" s="549" t="str">
        <f t="shared" si="2"/>
        <v/>
      </c>
      <c r="R34" s="550"/>
    </row>
    <row r="35" spans="1:18" x14ac:dyDescent="0.25">
      <c r="A35" s="543">
        <v>4.7</v>
      </c>
      <c r="B35" s="530" t="s">
        <v>428</v>
      </c>
      <c r="C35" s="538">
        <f>+_xlfn.XLOOKUP(A35,Catalogo!$B:$B,Catalogo!D:D)</f>
        <v>105</v>
      </c>
      <c r="D35" s="556">
        <f>_xlfn.XLOOKUP(A35,Catalogo!B38:B101,Catalogo!F38:F101)</f>
        <v>4212.3599999999997</v>
      </c>
      <c r="E35" s="538" t="s">
        <v>96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3" t="str">
        <f t="shared" si="0"/>
        <v/>
      </c>
      <c r="O35" s="531" t="str">
        <f>IF(N35&lt;&gt;"",_xlfn.XLOOKUP(A35,Catalogo!B38:B101,Catalogo!F38:F101)*N35,"")</f>
        <v/>
      </c>
      <c r="P35" s="548" t="str">
        <f t="shared" si="1"/>
        <v/>
      </c>
      <c r="Q35" s="549" t="str">
        <f t="shared" si="2"/>
        <v/>
      </c>
      <c r="R35" s="550"/>
    </row>
    <row r="36" spans="1:18" x14ac:dyDescent="0.25">
      <c r="A36" s="543">
        <v>4.8</v>
      </c>
      <c r="B36" s="530" t="s">
        <v>429</v>
      </c>
      <c r="C36" s="538">
        <f>+_xlfn.XLOOKUP(A36,Catalogo!$B:$B,Catalogo!D:D)</f>
        <v>105</v>
      </c>
      <c r="D36" s="556">
        <f>_xlfn.XLOOKUP(A36,Catalogo!B39:B102,Catalogo!F39:F102)</f>
        <v>1368</v>
      </c>
      <c r="E36" s="538" t="s">
        <v>96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3" t="str">
        <f t="shared" si="0"/>
        <v/>
      </c>
      <c r="O36" s="531" t="str">
        <f>IF(N36&lt;&gt;"",_xlfn.XLOOKUP(A36,Catalogo!B39:B102,Catalogo!F39:F102)*N36,"")</f>
        <v/>
      </c>
      <c r="P36" s="548" t="str">
        <f t="shared" si="1"/>
        <v/>
      </c>
      <c r="Q36" s="549" t="str">
        <f t="shared" si="2"/>
        <v/>
      </c>
      <c r="R36" s="550"/>
    </row>
    <row r="37" spans="1:18" x14ac:dyDescent="0.25">
      <c r="A37" s="543">
        <v>4.9000000000000004</v>
      </c>
      <c r="B37" s="530" t="s">
        <v>430</v>
      </c>
      <c r="C37" s="537">
        <f>+_xlfn.XLOOKUP(A37,Catalogo!$B:$B,Catalogo!D:D)</f>
        <v>100</v>
      </c>
      <c r="D37" s="555">
        <f>_xlfn.XLOOKUP(A37,Catalogo!B40:B103,Catalogo!F40:F103)</f>
        <v>7244.35</v>
      </c>
      <c r="E37" s="537" t="s">
        <v>641</v>
      </c>
      <c r="F37" s="118">
        <f>+SUMIFS(Tabla1[Avance_Med],Tabla1[nombre_actividad],'EV (4)'!$B37,Tabla1[Sistema],'EV (4)'!F$1)</f>
        <v>0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3" t="str">
        <f t="shared" si="0"/>
        <v/>
      </c>
      <c r="O37" s="531" t="str">
        <f>IF(N37&lt;&gt;"",_xlfn.XLOOKUP(A37,Catalogo!B40:B103,Catalogo!F40:F103)*N37,"")</f>
        <v/>
      </c>
      <c r="P37" s="548" t="str">
        <f t="shared" si="1"/>
        <v/>
      </c>
      <c r="Q37" s="549" t="str">
        <f t="shared" si="2"/>
        <v/>
      </c>
      <c r="R37" s="550"/>
    </row>
    <row r="38" spans="1:18" x14ac:dyDescent="0.25">
      <c r="A38" s="544" t="s">
        <v>519</v>
      </c>
      <c r="B38" s="530" t="s">
        <v>431</v>
      </c>
      <c r="C38" s="537">
        <f>+_xlfn.XLOOKUP(A38,Catalogo!$B:$B,Catalogo!D:D)</f>
        <v>500</v>
      </c>
      <c r="D38" s="555">
        <f>_xlfn.XLOOKUP(A38,Catalogo!B41:B104,Catalogo!F41:F104)</f>
        <v>6977.93</v>
      </c>
      <c r="E38" s="537" t="s">
        <v>641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0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3" t="str">
        <f t="shared" si="0"/>
        <v/>
      </c>
      <c r="O38" s="531" t="str">
        <f>IF(N38&lt;&gt;"",_xlfn.XLOOKUP(A38,Catalogo!B41:B104,Catalogo!F41:F104)*N38,"")</f>
        <v/>
      </c>
      <c r="P38" s="548" t="str">
        <f t="shared" si="1"/>
        <v/>
      </c>
      <c r="Q38" s="549" t="str">
        <f t="shared" si="2"/>
        <v/>
      </c>
      <c r="R38" s="550"/>
    </row>
    <row r="39" spans="1:18" x14ac:dyDescent="0.25">
      <c r="A39" s="545">
        <v>4.1100000000000003</v>
      </c>
      <c r="B39" s="530" t="s">
        <v>432</v>
      </c>
      <c r="C39" s="537">
        <f>+_xlfn.XLOOKUP(A39,Catalogo!$B:$B,Catalogo!D:D)</f>
        <v>800</v>
      </c>
      <c r="D39" s="555">
        <f>_xlfn.XLOOKUP(A39,Catalogo!B42:B105,Catalogo!F42:F105)</f>
        <v>8275.99</v>
      </c>
      <c r="E39" s="537" t="s">
        <v>641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3" t="str">
        <f t="shared" si="0"/>
        <v/>
      </c>
      <c r="O39" s="531" t="str">
        <f>IF(N39&lt;&gt;"",_xlfn.XLOOKUP(A39,Catalogo!B42:B105,Catalogo!F42:F105)*N39,"")</f>
        <v/>
      </c>
      <c r="P39" s="548" t="str">
        <f t="shared" si="1"/>
        <v/>
      </c>
      <c r="Q39" s="549" t="str">
        <f t="shared" si="2"/>
        <v/>
      </c>
      <c r="R39" s="550"/>
    </row>
    <row r="40" spans="1:18" x14ac:dyDescent="0.25">
      <c r="A40" s="545">
        <v>4.12</v>
      </c>
      <c r="B40" s="530" t="s">
        <v>433</v>
      </c>
      <c r="C40" s="537">
        <f>+_xlfn.XLOOKUP(A40,Catalogo!$B:$B,Catalogo!D:D)</f>
        <v>105</v>
      </c>
      <c r="D40" s="555">
        <f>_xlfn.XLOOKUP(A40,Catalogo!B43:B106,Catalogo!F43:F106)</f>
        <v>4409.2299999999996</v>
      </c>
      <c r="E40" s="537" t="s">
        <v>96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3" t="str">
        <f t="shared" si="0"/>
        <v/>
      </c>
      <c r="O40" s="531" t="str">
        <f>IF(N40&lt;&gt;"",_xlfn.XLOOKUP(A40,Catalogo!B43:B106,Catalogo!F43:F106)*N40,"")</f>
        <v/>
      </c>
      <c r="P40" s="548" t="str">
        <f t="shared" si="1"/>
        <v/>
      </c>
      <c r="Q40" s="549" t="str">
        <f t="shared" si="2"/>
        <v/>
      </c>
    </row>
    <row r="41" spans="1:18" x14ac:dyDescent="0.25">
      <c r="C41"/>
      <c r="D41"/>
      <c r="E41"/>
      <c r="F41"/>
      <c r="O41" s="532"/>
    </row>
    <row r="42" spans="1:18" ht="18" x14ac:dyDescent="0.25">
      <c r="C42"/>
      <c r="D42"/>
      <c r="E42"/>
      <c r="F42"/>
      <c r="O42" s="535">
        <f>SUM(O3:O41)</f>
        <v>8413424.4872999974</v>
      </c>
      <c r="P42" s="292">
        <f>+'EV (2)'!AN5+'EV (4)'!O42</f>
        <v>-2749497.3527000025</v>
      </c>
      <c r="Q42" s="536">
        <f>-O42/'EV (2)'!AO5</f>
        <v>0.75369375580076603</v>
      </c>
      <c r="R42" s="547">
        <f>1-Q42</f>
        <v>0.24630624419923397</v>
      </c>
    </row>
    <row r="43" spans="1:18" x14ac:dyDescent="0.25">
      <c r="C43"/>
      <c r="D43"/>
      <c r="E43"/>
      <c r="F43"/>
      <c r="O43" s="546" t="str">
        <f ca="1">+IF(O42=EV!AC35,"CHECKED","NO CUADRA")</f>
        <v>NO CUADRA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15" priority="8" operator="equal">
      <formula>0</formula>
    </cfRule>
  </conditionalFormatting>
  <conditionalFormatting sqref="O43">
    <cfRule type="beginsWith" dxfId="14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5" customFormat="1" ht="81.75" customHeight="1" x14ac:dyDescent="0.25">
      <c r="B1" s="298" t="s">
        <v>78</v>
      </c>
      <c r="C1" s="298" t="s">
        <v>79</v>
      </c>
      <c r="D1" s="298" t="s">
        <v>77</v>
      </c>
      <c r="E1" s="457" t="s">
        <v>551</v>
      </c>
      <c r="F1" s="298" t="s">
        <v>552</v>
      </c>
      <c r="G1" s="298" t="s">
        <v>553</v>
      </c>
      <c r="H1" s="304" t="s">
        <v>436</v>
      </c>
      <c r="J1" s="409"/>
      <c r="L1" s="298" t="s">
        <v>78</v>
      </c>
      <c r="M1" s="298" t="s">
        <v>79</v>
      </c>
      <c r="N1" s="298" t="s">
        <v>77</v>
      </c>
      <c r="O1" s="457" t="s">
        <v>551</v>
      </c>
      <c r="P1" s="457" t="s">
        <v>552</v>
      </c>
      <c r="Q1" s="298" t="s">
        <v>553</v>
      </c>
      <c r="R1" s="304" t="s">
        <v>436</v>
      </c>
      <c r="U1" s="457" t="s">
        <v>551</v>
      </c>
      <c r="V1" s="457" t="s">
        <v>552</v>
      </c>
      <c r="W1" s="298" t="s">
        <v>553</v>
      </c>
    </row>
    <row r="2" spans="1:57" s="76" customFormat="1" x14ac:dyDescent="0.25">
      <c r="B2" s="299" t="s">
        <v>107</v>
      </c>
      <c r="C2" s="299" t="s">
        <v>107</v>
      </c>
      <c r="D2" s="299" t="s">
        <v>107</v>
      </c>
      <c r="E2" s="299" t="s">
        <v>554</v>
      </c>
      <c r="F2" s="299" t="s">
        <v>554</v>
      </c>
      <c r="G2" s="299" t="s">
        <v>554</v>
      </c>
      <c r="L2" s="299" t="s">
        <v>107</v>
      </c>
      <c r="M2" s="299" t="s">
        <v>107</v>
      </c>
      <c r="N2" s="299" t="s">
        <v>107</v>
      </c>
      <c r="O2" s="299" t="s">
        <v>554</v>
      </c>
      <c r="P2" s="299" t="s">
        <v>554</v>
      </c>
      <c r="Q2" s="299" t="s">
        <v>554</v>
      </c>
      <c r="U2" s="299" t="s">
        <v>554</v>
      </c>
      <c r="V2" s="299" t="s">
        <v>554</v>
      </c>
      <c r="W2" s="299" t="s">
        <v>554</v>
      </c>
    </row>
    <row r="3" spans="1:57" x14ac:dyDescent="0.25">
      <c r="A3"/>
      <c r="B3" s="293">
        <v>7800</v>
      </c>
      <c r="C3" s="262">
        <v>8200</v>
      </c>
      <c r="D3" s="262">
        <v>1600</v>
      </c>
      <c r="E3" s="262">
        <v>355</v>
      </c>
      <c r="F3" s="262">
        <v>1500</v>
      </c>
      <c r="G3" s="262">
        <v>295</v>
      </c>
      <c r="H3"/>
      <c r="K3"/>
      <c r="L3" s="293">
        <v>7800</v>
      </c>
      <c r="M3" s="262">
        <v>8200</v>
      </c>
      <c r="N3" s="262">
        <v>1600</v>
      </c>
      <c r="O3" s="262">
        <v>355</v>
      </c>
      <c r="P3" s="262">
        <v>1500</v>
      </c>
      <c r="Q3" s="262">
        <v>295</v>
      </c>
      <c r="R3"/>
      <c r="U3" s="262">
        <v>355</v>
      </c>
      <c r="V3" s="262">
        <v>1500</v>
      </c>
      <c r="W3" s="262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437</v>
      </c>
      <c r="B5" s="76"/>
      <c r="C5" s="76"/>
      <c r="D5" s="76"/>
      <c r="E5" s="76"/>
      <c r="F5" s="76"/>
      <c r="G5" s="76"/>
      <c r="H5" s="309">
        <v>-1500000</v>
      </c>
      <c r="I5" s="309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9"/>
      <c r="S5" s="309"/>
      <c r="U5" s="76"/>
      <c r="V5" s="76"/>
      <c r="W5" s="76"/>
    </row>
    <row r="6" spans="1:57" x14ac:dyDescent="0.25">
      <c r="A6" s="228">
        <v>45962</v>
      </c>
      <c r="B6" s="315">
        <f>+SUMIFS(Tabla1[Avance_km],Tabla1[Fecha],"&gt;="&amp;$A6,Tabla1[Fecha],"&lt;="&amp;EOMONTH($A6,0),Tabla1[Codigo_actividad],B$4)*B$3</f>
        <v>246082.19999999998</v>
      </c>
      <c r="C6" s="315">
        <f>+SUMIFS(Tabla1[Avance_km],Tabla1[Fecha],"&gt;="&amp;$A6,Tabla1[Fecha],"&lt;="&amp;EOMONTH($A6,0),Tabla1[Codigo_actividad],C$4)*C$3</f>
        <v>435001.8</v>
      </c>
      <c r="D6" s="315">
        <f>+SUMIFS(Tabla1[Avance_km],Tabla1[Fecha],"&gt;="&amp;$A6,Tabla1[Fecha],"&lt;="&amp;EOMONTH($A6,0),Tabla1[Codigo_actividad],D$4)*D$3</f>
        <v>115235.20000000003</v>
      </c>
      <c r="E6" s="315">
        <f>+O6*$E$3</f>
        <v>0</v>
      </c>
      <c r="F6" s="315">
        <f>+P6*$F$3</f>
        <v>0</v>
      </c>
      <c r="G6" s="315">
        <f>+Q6*$G$3</f>
        <v>0</v>
      </c>
      <c r="H6" s="314"/>
      <c r="I6" s="309">
        <f>SUM(B6:H6)</f>
        <v>796319.20000000007</v>
      </c>
      <c r="J6" s="231"/>
      <c r="K6" s="228">
        <v>45962</v>
      </c>
      <c r="L6" s="315">
        <f>+SUMIFS(Tabla1[Avance_km],Tabla1[Fecha],"&gt;="&amp;$A6,Tabla1[Fecha],"&lt;="&amp;EOMONTH($A6,0),Tabla1[Codigo_actividad],L$4)</f>
        <v>31.548999999999999</v>
      </c>
      <c r="M6" s="315">
        <f>+SUMIFS(Tabla1[Avance_km],Tabla1[Fecha],"&gt;="&amp;$A6,Tabla1[Fecha],"&lt;="&amp;EOMONTH($A6,0),Tabla1[Codigo_actividad],M$4)</f>
        <v>53.048999999999999</v>
      </c>
      <c r="N6" s="315">
        <f>+SUMIFS(Tabla1[Avance_km],Tabla1[Fecha],"&gt;="&amp;$A6,Tabla1[Fecha],"&lt;="&amp;EOMONTH($A6,0),Tabla1[Codigo_actividad],N$4)</f>
        <v>72.02200000000002</v>
      </c>
      <c r="O6" s="315">
        <f>+SUMIFS(Tabla1[Observaciones],Tabla1[Fecha],"&gt;="&amp;$A6,Tabla1[Fecha],"&lt;="&amp;EOMONTH($A6,0),Tabla1[Codigo_actividad],O$4,Tabla1[Actividades],"&lt;&gt;"&amp;"METALOGRAFIAS",Tabla1[Length],O$1)</f>
        <v>0</v>
      </c>
      <c r="P6" s="315">
        <f>+SUMIFS(Tabla1[Observaciones],Tabla1[Fecha],"&gt;="&amp;$A6,Tabla1[Fecha],"&lt;="&amp;EOMONTH($A6,0),Tabla1[Codigo_actividad],P$4,Tabla1[Actividades],"&lt;&gt;"&amp;"METALOGRAFIAS",Tabla1[Length],P$1)</f>
        <v>0</v>
      </c>
      <c r="Q6" s="315">
        <f>+SUMIFS(Tabla1[Observaciones],Tabla1[Fecha],"&gt;="&amp;$A6,Tabla1[Fecha],"&lt;="&amp;EOMONTH($A6,0),Tabla1[Codigo_actividad],Q$4,Tabla1[Actividades],"&lt;&gt;"&amp;"METALOGRAFIAS",Tabla1[Length],Q$1)</f>
        <v>0</v>
      </c>
      <c r="R6" s="314"/>
      <c r="S6" s="309">
        <f>SUM(L6:N6)</f>
        <v>156.62</v>
      </c>
      <c r="T6" s="459">
        <f>SUM(O6:Q6)</f>
        <v>0</v>
      </c>
      <c r="U6" s="315">
        <f>+SUMIFS(Tabla1[Observaciones],Tabla1[Fecha],"&gt;="&amp;$A6,Tabla1[Fecha],"&lt;="&amp;EOMONTH($A6,0),Tabla1[Codigo_actividad],U$4,Tabla1[Actividades],"&lt;&gt;"&amp;"METALOGRAFIAS",Tabla1[Length],U$1)</f>
        <v>0</v>
      </c>
      <c r="V6" s="315">
        <f>+SUMIFS(Tabla1[Observaciones],Tabla1[Fecha],"&gt;="&amp;$A6,Tabla1[Fecha],"&lt;="&amp;EOMONTH($A6,0),Tabla1[Codigo_actividad],V$4,Tabla1[Actividades],"&lt;&gt;"&amp;"METALOGRAFIAS",Tabla1[Length],V$1)</f>
        <v>0</v>
      </c>
      <c r="W6" s="315">
        <f>+SUMIFS(Tabla1[Observaciones],Tabla1[Fecha],"&gt;="&amp;$A6,Tabla1[Fecha],"&lt;="&amp;EOMONTH($A6,0),Tabla1[Codigo_actividad],W$4,Tabla1[Actividades],"&lt;&gt;"&amp;"METALOGRAFIAS",Tabla1[Length],W$1)</f>
        <v>0</v>
      </c>
      <c r="X6" s="459"/>
      <c r="Y6" s="459"/>
      <c r="Z6" s="459"/>
      <c r="AA6" s="459"/>
    </row>
    <row r="7" spans="1:57" x14ac:dyDescent="0.25">
      <c r="A7" s="228">
        <v>45992</v>
      </c>
      <c r="B7" s="315">
        <f>+SUMIFS(Tabla1[Avance_km],Tabla1[Fecha],"&gt;="&amp;$A7,Tabla1[Fecha],"&lt;="&amp;EOMONTH($A7,0),Tabla1[Codigo_actividad],B$4)*B$3</f>
        <v>245832.60000000003</v>
      </c>
      <c r="C7" s="315">
        <f>+SUMIFS(Tabla1[Avance_km],Tabla1[Fecha],"&gt;="&amp;$A7,Tabla1[Fecha],"&lt;="&amp;EOMONTH($A7,0),Tabla1[Codigo_actividad],C$4)*C$3</f>
        <v>258660.79999999996</v>
      </c>
      <c r="D7" s="315">
        <f>+SUMIFS(Tabla1[Avance_km],Tabla1[Fecha],"&gt;="&amp;$A7,Tabla1[Fecha],"&lt;="&amp;EOMONTH($A7,0),Tabla1[Codigo_actividad],D$4)*D$3</f>
        <v>33892.800000000003</v>
      </c>
      <c r="E7" s="315">
        <f t="shared" ref="E7:E19" si="1">+O7*$E$3</f>
        <v>0</v>
      </c>
      <c r="F7" s="315">
        <f t="shared" ref="F7:F19" si="2">+P7*$F$3</f>
        <v>0</v>
      </c>
      <c r="G7" s="315">
        <f t="shared" ref="G7:G19" si="3">+Q7*$G$3</f>
        <v>0</v>
      </c>
      <c r="H7" s="314"/>
      <c r="I7" s="309">
        <f t="shared" ref="I7:I19" si="4">SUM(B7:H7)</f>
        <v>538386.20000000007</v>
      </c>
      <c r="K7" s="228">
        <v>45992</v>
      </c>
      <c r="L7" s="315">
        <f>+SUMIFS(Tabla1[Avance_km],Tabla1[Fecha],"&gt;="&amp;$A7,Tabla1[Fecha],"&lt;="&amp;EOMONTH($A7,0),Tabla1[Codigo_actividad],L$4)</f>
        <v>31.517000000000003</v>
      </c>
      <c r="M7" s="315">
        <f>+SUMIFS(Tabla1[Avance_km],Tabla1[Fecha],"&gt;="&amp;$A7,Tabla1[Fecha],"&lt;="&amp;EOMONTH($A7,0),Tabla1[Codigo_actividad],M$4)</f>
        <v>31.543999999999993</v>
      </c>
      <c r="N7" s="315">
        <f>+SUMIFS(Tabla1[Avance_km],Tabla1[Fecha],"&gt;="&amp;$A7,Tabla1[Fecha],"&lt;="&amp;EOMONTH($A7,0),Tabla1[Codigo_actividad],N$4)</f>
        <v>21.183</v>
      </c>
      <c r="O7" s="315">
        <f>+SUMIFS(Tabla1[Observaciones],Tabla1[Fecha],"&gt;="&amp;$A7,Tabla1[Fecha],"&lt;="&amp;EOMONTH($A7,0),Tabla1[Codigo_actividad],O$4,Tabla1[Actividades],"&lt;&gt;"&amp;"METALOGRAFIAS",Tabla1[Length],O$1)</f>
        <v>0</v>
      </c>
      <c r="P7" s="315">
        <f>+SUMIFS(Tabla1[Observaciones],Tabla1[Fecha],"&gt;="&amp;$A7,Tabla1[Fecha],"&lt;="&amp;EOMONTH($A7,0),Tabla1[Codigo_actividad],P$4,Tabla1[Actividades],"&lt;&gt;"&amp;"METALOGRAFIAS",Tabla1[Length],P$1)</f>
        <v>0</v>
      </c>
      <c r="Q7" s="315">
        <f>+SUMIFS(Tabla1[Observaciones],Tabla1[Fecha],"&gt;="&amp;$A7,Tabla1[Fecha],"&lt;="&amp;EOMONTH($A7,0),Tabla1[Codigo_actividad],Q$4,Tabla1[Actividades],"&lt;&gt;"&amp;"METALOGRAFIAS",Tabla1[Length],Q$1)</f>
        <v>0</v>
      </c>
      <c r="R7" s="314"/>
      <c r="S7" s="309">
        <f t="shared" ref="S7:S19" si="5">SUM(L7:N7)</f>
        <v>84.244</v>
      </c>
      <c r="T7" s="459">
        <f t="shared" ref="T7:T19" si="6">SUM(O7:Q7)</f>
        <v>0</v>
      </c>
      <c r="U7" s="315">
        <f>+SUMIFS(Tabla1[Observaciones],Tabla1[Fecha],"&gt;="&amp;$A7,Tabla1[Fecha],"&lt;="&amp;EOMONTH($A7,0),Tabla1[Codigo_actividad],U$4,Tabla1[Actividades],"&lt;&gt;"&amp;"METALOGRAFIAS",Tabla1[Length],U$1)</f>
        <v>0</v>
      </c>
      <c r="V7" s="315">
        <f>+SUMIFS(Tabla1[Observaciones],Tabla1[Fecha],"&gt;="&amp;$A7,Tabla1[Fecha],"&lt;="&amp;EOMONTH($A7,0),Tabla1[Codigo_actividad],V$4,Tabla1[Actividades],"&lt;&gt;"&amp;"METALOGRAFIAS",Tabla1[Length],V$1)</f>
        <v>0</v>
      </c>
      <c r="W7" s="315">
        <f>+SUMIFS(Tabla1[Observaciones],Tabla1[Fecha],"&gt;="&amp;$A7,Tabla1[Fecha],"&lt;="&amp;EOMONTH($A7,0),Tabla1[Codigo_actividad],W$4,Tabla1[Actividades],"&lt;&gt;"&amp;"METALOGRAFIAS",Tabla1[Length],W$1)</f>
        <v>0</v>
      </c>
      <c r="X7" s="459"/>
      <c r="Y7" s="459"/>
      <c r="Z7" s="459"/>
      <c r="AA7" s="459"/>
    </row>
    <row r="8" spans="1:57" x14ac:dyDescent="0.25">
      <c r="A8" s="228">
        <v>46023</v>
      </c>
      <c r="B8" s="315">
        <f>+SUMIFS(Tabla1[Avance_km],Tabla1[Fecha],"&gt;="&amp;$A8,Tabla1[Fecha],"&lt;="&amp;EOMONTH($A8,0),Tabla1[Codigo_actividad],B$4)*B$3</f>
        <v>287352.00000000006</v>
      </c>
      <c r="C8" s="315">
        <f>+SUMIFS(Tabla1[Avance_km],Tabla1[Fecha],"&gt;="&amp;$A8,Tabla1[Fecha],"&lt;="&amp;EOMONTH($A8,0),Tabla1[Codigo_actividad],C$4)*C$3</f>
        <v>125566.60000000003</v>
      </c>
      <c r="D8" s="315">
        <f>+SUMIFS(Tabla1[Avance_km],Tabla1[Fecha],"&gt;="&amp;$A8,Tabla1[Fecha],"&lt;="&amp;EOMONTH($A8,0),Tabla1[Codigo_actividad],D$4)*D$3</f>
        <v>10721.599999999999</v>
      </c>
      <c r="E8" s="315">
        <f t="shared" si="1"/>
        <v>0</v>
      </c>
      <c r="F8" s="315">
        <f t="shared" si="2"/>
        <v>0</v>
      </c>
      <c r="G8" s="315">
        <f t="shared" si="3"/>
        <v>0</v>
      </c>
      <c r="H8" s="314"/>
      <c r="I8" s="309">
        <f t="shared" si="4"/>
        <v>423640.20000000007</v>
      </c>
      <c r="K8" s="228">
        <v>46023</v>
      </c>
      <c r="L8" s="315">
        <f>+SUMIFS(Tabla1[Avance_km],Tabla1[Fecha],"&gt;="&amp;$A8,Tabla1[Fecha],"&lt;="&amp;EOMONTH($A8,0),Tabla1[Codigo_actividad],L$4)</f>
        <v>36.840000000000011</v>
      </c>
      <c r="M8" s="315">
        <f>+SUMIFS(Tabla1[Avance_km],Tabla1[Fecha],"&gt;="&amp;$A8,Tabla1[Fecha],"&lt;="&amp;EOMONTH($A8,0),Tabla1[Codigo_actividad],M$4)</f>
        <v>15.313000000000004</v>
      </c>
      <c r="N8" s="315">
        <f>+SUMIFS(Tabla1[Avance_km],Tabla1[Fecha],"&gt;="&amp;$A8,Tabla1[Fecha],"&lt;="&amp;EOMONTH($A8,0),Tabla1[Codigo_actividad],N$4)</f>
        <v>6.7009999999999996</v>
      </c>
      <c r="O8" s="315">
        <f>+SUMIFS(Tabla1[Observaciones],Tabla1[Fecha],"&gt;="&amp;$A8,Tabla1[Fecha],"&lt;="&amp;EOMONTH($A8,0),Tabla1[Codigo_actividad],O$4,Tabla1[Actividades],"&lt;&gt;"&amp;"METALOGRAFIAS",Tabla1[Length],O$1)</f>
        <v>0</v>
      </c>
      <c r="P8" s="315">
        <f>+SUMIFS(Tabla1[Observaciones],Tabla1[Fecha],"&gt;="&amp;$A8,Tabla1[Fecha],"&lt;="&amp;EOMONTH($A8,0),Tabla1[Codigo_actividad],P$4,Tabla1[Actividades],"&lt;&gt;"&amp;"METALOGRAFIAS",Tabla1[Length],P$1)</f>
        <v>0</v>
      </c>
      <c r="Q8" s="315">
        <f>+SUMIFS(Tabla1[Observaciones],Tabla1[Fecha],"&gt;="&amp;$A8,Tabla1[Fecha],"&lt;="&amp;EOMONTH($A8,0),Tabla1[Codigo_actividad],Q$4,Tabla1[Actividades],"&lt;&gt;"&amp;"METALOGRAFIAS",Tabla1[Length],Q$1)</f>
        <v>0</v>
      </c>
      <c r="R8" s="314"/>
      <c r="S8" s="309">
        <f t="shared" si="5"/>
        <v>58.854000000000013</v>
      </c>
      <c r="T8" s="459">
        <f t="shared" si="6"/>
        <v>0</v>
      </c>
      <c r="U8" s="315">
        <f>+SUMIFS(Tabla1[Observaciones],Tabla1[Fecha],"&gt;="&amp;$A8,Tabla1[Fecha],"&lt;="&amp;EOMONTH($A8,0),Tabla1[Codigo_actividad],U$4,Tabla1[Actividades],"&lt;&gt;"&amp;"METALOGRAFIAS",Tabla1[Length],U$1)</f>
        <v>0</v>
      </c>
      <c r="V8" s="315">
        <f>+SUMIFS(Tabla1[Observaciones],Tabla1[Fecha],"&gt;="&amp;$A8,Tabla1[Fecha],"&lt;="&amp;EOMONTH($A8,0),Tabla1[Codigo_actividad],V$4,Tabla1[Actividades],"&lt;&gt;"&amp;"METALOGRAFIAS",Tabla1[Length],V$1)</f>
        <v>0</v>
      </c>
      <c r="W8" s="315">
        <f>+SUMIFS(Tabla1[Observaciones],Tabla1[Fecha],"&gt;="&amp;$A8,Tabla1[Fecha],"&lt;="&amp;EOMONTH($A8,0),Tabla1[Codigo_actividad],W$4,Tabla1[Actividades],"&lt;&gt;"&amp;"METALOGRAFIAS",Tabla1[Length],W$1)</f>
        <v>0</v>
      </c>
      <c r="X8" s="459"/>
      <c r="Y8" s="459"/>
      <c r="Z8" s="459"/>
      <c r="AA8" s="459"/>
    </row>
    <row r="9" spans="1:57" x14ac:dyDescent="0.25">
      <c r="A9" s="228">
        <v>46054</v>
      </c>
      <c r="B9" s="315">
        <f>+SUMIFS(Tabla1[Avance_km],Tabla1[Fecha],"&gt;="&amp;$A9,Tabla1[Fecha],"&lt;="&amp;EOMONTH($A9,0),Tabla1[Codigo_actividad],B$4)*B$3</f>
        <v>0</v>
      </c>
      <c r="C9" s="315">
        <f>+SUMIFS(Tabla1[Avance_km],Tabla1[Fecha],"&gt;="&amp;$A9,Tabla1[Fecha],"&lt;="&amp;EOMONTH($A9,0),Tabla1[Codigo_actividad],C$4)*C$3</f>
        <v>0</v>
      </c>
      <c r="D9" s="315">
        <f>+SUMIFS(Tabla1[Avance_km],Tabla1[Fecha],"&gt;="&amp;$A9,Tabla1[Fecha],"&lt;="&amp;EOMONTH($A9,0),Tabla1[Codigo_actividad],D$4)*D$3</f>
        <v>0</v>
      </c>
      <c r="E9" s="315">
        <f t="shared" si="1"/>
        <v>0</v>
      </c>
      <c r="F9" s="315">
        <f t="shared" si="2"/>
        <v>0</v>
      </c>
      <c r="G9" s="315">
        <f t="shared" si="3"/>
        <v>0</v>
      </c>
      <c r="H9" s="314"/>
      <c r="I9" s="309">
        <f t="shared" si="4"/>
        <v>0</v>
      </c>
      <c r="K9" s="228">
        <v>46054</v>
      </c>
      <c r="L9" s="315">
        <f>+SUMIFS(Tabla1[Avance_km],Tabla1[Fecha],"&gt;="&amp;$A9,Tabla1[Fecha],"&lt;="&amp;EOMONTH($A9,0),Tabla1[Codigo_actividad],L$4)</f>
        <v>0</v>
      </c>
      <c r="M9" s="315">
        <f>+SUMIFS(Tabla1[Avance_km],Tabla1[Fecha],"&gt;="&amp;$A9,Tabla1[Fecha],"&lt;="&amp;EOMONTH($A9,0),Tabla1[Codigo_actividad],M$4)</f>
        <v>0</v>
      </c>
      <c r="N9" s="315">
        <f>+SUMIFS(Tabla1[Avance_km],Tabla1[Fecha],"&gt;="&amp;$A9,Tabla1[Fecha],"&lt;="&amp;EOMONTH($A9,0),Tabla1[Codigo_actividad],N$4)</f>
        <v>0</v>
      </c>
      <c r="O9" s="315">
        <f>+SUMIFS(Tabla1[Observaciones],Tabla1[Fecha],"&gt;="&amp;$A9,Tabla1[Fecha],"&lt;="&amp;EOMONTH($A9,0),Tabla1[Codigo_actividad],O$4,Tabla1[Actividades],"&lt;&gt;"&amp;"METALOGRAFIAS",Tabla1[Length],O$1)</f>
        <v>0</v>
      </c>
      <c r="P9" s="315">
        <f>+SUMIFS(Tabla1[Observaciones],Tabla1[Fecha],"&gt;="&amp;$A9,Tabla1[Fecha],"&lt;="&amp;EOMONTH($A9,0),Tabla1[Codigo_actividad],P$4,Tabla1[Actividades],"&lt;&gt;"&amp;"METALOGRAFIAS",Tabla1[Length],P$1)</f>
        <v>0</v>
      </c>
      <c r="Q9" s="315">
        <f>+SUMIFS(Tabla1[Observaciones],Tabla1[Fecha],"&gt;="&amp;$A9,Tabla1[Fecha],"&lt;="&amp;EOMONTH($A9,0),Tabla1[Codigo_actividad],Q$4,Tabla1[Actividades],"&lt;&gt;"&amp;"METALOGRAFIAS",Tabla1[Length],Q$1)</f>
        <v>0</v>
      </c>
      <c r="R9" s="314"/>
      <c r="S9" s="309">
        <f t="shared" si="5"/>
        <v>0</v>
      </c>
      <c r="T9" s="459">
        <f t="shared" si="6"/>
        <v>0</v>
      </c>
      <c r="U9" s="315">
        <f>+SUMIFS(Tabla1[Observaciones],Tabla1[Fecha],"&gt;="&amp;$A9,Tabla1[Fecha],"&lt;="&amp;EOMONTH($A9,0),Tabla1[Codigo_actividad],U$4,Tabla1[Actividades],"&lt;&gt;"&amp;"METALOGRAFIAS",Tabla1[Length],U$1)</f>
        <v>0</v>
      </c>
      <c r="V9" s="315">
        <f>+SUMIFS(Tabla1[Observaciones],Tabla1[Fecha],"&gt;="&amp;$A9,Tabla1[Fecha],"&lt;="&amp;EOMONTH($A9,0),Tabla1[Codigo_actividad],V$4,Tabla1[Actividades],"&lt;&gt;"&amp;"METALOGRAFIAS",Tabla1[Length],V$1)</f>
        <v>0</v>
      </c>
      <c r="W9" s="315">
        <f>+SUMIFS(Tabla1[Observaciones],Tabla1[Fecha],"&gt;="&amp;$A9,Tabla1[Fecha],"&lt;="&amp;EOMONTH($A9,0),Tabla1[Codigo_actividad],W$4,Tabla1[Actividades],"&lt;&gt;"&amp;"METALOGRAFIAS",Tabla1[Length],W$1)</f>
        <v>0</v>
      </c>
      <c r="X9" s="459"/>
      <c r="Y9" s="459"/>
      <c r="Z9" s="459"/>
      <c r="AA9" s="459"/>
    </row>
    <row r="10" spans="1:57" x14ac:dyDescent="0.25">
      <c r="A10" s="228">
        <v>46082</v>
      </c>
      <c r="B10" s="315">
        <f>+SUMIFS(Tabla1[Avance_km],Tabla1[Fecha],"&gt;="&amp;$A10,Tabla1[Fecha],"&lt;="&amp;EOMONTH($A10,0),Tabla1[Codigo_actividad],B$4)*B$3</f>
        <v>0</v>
      </c>
      <c r="C10" s="315">
        <f>+SUMIFS(Tabla1[Avance_km],Tabla1[Fecha],"&gt;="&amp;$A10,Tabla1[Fecha],"&lt;="&amp;EOMONTH($A10,0),Tabla1[Codigo_actividad],C$4)*C$3</f>
        <v>0</v>
      </c>
      <c r="D10" s="315">
        <f>+SUMIFS(Tabla1[Avance_km],Tabla1[Fecha],"&gt;="&amp;$A10,Tabla1[Fecha],"&lt;="&amp;EOMONTH($A10,0),Tabla1[Codigo_actividad],D$4)*D$3</f>
        <v>5760</v>
      </c>
      <c r="E10" s="315">
        <f t="shared" si="1"/>
        <v>0</v>
      </c>
      <c r="F10" s="315">
        <f t="shared" si="2"/>
        <v>0</v>
      </c>
      <c r="G10" s="315">
        <f t="shared" si="3"/>
        <v>0</v>
      </c>
      <c r="H10" s="314"/>
      <c r="I10" s="309">
        <f t="shared" si="4"/>
        <v>5760</v>
      </c>
      <c r="K10" s="228">
        <v>46082</v>
      </c>
      <c r="L10" s="315">
        <f>+SUMIFS(Tabla1[Avance_km],Tabla1[Fecha],"&gt;="&amp;$A10,Tabla1[Fecha],"&lt;="&amp;EOMONTH($A10,0),Tabla1[Codigo_actividad],L$4)</f>
        <v>0</v>
      </c>
      <c r="M10" s="315">
        <f>+SUMIFS(Tabla1[Avance_km],Tabla1[Fecha],"&gt;="&amp;$A10,Tabla1[Fecha],"&lt;="&amp;EOMONTH($A10,0),Tabla1[Codigo_actividad],M$4)</f>
        <v>0</v>
      </c>
      <c r="N10" s="315">
        <f>+SUMIFS(Tabla1[Avance_km],Tabla1[Fecha],"&gt;="&amp;$A10,Tabla1[Fecha],"&lt;="&amp;EOMONTH($A10,0),Tabla1[Codigo_actividad],N$4)</f>
        <v>3.6</v>
      </c>
      <c r="O10" s="315">
        <f>+SUMIFS(Tabla1[Observaciones],Tabla1[Fecha],"&gt;="&amp;$A10,Tabla1[Fecha],"&lt;="&amp;EOMONTH($A10,0),Tabla1[Codigo_actividad],O$4,Tabla1[Actividades],"&lt;&gt;"&amp;"METALOGRAFIAS",Tabla1[Length],O$1)</f>
        <v>0</v>
      </c>
      <c r="P10" s="315">
        <f>+SUMIFS(Tabla1[Observaciones],Tabla1[Fecha],"&gt;="&amp;$A10,Tabla1[Fecha],"&lt;="&amp;EOMONTH($A10,0),Tabla1[Codigo_actividad],P$4,Tabla1[Actividades],"&lt;&gt;"&amp;"METALOGRAFIAS",Tabla1[Length],P$1)</f>
        <v>0</v>
      </c>
      <c r="Q10" s="315">
        <f>+SUMIFS(Tabla1[Observaciones],Tabla1[Fecha],"&gt;="&amp;$A10,Tabla1[Fecha],"&lt;="&amp;EOMONTH($A10,0),Tabla1[Codigo_actividad],Q$4,Tabla1[Actividades],"&lt;&gt;"&amp;"METALOGRAFIAS",Tabla1[Length],Q$1)</f>
        <v>0</v>
      </c>
      <c r="R10" s="314"/>
      <c r="S10" s="309">
        <f t="shared" si="5"/>
        <v>3.6</v>
      </c>
      <c r="T10" s="459">
        <f t="shared" si="6"/>
        <v>0</v>
      </c>
      <c r="U10" s="315">
        <f>+SUMIFS(Tabla1[Observaciones],Tabla1[Fecha],"&gt;="&amp;$A10,Tabla1[Fecha],"&lt;="&amp;EOMONTH($A10,0),Tabla1[Codigo_actividad],U$4,Tabla1[Actividades],"&lt;&gt;"&amp;"METALOGRAFIAS",Tabla1[Length],U$1)</f>
        <v>0</v>
      </c>
      <c r="V10" s="315">
        <f>+SUMIFS(Tabla1[Observaciones],Tabla1[Fecha],"&gt;="&amp;$A10,Tabla1[Fecha],"&lt;="&amp;EOMONTH($A10,0),Tabla1[Codigo_actividad],V$4,Tabla1[Actividades],"&lt;&gt;"&amp;"METALOGRAFIAS",Tabla1[Length],V$1)</f>
        <v>0</v>
      </c>
      <c r="W10" s="315">
        <f>+SUMIFS(Tabla1[Observaciones],Tabla1[Fecha],"&gt;="&amp;$A10,Tabla1[Fecha],"&lt;="&amp;EOMONTH($A10,0),Tabla1[Codigo_actividad],W$4,Tabla1[Actividades],"&lt;&gt;"&amp;"METALOGRAFIAS",Tabla1[Length],W$1)</f>
        <v>0</v>
      </c>
      <c r="X10" s="459"/>
      <c r="Y10" s="459"/>
      <c r="Z10" s="459"/>
      <c r="AA10" s="459"/>
    </row>
    <row r="11" spans="1:57" x14ac:dyDescent="0.25">
      <c r="A11" s="228">
        <v>46113</v>
      </c>
      <c r="B11" s="315">
        <f>+SUMIFS(Tabla1[Avance_km],Tabla1[Fecha],"&gt;="&amp;$A11,Tabla1[Fecha],"&lt;="&amp;EOMONTH($A11,0),Tabla1[Codigo_actividad],B$4)*B$3</f>
        <v>0</v>
      </c>
      <c r="C11" s="315">
        <f>+SUMIFS(Tabla1[Avance_km],Tabla1[Fecha],"&gt;="&amp;$A11,Tabla1[Fecha],"&lt;="&amp;EOMONTH($A11,0),Tabla1[Codigo_actividad],C$4)*C$3</f>
        <v>46174.200000000004</v>
      </c>
      <c r="D11" s="315">
        <f>+SUMIFS(Tabla1[Avance_km],Tabla1[Fecha],"&gt;="&amp;$A11,Tabla1[Fecha],"&lt;="&amp;EOMONTH($A11,0),Tabla1[Codigo_actividad],D$4)*D$3</f>
        <v>34617.599999999999</v>
      </c>
      <c r="E11" s="315">
        <f t="shared" si="1"/>
        <v>0</v>
      </c>
      <c r="F11" s="315">
        <f t="shared" si="2"/>
        <v>0</v>
      </c>
      <c r="G11" s="315">
        <f t="shared" si="3"/>
        <v>0</v>
      </c>
      <c r="H11" s="314"/>
      <c r="I11" s="309">
        <f t="shared" si="4"/>
        <v>80791.8</v>
      </c>
      <c r="K11" s="228">
        <v>46113</v>
      </c>
      <c r="L11" s="315">
        <f>+SUMIFS(Tabla1[Avance_km],Tabla1[Fecha],"&gt;="&amp;$A11,Tabla1[Fecha],"&lt;="&amp;EOMONTH($A11,0),Tabla1[Codigo_actividad],L$4)</f>
        <v>0</v>
      </c>
      <c r="M11" s="315">
        <f>+SUMIFS(Tabla1[Avance_km],Tabla1[Fecha],"&gt;="&amp;$A11,Tabla1[Fecha],"&lt;="&amp;EOMONTH($A11,0),Tabla1[Codigo_actividad],M$4)</f>
        <v>5.6310000000000002</v>
      </c>
      <c r="N11" s="315">
        <f>+SUMIFS(Tabla1[Avance_km],Tabla1[Fecha],"&gt;="&amp;$A11,Tabla1[Fecha],"&lt;="&amp;EOMONTH($A11,0),Tabla1[Codigo_actividad],N$4)</f>
        <v>21.635999999999999</v>
      </c>
      <c r="O11" s="315">
        <f>+SUMIFS(Tabla1[Observaciones],Tabla1[Fecha],"&gt;="&amp;$A11,Tabla1[Fecha],"&lt;="&amp;EOMONTH($A11,0),Tabla1[Codigo_actividad],O$4,Tabla1[Actividades],"&lt;&gt;"&amp;"METALOGRAFIAS",Tabla1[Length],O$1)</f>
        <v>0</v>
      </c>
      <c r="P11" s="315">
        <f>+SUMIFS(Tabla1[Observaciones],Tabla1[Fecha],"&gt;="&amp;$A11,Tabla1[Fecha],"&lt;="&amp;EOMONTH($A11,0),Tabla1[Codigo_actividad],P$4,Tabla1[Actividades],"&lt;&gt;"&amp;"METALOGRAFIAS",Tabla1[Length],P$1)</f>
        <v>0</v>
      </c>
      <c r="Q11" s="315">
        <f>+SUMIFS(Tabla1[Observaciones],Tabla1[Fecha],"&gt;="&amp;$A11,Tabla1[Fecha],"&lt;="&amp;EOMONTH($A11,0),Tabla1[Codigo_actividad],Q$4,Tabla1[Actividades],"&lt;&gt;"&amp;"METALOGRAFIAS",Tabla1[Length],Q$1)</f>
        <v>0</v>
      </c>
      <c r="R11" s="314"/>
      <c r="S11" s="309">
        <f t="shared" si="5"/>
        <v>27.266999999999999</v>
      </c>
      <c r="T11" s="459">
        <f t="shared" si="6"/>
        <v>0</v>
      </c>
      <c r="U11" s="315">
        <f>+SUMIFS(Tabla1[Observaciones],Tabla1[Fecha],"&gt;="&amp;$A11,Tabla1[Fecha],"&lt;="&amp;EOMONTH($A11,0),Tabla1[Codigo_actividad],U$4,Tabla1[Actividades],"&lt;&gt;"&amp;"METALOGRAFIAS",Tabla1[Length],U$1)</f>
        <v>0</v>
      </c>
      <c r="V11" s="315">
        <f>+SUMIFS(Tabla1[Observaciones],Tabla1[Fecha],"&gt;="&amp;$A11,Tabla1[Fecha],"&lt;="&amp;EOMONTH($A11,0),Tabla1[Codigo_actividad],V$4,Tabla1[Actividades],"&lt;&gt;"&amp;"METALOGRAFIAS",Tabla1[Length],V$1)</f>
        <v>0</v>
      </c>
      <c r="W11" s="315">
        <f>+SUMIFS(Tabla1[Observaciones],Tabla1[Fecha],"&gt;="&amp;$A11,Tabla1[Fecha],"&lt;="&amp;EOMONTH($A11,0),Tabla1[Codigo_actividad],W$4,Tabla1[Actividades],"&lt;&gt;"&amp;"METALOGRAFIAS",Tabla1[Length],W$1)</f>
        <v>0</v>
      </c>
      <c r="X11" s="459"/>
      <c r="Y11" s="459"/>
      <c r="Z11" s="459"/>
      <c r="AA11" s="459"/>
    </row>
    <row r="12" spans="1:57" x14ac:dyDescent="0.25">
      <c r="A12" s="228">
        <v>46143</v>
      </c>
      <c r="B12" s="315">
        <f>+SUMIFS(Tabla1[Avance_km],Tabla1[Fecha],"&gt;="&amp;$A12,Tabla1[Fecha],"&lt;="&amp;EOMONTH($A12,0),Tabla1[Codigo_actividad],B$4)*B$3</f>
        <v>87773.4</v>
      </c>
      <c r="C12" s="315">
        <f>+SUMIFS(Tabla1[Avance_km],Tabla1[Fecha],"&gt;="&amp;$A12,Tabla1[Fecha],"&lt;="&amp;EOMONTH($A12,0),Tabla1[Codigo_actividad],C$4)*C$3</f>
        <v>154406</v>
      </c>
      <c r="D12" s="315">
        <f>+SUMIFS(Tabla1[Avance_km],Tabla1[Fecha],"&gt;="&amp;$A12,Tabla1[Fecha],"&lt;="&amp;EOMONTH($A12,0),Tabla1[Codigo_actividad],D$4)*D$3</f>
        <v>5803.2</v>
      </c>
      <c r="E12" s="315">
        <f t="shared" si="1"/>
        <v>0</v>
      </c>
      <c r="F12" s="315">
        <f t="shared" si="2"/>
        <v>0</v>
      </c>
      <c r="G12" s="315">
        <f t="shared" si="3"/>
        <v>0</v>
      </c>
      <c r="H12" s="314"/>
      <c r="I12" s="309">
        <f t="shared" si="4"/>
        <v>247982.6</v>
      </c>
      <c r="K12" s="228">
        <v>46143</v>
      </c>
      <c r="L12" s="315">
        <f>+SUMIFS(Tabla1[Avance_km],Tabla1[Fecha],"&gt;="&amp;$A12,Tabla1[Fecha],"&lt;="&amp;EOMONTH($A12,0),Tabla1[Codigo_actividad],L$4)</f>
        <v>11.253</v>
      </c>
      <c r="M12" s="315">
        <f>+SUMIFS(Tabla1[Avance_km],Tabla1[Fecha],"&gt;="&amp;$A12,Tabla1[Fecha],"&lt;="&amp;EOMONTH($A12,0),Tabla1[Codigo_actividad],M$4)</f>
        <v>18.829999999999998</v>
      </c>
      <c r="N12" s="315">
        <f>+SUMIFS(Tabla1[Avance_km],Tabla1[Fecha],"&gt;="&amp;$A12,Tabla1[Fecha],"&lt;="&amp;EOMONTH($A12,0),Tabla1[Codigo_actividad],N$4)</f>
        <v>3.6269999999999998</v>
      </c>
      <c r="O12" s="315">
        <f>+SUMIFS(Tabla1[Observaciones],Tabla1[Fecha],"&gt;="&amp;$A12,Tabla1[Fecha],"&lt;="&amp;EOMONTH($A12,0),Tabla1[Codigo_actividad],O$4,Tabla1[Actividades],"&lt;&gt;"&amp;"METALOGRAFIAS",Tabla1[Length],O$1)</f>
        <v>0</v>
      </c>
      <c r="P12" s="315">
        <f>+SUMIFS(Tabla1[Observaciones],Tabla1[Fecha],"&gt;="&amp;$A12,Tabla1[Fecha],"&lt;="&amp;EOMONTH($A12,0),Tabla1[Codigo_actividad],P$4,Tabla1[Actividades],"&lt;&gt;"&amp;"METALOGRAFIAS",Tabla1[Length],P$1)</f>
        <v>0</v>
      </c>
      <c r="Q12" s="315">
        <f>+SUMIFS(Tabla1[Observaciones],Tabla1[Fecha],"&gt;="&amp;$A12,Tabla1[Fecha],"&lt;="&amp;EOMONTH($A12,0),Tabla1[Codigo_actividad],Q$4,Tabla1[Actividades],"&lt;&gt;"&amp;"METALOGRAFIAS",Tabla1[Length],Q$1)</f>
        <v>0</v>
      </c>
      <c r="R12" s="314"/>
      <c r="S12" s="309">
        <f t="shared" si="5"/>
        <v>33.71</v>
      </c>
      <c r="T12" s="459">
        <f t="shared" si="6"/>
        <v>0</v>
      </c>
      <c r="U12" s="315">
        <f>+SUMIFS(Tabla1[Observaciones],Tabla1[Fecha],"&gt;="&amp;$A12,Tabla1[Fecha],"&lt;="&amp;EOMONTH($A12,0),Tabla1[Codigo_actividad],U$4,Tabla1[Actividades],"&lt;&gt;"&amp;"METALOGRAFIAS",Tabla1[Length],U$1)</f>
        <v>0</v>
      </c>
      <c r="V12" s="315">
        <f>+SUMIFS(Tabla1[Observaciones],Tabla1[Fecha],"&gt;="&amp;$A12,Tabla1[Fecha],"&lt;="&amp;EOMONTH($A12,0),Tabla1[Codigo_actividad],V$4,Tabla1[Actividades],"&lt;&gt;"&amp;"METALOGRAFIAS",Tabla1[Length],V$1)</f>
        <v>0</v>
      </c>
      <c r="W12" s="315">
        <f>+SUMIFS(Tabla1[Observaciones],Tabla1[Fecha],"&gt;="&amp;$A12,Tabla1[Fecha],"&lt;="&amp;EOMONTH($A12,0),Tabla1[Codigo_actividad],W$4,Tabla1[Actividades],"&lt;&gt;"&amp;"METALOGRAFIAS",Tabla1[Length],W$1)</f>
        <v>0</v>
      </c>
      <c r="X12" s="459"/>
      <c r="Y12" s="459"/>
      <c r="Z12" s="459"/>
      <c r="AA12" s="459"/>
    </row>
    <row r="13" spans="1:57" x14ac:dyDescent="0.25">
      <c r="A13" s="228">
        <v>46174</v>
      </c>
      <c r="B13" s="315">
        <f>+SUMIFS(Tabla1[Avance_km],Tabla1[Fecha],"&gt;="&amp;$A13,Tabla1[Fecha],"&lt;="&amp;EOMONTH($A13,0),Tabla1[Codigo_actividad],B$4)*B$3</f>
        <v>158558.40000000002</v>
      </c>
      <c r="C13" s="315">
        <f>+SUMIFS(Tabla1[Avance_km],Tabla1[Fecha],"&gt;="&amp;$A13,Tabla1[Fecha],"&lt;="&amp;EOMONTH($A13,0),Tabla1[Codigo_actividad],C$4)*C$3</f>
        <v>0</v>
      </c>
      <c r="D13" s="315">
        <f>+SUMIFS(Tabla1[Avance_km],Tabla1[Fecha],"&gt;="&amp;$A13,Tabla1[Fecha],"&lt;="&amp;EOMONTH($A13,0),Tabla1[Codigo_actividad],D$4)*D$3</f>
        <v>8667.1999999999989</v>
      </c>
      <c r="E13" s="315">
        <f t="shared" si="1"/>
        <v>0</v>
      </c>
      <c r="F13" s="315">
        <f t="shared" si="2"/>
        <v>0</v>
      </c>
      <c r="G13" s="315">
        <f t="shared" si="3"/>
        <v>0</v>
      </c>
      <c r="H13" s="314"/>
      <c r="I13" s="309">
        <f t="shared" si="4"/>
        <v>167225.60000000003</v>
      </c>
      <c r="K13" s="228">
        <v>46174</v>
      </c>
      <c r="L13" s="315">
        <f>+SUMIFS(Tabla1[Avance_km],Tabla1[Fecha],"&gt;="&amp;$A13,Tabla1[Fecha],"&lt;="&amp;EOMONTH($A13,0),Tabla1[Codigo_actividad],L$4)</f>
        <v>20.328000000000003</v>
      </c>
      <c r="M13" s="315">
        <f>+SUMIFS(Tabla1[Avance_km],Tabla1[Fecha],"&gt;="&amp;$A13,Tabla1[Fecha],"&lt;="&amp;EOMONTH($A13,0),Tabla1[Codigo_actividad],M$4)</f>
        <v>0</v>
      </c>
      <c r="N13" s="315">
        <f>+SUMIFS(Tabla1[Avance_km],Tabla1[Fecha],"&gt;="&amp;$A13,Tabla1[Fecha],"&lt;="&amp;EOMONTH($A13,0),Tabla1[Codigo_actividad],N$4)</f>
        <v>5.4169999999999998</v>
      </c>
      <c r="O13" s="315">
        <f>+SUMIFS(Tabla1[Observaciones],Tabla1[Fecha],"&gt;="&amp;$A13,Tabla1[Fecha],"&lt;="&amp;EOMONTH($A13,0),Tabla1[Codigo_actividad],O$4,Tabla1[Actividades],"&lt;&gt;"&amp;"METALOGRAFIAS",Tabla1[Length],O$1)</f>
        <v>0</v>
      </c>
      <c r="P13" s="315">
        <f>+SUMIFS(Tabla1[Observaciones],Tabla1[Fecha],"&gt;="&amp;$A13,Tabla1[Fecha],"&lt;="&amp;EOMONTH($A13,0),Tabla1[Codigo_actividad],P$4,Tabla1[Actividades],"&lt;&gt;"&amp;"METALOGRAFIAS",Tabla1[Length],P$1)</f>
        <v>0</v>
      </c>
      <c r="Q13" s="315">
        <f>+SUMIFS(Tabla1[Observaciones],Tabla1[Fecha],"&gt;="&amp;$A13,Tabla1[Fecha],"&lt;="&amp;EOMONTH($A13,0),Tabla1[Codigo_actividad],Q$4,Tabla1[Actividades],"&lt;&gt;"&amp;"METALOGRAFIAS",Tabla1[Length],Q$1)</f>
        <v>0</v>
      </c>
      <c r="R13" s="314"/>
      <c r="S13" s="309">
        <f t="shared" si="5"/>
        <v>25.745000000000005</v>
      </c>
      <c r="T13" s="459">
        <f t="shared" si="6"/>
        <v>0</v>
      </c>
      <c r="U13" s="315">
        <f>+SUMIFS(Tabla1[Observaciones],Tabla1[Fecha],"&gt;="&amp;$A13,Tabla1[Fecha],"&lt;="&amp;EOMONTH($A13,0),Tabla1[Codigo_actividad],U$4,Tabla1[Actividades],"&lt;&gt;"&amp;"METALOGRAFIAS",Tabla1[Length],U$1)</f>
        <v>0</v>
      </c>
      <c r="V13" s="315">
        <f>+SUMIFS(Tabla1[Observaciones],Tabla1[Fecha],"&gt;="&amp;$A13,Tabla1[Fecha],"&lt;="&amp;EOMONTH($A13,0),Tabla1[Codigo_actividad],V$4,Tabla1[Actividades],"&lt;&gt;"&amp;"METALOGRAFIAS",Tabla1[Length],V$1)</f>
        <v>0</v>
      </c>
      <c r="W13" s="315">
        <f>+SUMIFS(Tabla1[Observaciones],Tabla1[Fecha],"&gt;="&amp;$A13,Tabla1[Fecha],"&lt;="&amp;EOMONTH($A13,0),Tabla1[Codigo_actividad],W$4,Tabla1[Actividades],"&lt;&gt;"&amp;"METALOGRAFIAS",Tabla1[Length],W$1)</f>
        <v>0</v>
      </c>
      <c r="X13" s="459"/>
      <c r="Y13" s="459"/>
      <c r="Z13" s="459"/>
      <c r="AA13" s="459"/>
    </row>
    <row r="14" spans="1:57" x14ac:dyDescent="0.25">
      <c r="A14" s="228">
        <v>46204</v>
      </c>
      <c r="B14" s="315">
        <f>+SUMIFS(Tabla1[Avance_km],Tabla1[Fecha],"&gt;="&amp;$A14,Tabla1[Fecha],"&lt;="&amp;EOMONTH($A14,0),Tabla1[Codigo_actividad],B$4)*B$3</f>
        <v>105830.39999999999</v>
      </c>
      <c r="C14" s="315">
        <f>+SUMIFS(Tabla1[Avance_km],Tabla1[Fecha],"&gt;="&amp;$A14,Tabla1[Fecha],"&lt;="&amp;EOMONTH($A14,0),Tabla1[Codigo_actividad],C$4)*C$3</f>
        <v>86411.6</v>
      </c>
      <c r="D14" s="315">
        <f>+SUMIFS(Tabla1[Avance_km],Tabla1[Fecha],"&gt;="&amp;$A14,Tabla1[Fecha],"&lt;="&amp;EOMONTH($A14,0),Tabla1[Codigo_actividad],D$4)*D$3</f>
        <v>22136</v>
      </c>
      <c r="E14" s="315">
        <f t="shared" si="1"/>
        <v>0</v>
      </c>
      <c r="F14" s="315">
        <f t="shared" si="2"/>
        <v>0</v>
      </c>
      <c r="G14" s="315">
        <f t="shared" si="3"/>
        <v>0</v>
      </c>
      <c r="H14" s="314"/>
      <c r="I14" s="309">
        <f t="shared" si="4"/>
        <v>214378</v>
      </c>
      <c r="K14" s="228">
        <v>46204</v>
      </c>
      <c r="L14" s="315">
        <f>+SUMIFS(Tabla1[Avance_km],Tabla1[Fecha],"&gt;="&amp;$A14,Tabla1[Fecha],"&lt;="&amp;EOMONTH($A14,0),Tabla1[Codigo_actividad],L$4)</f>
        <v>13.568</v>
      </c>
      <c r="M14" s="315">
        <f>+SUMIFS(Tabla1[Avance_km],Tabla1[Fecha],"&gt;="&amp;$A14,Tabla1[Fecha],"&lt;="&amp;EOMONTH($A14,0),Tabla1[Codigo_actividad],M$4)</f>
        <v>10.538</v>
      </c>
      <c r="N14" s="315">
        <f>+SUMIFS(Tabla1[Avance_km],Tabla1[Fecha],"&gt;="&amp;$A14,Tabla1[Fecha],"&lt;="&amp;EOMONTH($A14,0),Tabla1[Codigo_actividad],N$4)</f>
        <v>13.835000000000001</v>
      </c>
      <c r="O14" s="315">
        <f>+SUMIFS(Tabla1[Observaciones],Tabla1[Fecha],"&gt;="&amp;$A14,Tabla1[Fecha],"&lt;="&amp;EOMONTH($A14,0),Tabla1[Codigo_actividad],O$4,Tabla1[Actividades],"&lt;&gt;"&amp;"METALOGRAFIAS",Tabla1[Length],O$1)</f>
        <v>0</v>
      </c>
      <c r="P14" s="315">
        <f>+SUMIFS(Tabla1[Observaciones],Tabla1[Fecha],"&gt;="&amp;$A14,Tabla1[Fecha],"&lt;="&amp;EOMONTH($A14,0),Tabla1[Codigo_actividad],P$4,Tabla1[Actividades],"&lt;&gt;"&amp;"METALOGRAFIAS",Tabla1[Length],P$1)</f>
        <v>0</v>
      </c>
      <c r="Q14" s="315">
        <f>+SUMIFS(Tabla1[Observaciones],Tabla1[Fecha],"&gt;="&amp;$A14,Tabla1[Fecha],"&lt;="&amp;EOMONTH($A14,0),Tabla1[Codigo_actividad],Q$4,Tabla1[Actividades],"&lt;&gt;"&amp;"METALOGRAFIAS",Tabla1[Length],Q$1)</f>
        <v>0</v>
      </c>
      <c r="R14" s="314"/>
      <c r="S14" s="309">
        <f t="shared" si="5"/>
        <v>37.941000000000003</v>
      </c>
      <c r="T14" s="459">
        <f t="shared" si="6"/>
        <v>0</v>
      </c>
      <c r="U14" s="315">
        <f>+SUMIFS(Tabla1[Observaciones],Tabla1[Fecha],"&gt;="&amp;$A14,Tabla1[Fecha],"&lt;="&amp;EOMONTH($A14,0),Tabla1[Codigo_actividad],U$4,Tabla1[Actividades],"&lt;&gt;"&amp;"METALOGRAFIAS",Tabla1[Length],U$1)</f>
        <v>0</v>
      </c>
      <c r="V14" s="315">
        <f>+SUMIFS(Tabla1[Observaciones],Tabla1[Fecha],"&gt;="&amp;$A14,Tabla1[Fecha],"&lt;="&amp;EOMONTH($A14,0),Tabla1[Codigo_actividad],V$4,Tabla1[Actividades],"&lt;&gt;"&amp;"METALOGRAFIAS",Tabla1[Length],V$1)</f>
        <v>0</v>
      </c>
      <c r="W14" s="315">
        <f>+SUMIFS(Tabla1[Observaciones],Tabla1[Fecha],"&gt;="&amp;$A14,Tabla1[Fecha],"&lt;="&amp;EOMONTH($A14,0),Tabla1[Codigo_actividad],W$4,Tabla1[Actividades],"&lt;&gt;"&amp;"METALOGRAFIAS",Tabla1[Length],W$1)</f>
        <v>0</v>
      </c>
      <c r="X14" s="459"/>
      <c r="Y14" s="459"/>
      <c r="Z14" s="459"/>
      <c r="AA14" s="459"/>
    </row>
    <row r="15" spans="1:57" x14ac:dyDescent="0.25">
      <c r="A15" s="228">
        <v>46235</v>
      </c>
      <c r="B15" s="315">
        <f>+SUMIFS(Tabla1[Avance_km],Tabla1[Fecha],"&gt;="&amp;$A15,Tabla1[Fecha],"&lt;="&amp;EOMONTH($A15,0),Tabla1[Codigo_actividad],B$4)*B$3</f>
        <v>78257.400000000009</v>
      </c>
      <c r="C15" s="315">
        <f>+SUMIFS(Tabla1[Avance_km],Tabla1[Fecha],"&gt;="&amp;$A15,Tabla1[Fecha],"&lt;="&amp;EOMONTH($A15,0),Tabla1[Codigo_actividad],C$4)*C$3</f>
        <v>101639</v>
      </c>
      <c r="D15" s="315">
        <f>+SUMIFS(Tabla1[Avance_km],Tabla1[Fecha],"&gt;="&amp;$A15,Tabla1[Fecha],"&lt;="&amp;EOMONTH($A15,0),Tabla1[Codigo_actividad],D$4)*D$3</f>
        <v>19472</v>
      </c>
      <c r="E15" s="315">
        <f t="shared" si="1"/>
        <v>55735</v>
      </c>
      <c r="F15" s="315">
        <f t="shared" si="2"/>
        <v>0</v>
      </c>
      <c r="G15" s="315">
        <f t="shared" si="3"/>
        <v>0</v>
      </c>
      <c r="H15" s="314"/>
      <c r="I15" s="309">
        <f t="shared" si="4"/>
        <v>255103.40000000002</v>
      </c>
      <c r="K15" s="228">
        <v>46235</v>
      </c>
      <c r="L15" s="315">
        <f>+SUMIFS(Tabla1[Avance_km],Tabla1[Fecha],"&gt;="&amp;$A15,Tabla1[Fecha],"&lt;="&amp;EOMONTH($A15,0),Tabla1[Codigo_actividad],L$4)</f>
        <v>10.033000000000001</v>
      </c>
      <c r="M15" s="315">
        <f>+SUMIFS(Tabla1[Avance_km],Tabla1[Fecha],"&gt;="&amp;$A15,Tabla1[Fecha],"&lt;="&amp;EOMONTH($A15,0),Tabla1[Codigo_actividad],M$4)</f>
        <v>12.395</v>
      </c>
      <c r="N15" s="315">
        <f>+SUMIFS(Tabla1[Avance_km],Tabla1[Fecha],"&gt;="&amp;$A15,Tabla1[Fecha],"&lt;="&amp;EOMONTH($A15,0),Tabla1[Codigo_actividad],N$4)</f>
        <v>12.17</v>
      </c>
      <c r="O15" s="315">
        <f>+SUMIFS(Tabla1[Observaciones],Tabla1[Fecha],"&gt;="&amp;$A15,Tabla1[Fecha],"&lt;="&amp;EOMONTH($A15,0),Tabla1[Codigo_actividad],O$4,Tabla1[Actividades],"&lt;&gt;"&amp;"METALOGRAFIAS",Tabla1[Length],O$1)</f>
        <v>157</v>
      </c>
      <c r="P15" s="315">
        <f>+SUMIFS(Tabla1[Observaciones],Tabla1[Fecha],"&gt;="&amp;$A15,Tabla1[Fecha],"&lt;="&amp;EOMONTH($A15,0),Tabla1[Codigo_actividad],P$4,Tabla1[Actividades],"&lt;&gt;"&amp;"METALOGRAFIAS",Tabla1[Length],P$1)</f>
        <v>0</v>
      </c>
      <c r="Q15" s="315">
        <f>+SUMIFS(Tabla1[Observaciones],Tabla1[Fecha],"&gt;="&amp;$A15,Tabla1[Fecha],"&lt;="&amp;EOMONTH($A15,0),Tabla1[Codigo_actividad],Q$4,Tabla1[Actividades],"&lt;&gt;"&amp;"METALOGRAFIAS",Tabla1[Length],Q$1)</f>
        <v>0</v>
      </c>
      <c r="R15" s="390"/>
      <c r="S15" s="309">
        <f t="shared" si="5"/>
        <v>34.597999999999999</v>
      </c>
      <c r="T15" s="459">
        <f t="shared" si="6"/>
        <v>157</v>
      </c>
      <c r="U15" s="315">
        <f>+SUMIFS(Tabla1[Observaciones],Tabla1[Fecha],"&gt;="&amp;$A15,Tabla1[Fecha],"&lt;="&amp;EOMONTH($A15,0),Tabla1[Codigo_actividad],U$4,Tabla1[Actividades],"&lt;&gt;"&amp;"METALOGRAFIAS",Tabla1[Length],U$1)</f>
        <v>157</v>
      </c>
      <c r="V15" s="315">
        <f>+SUMIFS(Tabla1[Observaciones],Tabla1[Fecha],"&gt;="&amp;$A15,Tabla1[Fecha],"&lt;="&amp;EOMONTH($A15,0),Tabla1[Codigo_actividad],V$4,Tabla1[Actividades],"&lt;&gt;"&amp;"METALOGRAFIAS",Tabla1[Length],V$1)</f>
        <v>0</v>
      </c>
      <c r="W15" s="315">
        <f>+SUMIFS(Tabla1[Observaciones],Tabla1[Fecha],"&gt;="&amp;$A15,Tabla1[Fecha],"&lt;="&amp;EOMONTH($A15,0),Tabla1[Codigo_actividad],W$4,Tabla1[Actividades],"&lt;&gt;"&amp;"METALOGRAFIAS",Tabla1[Length],W$1)</f>
        <v>0</v>
      </c>
      <c r="X15" s="459"/>
      <c r="Y15" s="459"/>
      <c r="Z15" s="459"/>
      <c r="AA15" s="459"/>
    </row>
    <row r="16" spans="1:57" x14ac:dyDescent="0.25">
      <c r="A16" s="228">
        <v>46266</v>
      </c>
      <c r="B16" s="315">
        <f>+SUMIFS(Tabla1[Avance_km],Tabla1[Fecha],"&gt;="&amp;$A16,Tabla1[Fecha],"&lt;="&amp;EOMONTH($A16,0),Tabla1[Codigo_actividad],B$4)*B$3</f>
        <v>83615.999999999985</v>
      </c>
      <c r="C16" s="315">
        <f>+SUMIFS(Tabla1[Avance_km],Tabla1[Fecha],"&gt;="&amp;$A16,Tabla1[Fecha],"&lt;="&amp;EOMONTH($A16,0),Tabla1[Codigo_actividad],C$4)*C$3</f>
        <v>0</v>
      </c>
      <c r="D16" s="315">
        <f>+SUMIFS(Tabla1[Avance_km],Tabla1[Fecha],"&gt;="&amp;$A16,Tabla1[Fecha],"&lt;="&amp;EOMONTH($A16,0),Tabla1[Codigo_actividad],D$4)*D$3</f>
        <v>32112</v>
      </c>
      <c r="E16" s="315">
        <f t="shared" si="1"/>
        <v>71000</v>
      </c>
      <c r="F16" s="315">
        <f t="shared" si="2"/>
        <v>0</v>
      </c>
      <c r="G16" s="315">
        <f t="shared" si="3"/>
        <v>0</v>
      </c>
      <c r="H16" s="314"/>
      <c r="I16" s="309">
        <f t="shared" si="4"/>
        <v>186728</v>
      </c>
      <c r="K16" s="228">
        <v>46266</v>
      </c>
      <c r="L16" s="315">
        <f>+SUMIFS(Tabla1[Avance_km],Tabla1[Fecha],"&gt;="&amp;$A16,Tabla1[Fecha],"&lt;="&amp;EOMONTH($A16,0),Tabla1[Codigo_actividad],L$4)</f>
        <v>10.719999999999999</v>
      </c>
      <c r="M16" s="315">
        <f>+SUMIFS(Tabla1[Avance_km],Tabla1[Fecha],"&gt;="&amp;$A16,Tabla1[Fecha],"&lt;="&amp;EOMONTH($A16,0),Tabla1[Codigo_actividad],M$4)</f>
        <v>0</v>
      </c>
      <c r="N16" s="315">
        <f>+SUMIFS(Tabla1[Avance_km],Tabla1[Fecha],"&gt;="&amp;$A16,Tabla1[Fecha],"&lt;="&amp;EOMONTH($A16,0),Tabla1[Codigo_actividad],N$4)</f>
        <v>20.07</v>
      </c>
      <c r="O16" s="315">
        <f>+SUMIFS(Tabla1[Observaciones],Tabla1[Fecha],"&gt;="&amp;$A16,Tabla1[Fecha],"&lt;="&amp;EOMONTH($A16,0),Tabla1[Codigo_actividad],O$4,Tabla1[Actividades],"&lt;&gt;"&amp;"METALOGRAFIAS",Tabla1[Length],O$1)</f>
        <v>200</v>
      </c>
      <c r="P16" s="315">
        <f>+SUMIFS(Tabla1[Observaciones],Tabla1[Fecha],"&gt;="&amp;$A16,Tabla1[Fecha],"&lt;="&amp;EOMONTH($A16,0),Tabla1[Codigo_actividad],P$4,Tabla1[Actividades],"&lt;&gt;"&amp;"METALOGRAFIAS",Tabla1[Length],P$1)</f>
        <v>0</v>
      </c>
      <c r="Q16" s="315">
        <f>+SUMIFS(Tabla1[Observaciones],Tabla1[Fecha],"&gt;="&amp;$A16,Tabla1[Fecha],"&lt;="&amp;EOMONTH($A16,0),Tabla1[Codigo_actividad],Q$4,Tabla1[Actividades],"&lt;&gt;"&amp;"METALOGRAFIAS",Tabla1[Length],Q$1)</f>
        <v>0</v>
      </c>
      <c r="R16" s="390"/>
      <c r="S16" s="309">
        <f t="shared" si="5"/>
        <v>30.79</v>
      </c>
      <c r="T16" s="459">
        <f t="shared" si="6"/>
        <v>200</v>
      </c>
      <c r="U16" s="315">
        <f>+SUMIFS(Tabla1[Observaciones],Tabla1[Fecha],"&gt;="&amp;$A16,Tabla1[Fecha],"&lt;="&amp;EOMONTH($A16,0),Tabla1[Codigo_actividad],U$4,Tabla1[Actividades],"&lt;&gt;"&amp;"METALOGRAFIAS",Tabla1[Length],U$1)</f>
        <v>200</v>
      </c>
      <c r="V16" s="315">
        <f>+SUMIFS(Tabla1[Observaciones],Tabla1[Fecha],"&gt;="&amp;$A16,Tabla1[Fecha],"&lt;="&amp;EOMONTH($A16,0),Tabla1[Codigo_actividad],V$4,Tabla1[Actividades],"&lt;&gt;"&amp;"METALOGRAFIAS",Tabla1[Length],V$1)</f>
        <v>0</v>
      </c>
      <c r="W16" s="315">
        <f>+SUMIFS(Tabla1[Observaciones],Tabla1[Fecha],"&gt;="&amp;$A16,Tabla1[Fecha],"&lt;="&amp;EOMONTH($A16,0),Tabla1[Codigo_actividad],W$4,Tabla1[Actividades],"&lt;&gt;"&amp;"METALOGRAFIAS",Tabla1[Length],W$1)</f>
        <v>0</v>
      </c>
      <c r="X16" s="459"/>
      <c r="Y16" s="459"/>
      <c r="Z16" s="459"/>
      <c r="AA16" s="459"/>
      <c r="BE16"/>
    </row>
    <row r="17" spans="1:65" x14ac:dyDescent="0.25">
      <c r="A17" s="228">
        <v>46296</v>
      </c>
      <c r="B17" s="315">
        <f>+SUMIFS(Tabla1[Avance_km],Tabla1[Fecha],"&gt;="&amp;$A17,Tabla1[Fecha],"&lt;="&amp;EOMONTH($A17,0),Tabla1[Codigo_actividad],B$4)*B$3</f>
        <v>114016.5</v>
      </c>
      <c r="C17" s="315">
        <f>+SUMIFS(Tabla1[Avance_km],Tabla1[Fecha],"&gt;="&amp;$A17,Tabla1[Fecha],"&lt;="&amp;EOMONTH($A17,0),Tabla1[Codigo_actividad],C$4)*C$3</f>
        <v>13320.899999999994</v>
      </c>
      <c r="D17" s="315">
        <f>+SUMIFS(Tabla1[Avance_km],Tabla1[Fecha],"&gt;="&amp;$A17,Tabla1[Fecha],"&lt;="&amp;EOMONTH($A17,0),Tabla1[Codigo_actividad],D$4)*D$3</f>
        <v>2599.1999999999989</v>
      </c>
      <c r="E17" s="315">
        <f>+O17*$E$3</f>
        <v>0</v>
      </c>
      <c r="F17" s="315">
        <f t="shared" si="2"/>
        <v>69000</v>
      </c>
      <c r="G17" s="315">
        <f t="shared" si="3"/>
        <v>59000</v>
      </c>
      <c r="H17" s="314"/>
      <c r="I17" s="309">
        <f t="shared" si="4"/>
        <v>257936.59999999998</v>
      </c>
      <c r="K17" s="228">
        <v>46296</v>
      </c>
      <c r="L17" s="315">
        <f>+SUMIFS(Tabla1[Avance_km],Tabla1[Fecha],"&gt;="&amp;$A17,Tabla1[Fecha],"&lt;="&amp;EOMONTH($A17,0),Tabla1[Codigo_actividad],L$4)</f>
        <v>14.6175</v>
      </c>
      <c r="M17" s="315">
        <f>+SUMIFS(Tabla1[Avance_km],Tabla1[Fecha],"&gt;="&amp;$A17,Tabla1[Fecha],"&lt;="&amp;EOMONTH($A17,0),Tabla1[Codigo_actividad],M$4)</f>
        <v>1.6244999999999994</v>
      </c>
      <c r="N17" s="315">
        <f>+SUMIFS(Tabla1[Avance_km],Tabla1[Fecha],"&gt;="&amp;$A17,Tabla1[Fecha],"&lt;="&amp;EOMONTH($A17,0),Tabla1[Codigo_actividad],N$4)</f>
        <v>1.6244999999999994</v>
      </c>
      <c r="O17" s="315">
        <f>+SUMIFS(Tabla1[Observaciones],Tabla1[Fecha],"&gt;="&amp;$A17,Tabla1[Fecha],"&lt;="&amp;EOMONTH($A17,0),Tabla1[Codigo_actividad],O$4,Tabla1[Actividades],"&lt;&gt;"&amp;"METALOGRAFIAS",Tabla1[Length],O$1)</f>
        <v>0</v>
      </c>
      <c r="P17" s="315">
        <f>+SUMIFS(Tabla1[Observaciones],Tabla1[Fecha],"&gt;="&amp;$A17,Tabla1[Fecha],"&lt;="&amp;EOMONTH($A17,0),Tabla1[Codigo_actividad],P$4,Tabla1[Actividades],"&lt;&gt;"&amp;"METALOGRAFIAS",Tabla1[Length],P$1)</f>
        <v>46</v>
      </c>
      <c r="Q17" s="315">
        <f>+SUMIFS(Tabla1[Observaciones],Tabla1[Fecha],"&gt;="&amp;$A17,Tabla1[Fecha],"&lt;="&amp;EOMONTH($A17,0),Tabla1[Codigo_actividad],Q$4,Tabla1[Actividades],"&lt;&gt;"&amp;"METALOGRAFIAS",Tabla1[Length],Q$1)</f>
        <v>200</v>
      </c>
      <c r="R17" s="390"/>
      <c r="S17" s="309">
        <f>SUM(L17:N17)</f>
        <v>17.866499999999995</v>
      </c>
      <c r="T17" s="459">
        <f t="shared" si="6"/>
        <v>246</v>
      </c>
      <c r="U17" s="315">
        <f>+SUMIFS(Tabla1[Observaciones],Tabla1[Fecha],"&gt;="&amp;$A17,Tabla1[Fecha],"&lt;="&amp;EOMONTH($A17,0),Tabla1[Codigo_actividad],U$4,Tabla1[Actividades],"&lt;&gt;"&amp;"METALOGRAFIAS",Tabla1[Length],U$1)</f>
        <v>0</v>
      </c>
      <c r="V17" s="315">
        <f>+SUMIFS(Tabla1[Observaciones],Tabla1[Fecha],"&gt;="&amp;$A17,Tabla1[Fecha],"&lt;="&amp;EOMONTH($A17,0),Tabla1[Codigo_actividad],V$4,Tabla1[Actividades],"&lt;&gt;"&amp;"METALOGRAFIAS",Tabla1[Length],V$1)</f>
        <v>46</v>
      </c>
      <c r="W17" s="315">
        <f>+SUMIFS(Tabla1[Observaciones],Tabla1[Fecha],"&gt;="&amp;$A17,Tabla1[Fecha],"&lt;="&amp;EOMONTH($A17,0),Tabla1[Codigo_actividad],W$4,Tabla1[Actividades],"&lt;&gt;"&amp;"METALOGRAFIAS",Tabla1[Length],W$1)</f>
        <v>200</v>
      </c>
      <c r="X17" s="459"/>
      <c r="Y17" s="459"/>
      <c r="Z17" s="459"/>
      <c r="AA17" s="459"/>
      <c r="BE17"/>
    </row>
    <row r="18" spans="1:65" x14ac:dyDescent="0.25">
      <c r="A18" s="228">
        <v>46327</v>
      </c>
      <c r="B18" s="315">
        <f>+SUMIFS(Tabla1[Avance_km],Tabla1[Fecha],"&gt;="&amp;$A18,Tabla1[Fecha],"&lt;="&amp;EOMONTH($A18,0),Tabla1[Codigo_actividad],B$4)*B$3</f>
        <v>0</v>
      </c>
      <c r="C18" s="315">
        <f>+SUMIFS(Tabla1[Avance_km],Tabla1[Fecha],"&gt;="&amp;$A18,Tabla1[Fecha],"&lt;="&amp;EOMONTH($A18,0),Tabla1[Codigo_actividad],C$4)*C$3</f>
        <v>0</v>
      </c>
      <c r="D18" s="315">
        <f>+SUMIFS(Tabla1[Avance_km],Tabla1[Fecha],"&gt;="&amp;$A18,Tabla1[Fecha],"&lt;="&amp;EOMONTH($A18,0),Tabla1[Codigo_actividad],D$4)*D$3</f>
        <v>0</v>
      </c>
      <c r="E18" s="315">
        <f t="shared" si="1"/>
        <v>0</v>
      </c>
      <c r="F18" s="315">
        <f t="shared" si="2"/>
        <v>0</v>
      </c>
      <c r="G18" s="315">
        <f t="shared" si="3"/>
        <v>0</v>
      </c>
      <c r="H18" s="314"/>
      <c r="I18" s="309">
        <f t="shared" si="4"/>
        <v>0</v>
      </c>
      <c r="K18" s="228">
        <v>46327</v>
      </c>
      <c r="L18" s="315">
        <f>+SUMIFS(Tabla1[Avance_km],Tabla1[Fecha],"&gt;="&amp;$A18,Tabla1[Fecha],"&lt;="&amp;EOMONTH($A18,0),Tabla1[Codigo_actividad],L$4)</f>
        <v>0</v>
      </c>
      <c r="M18" s="315">
        <f>+SUMIFS(Tabla1[Avance_km],Tabla1[Fecha],"&gt;="&amp;$A18,Tabla1[Fecha],"&lt;="&amp;EOMONTH($A18,0),Tabla1[Codigo_actividad],M$4)</f>
        <v>0</v>
      </c>
      <c r="N18" s="315">
        <f>+SUMIFS(Tabla1[Avance_km],Tabla1[Fecha],"&gt;="&amp;$A18,Tabla1[Fecha],"&lt;="&amp;EOMONTH($A18,0),Tabla1[Codigo_actividad],N$4)</f>
        <v>0</v>
      </c>
      <c r="O18" s="315">
        <f>+SUMIFS(Tabla1[Observaciones],Tabla1[Fecha],"&gt;="&amp;$A18,Tabla1[Fecha],"&lt;="&amp;EOMONTH($A18,0),Tabla1[Codigo_actividad],O$4,Tabla1[Actividades],"&lt;&gt;"&amp;"METALOGRAFIAS",Tabla1[Length],O$1)</f>
        <v>0</v>
      </c>
      <c r="P18" s="315">
        <f>+SUMIFS(Tabla1[Observaciones],Tabla1[Fecha],"&gt;="&amp;$A18,Tabla1[Fecha],"&lt;="&amp;EOMONTH($A18,0),Tabla1[Codigo_actividad],P$4,Tabla1[Actividades],"&lt;&gt;"&amp;"METALOGRAFIAS",Tabla1[Length],P$1)</f>
        <v>0</v>
      </c>
      <c r="Q18" s="315">
        <f>+SUMIFS(Tabla1[Observaciones],Tabla1[Fecha],"&gt;="&amp;$A18,Tabla1[Fecha],"&lt;="&amp;EOMONTH($A18,0),Tabla1[Codigo_actividad],Q$4,Tabla1[Actividades],"&lt;&gt;"&amp;"METALOGRAFIAS",Tabla1[Length],Q$1)</f>
        <v>0</v>
      </c>
      <c r="R18" s="314"/>
      <c r="S18" s="309">
        <f t="shared" si="5"/>
        <v>0</v>
      </c>
      <c r="T18" s="459">
        <f t="shared" si="6"/>
        <v>0</v>
      </c>
      <c r="U18" s="315">
        <f>+SUMIFS(Tabla1[Observaciones],Tabla1[Fecha],"&gt;="&amp;$A18,Tabla1[Fecha],"&lt;="&amp;EOMONTH($A18,0),Tabla1[Codigo_actividad],U$4,Tabla1[Actividades],"&lt;&gt;"&amp;"METALOGRAFIAS",Tabla1[Length],U$1)</f>
        <v>0</v>
      </c>
      <c r="V18" s="315">
        <f>+SUMIFS(Tabla1[Observaciones],Tabla1[Fecha],"&gt;="&amp;$A18,Tabla1[Fecha],"&lt;="&amp;EOMONTH($A18,0),Tabla1[Codigo_actividad],V$4,Tabla1[Actividades],"&lt;&gt;"&amp;"METALOGRAFIAS",Tabla1[Length],V$1)</f>
        <v>0</v>
      </c>
      <c r="W18" s="315">
        <f>+SUMIFS(Tabla1[Observaciones],Tabla1[Fecha],"&gt;="&amp;$A18,Tabla1[Fecha],"&lt;="&amp;EOMONTH($A18,0),Tabla1[Codigo_actividad],W$4,Tabla1[Actividades],"&lt;&gt;"&amp;"METALOGRAFIAS",Tabla1[Length],W$1)</f>
        <v>0</v>
      </c>
      <c r="X18" s="459"/>
      <c r="Y18" s="459"/>
      <c r="Z18" s="459"/>
      <c r="AA18" s="459"/>
      <c r="BE18"/>
    </row>
    <row r="19" spans="1:65" x14ac:dyDescent="0.25">
      <c r="A19" s="228">
        <v>46357</v>
      </c>
      <c r="B19" s="315">
        <f>+SUMIFS(Tabla1[Avance_km],Tabla1[Fecha],"&gt;="&amp;$A19,Tabla1[Fecha],"&lt;="&amp;EOMONTH($A19,0),Tabla1[Codigo_actividad],B$4)*B$3</f>
        <v>0</v>
      </c>
      <c r="C19" s="315">
        <f>+SUMIFS(Tabla1[Avance_km],Tabla1[Fecha],"&gt;="&amp;$A19,Tabla1[Fecha],"&lt;="&amp;EOMONTH($A19,0),Tabla1[Codigo_actividad],C$4)*C$3</f>
        <v>0</v>
      </c>
      <c r="D19" s="315">
        <f>+SUMIFS(Tabla1[Avance_km],Tabla1[Fecha],"&gt;="&amp;$A19,Tabla1[Fecha],"&lt;="&amp;EOMONTH($A19,0),Tabla1[Codigo_actividad],D$4)*D$3</f>
        <v>0</v>
      </c>
      <c r="E19" s="315">
        <f t="shared" si="1"/>
        <v>0</v>
      </c>
      <c r="F19" s="315">
        <f t="shared" si="2"/>
        <v>0</v>
      </c>
      <c r="G19" s="315">
        <f t="shared" si="3"/>
        <v>0</v>
      </c>
      <c r="H19" s="314"/>
      <c r="I19" s="309">
        <f t="shared" si="4"/>
        <v>0</v>
      </c>
      <c r="K19" s="228">
        <v>46357</v>
      </c>
      <c r="L19" s="315">
        <f>+SUMIFS(Tabla1[Avance_km],Tabla1[Fecha],"&gt;="&amp;$A19,Tabla1[Fecha],"&lt;="&amp;EOMONTH($A19,0),Tabla1[Codigo_actividad],L$4)</f>
        <v>0</v>
      </c>
      <c r="M19" s="315">
        <f>+SUMIFS(Tabla1[Avance_km],Tabla1[Fecha],"&gt;="&amp;$A19,Tabla1[Fecha],"&lt;="&amp;EOMONTH($A19,0),Tabla1[Codigo_actividad],M$4)</f>
        <v>0</v>
      </c>
      <c r="N19" s="315">
        <f>+SUMIFS(Tabla1[Avance_km],Tabla1[Fecha],"&gt;="&amp;$A19,Tabla1[Fecha],"&lt;="&amp;EOMONTH($A19,0),Tabla1[Codigo_actividad],N$4)</f>
        <v>0</v>
      </c>
      <c r="O19" s="315">
        <f>+SUMIFS(Tabla1[Observaciones],Tabla1[Fecha],"&gt;="&amp;$A19,Tabla1[Fecha],"&lt;="&amp;EOMONTH($A19,0),Tabla1[Codigo_actividad],O$4,Tabla1[Actividades],"&lt;&gt;"&amp;"METALOGRAFIAS",Tabla1[Length],O$1)</f>
        <v>0</v>
      </c>
      <c r="P19" s="315">
        <f>+SUMIFS(Tabla1[Observaciones],Tabla1[Fecha],"&gt;="&amp;$A19,Tabla1[Fecha],"&lt;="&amp;EOMONTH($A19,0),Tabla1[Codigo_actividad],P$4,Tabla1[Actividades],"&lt;&gt;"&amp;"METALOGRAFIAS",Tabla1[Length],P$1)</f>
        <v>0</v>
      </c>
      <c r="Q19" s="315">
        <f>+SUMIFS(Tabla1[Observaciones],Tabla1[Fecha],"&gt;="&amp;$A19,Tabla1[Fecha],"&lt;="&amp;EOMONTH($A19,0),Tabla1[Codigo_actividad],Q$4,Tabla1[Actividades],"&lt;&gt;"&amp;"METALOGRAFIAS",Tabla1[Length],Q$1)</f>
        <v>0</v>
      </c>
      <c r="R19" s="314"/>
      <c r="S19" s="309">
        <f t="shared" si="5"/>
        <v>0</v>
      </c>
      <c r="T19" s="459">
        <f t="shared" si="6"/>
        <v>0</v>
      </c>
      <c r="U19" s="315">
        <f>+SUMIFS(Tabla1[Observaciones],Tabla1[Fecha],"&gt;="&amp;$A19,Tabla1[Fecha],"&lt;="&amp;EOMONTH($A19,0),Tabla1[Codigo_actividad],U$4,Tabla1[Actividades],"&lt;&gt;"&amp;"METALOGRAFIAS",Tabla1[Length],U$1)</f>
        <v>0</v>
      </c>
      <c r="V19" s="315">
        <f>+SUMIFS(Tabla1[Observaciones],Tabla1[Fecha],"&gt;="&amp;$A19,Tabla1[Fecha],"&lt;="&amp;EOMONTH($A19,0),Tabla1[Codigo_actividad],V$4,Tabla1[Actividades],"&lt;&gt;"&amp;"METALOGRAFIAS",Tabla1[Length],V$1)</f>
        <v>0</v>
      </c>
      <c r="W19" s="315">
        <f>+SUMIFS(Tabla1[Observaciones],Tabla1[Fecha],"&gt;="&amp;$A19,Tabla1[Fecha],"&lt;="&amp;EOMONTH($A19,0),Tabla1[Codigo_actividad],W$4,Tabla1[Actividades],"&lt;&gt;"&amp;"METALOGRAFIAS",Tabla1[Length],W$1)</f>
        <v>0</v>
      </c>
      <c r="X19" s="459"/>
      <c r="Y19" s="459"/>
      <c r="Z19" s="459"/>
      <c r="AA19" s="459"/>
    </row>
    <row r="20" spans="1:65" ht="30" x14ac:dyDescent="0.25">
      <c r="A20" s="400" t="s">
        <v>503</v>
      </c>
      <c r="I20" s="310">
        <f>SUM(I5:I19)</f>
        <v>1674251.6000000006</v>
      </c>
      <c r="K20" s="61" t="s">
        <v>449</v>
      </c>
      <c r="L20" s="401">
        <f>SUM(L6:L19)</f>
        <v>180.42550000000003</v>
      </c>
      <c r="M20" s="401">
        <f>SUM(M6:M19)</f>
        <v>148.92450000000002</v>
      </c>
      <c r="N20" s="401">
        <f>SUM(N6:N19)</f>
        <v>181.88550000000001</v>
      </c>
      <c r="O20" s="470">
        <f>SUM(O6:O19)</f>
        <v>357</v>
      </c>
      <c r="P20" s="458">
        <f t="shared" ref="P20:Q20" si="7">SUM(P6:P19)</f>
        <v>46</v>
      </c>
      <c r="Q20" s="458">
        <f t="shared" si="7"/>
        <v>200</v>
      </c>
      <c r="S20" s="310">
        <f>SUM(S6:S19)</f>
        <v>511.2355</v>
      </c>
      <c r="T20" s="460">
        <f>SUM(T6:T19)</f>
        <v>603</v>
      </c>
      <c r="U20" s="470">
        <f>SUM(U6:U19)</f>
        <v>357</v>
      </c>
      <c r="V20" s="458">
        <f t="shared" ref="V20:W20" si="8">SUM(V6:V19)</f>
        <v>46</v>
      </c>
      <c r="W20" s="458">
        <f t="shared" si="8"/>
        <v>200</v>
      </c>
      <c r="X20" s="460"/>
      <c r="Y20" s="460"/>
      <c r="Z20" s="460"/>
      <c r="AA20" s="460"/>
    </row>
    <row r="21" spans="1:65" x14ac:dyDescent="0.25">
      <c r="A21"/>
      <c r="B21" s="311">
        <f t="shared" ref="B21:G21" si="9">SUM(B6:B19)</f>
        <v>1407318.9</v>
      </c>
      <c r="C21" s="311">
        <f t="shared" si="9"/>
        <v>1221180.8999999999</v>
      </c>
      <c r="D21" s="311">
        <f t="shared" si="9"/>
        <v>291016.8000000001</v>
      </c>
      <c r="E21" s="311">
        <f t="shared" si="9"/>
        <v>126735</v>
      </c>
      <c r="F21" s="311">
        <f t="shared" si="9"/>
        <v>69000</v>
      </c>
      <c r="G21" s="311">
        <f t="shared" si="9"/>
        <v>59000</v>
      </c>
      <c r="H21" s="229"/>
      <c r="I21" s="309">
        <f>+IF(SUM(I6:I19)=SUM(B21:G21),SUM(I6:I19),"Diferencia en los montos")</f>
        <v>3174251.6</v>
      </c>
      <c r="K21"/>
      <c r="R21" s="229"/>
      <c r="S21" s="309">
        <f>+IF(SUM(S6:S19)=SUM(L20:N20),SUM(S6:S19))</f>
        <v>511.2355</v>
      </c>
    </row>
    <row r="22" spans="1:65" x14ac:dyDescent="0.25">
      <c r="A22"/>
      <c r="B22"/>
      <c r="C22"/>
      <c r="L22" s="397"/>
      <c r="M22" s="397"/>
      <c r="N22" s="397"/>
      <c r="O22" s="397"/>
      <c r="P22" s="397"/>
      <c r="Q22" s="397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6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579"/>
      <c r="M24" s="579"/>
      <c r="N24" s="579"/>
      <c r="O24" s="262"/>
      <c r="P24" s="262"/>
      <c r="Q24" s="262"/>
      <c r="R24" s="262"/>
      <c r="S24" s="293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342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8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8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8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2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8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8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8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8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8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8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8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8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8">
        <f t="shared" si="10"/>
        <v>257936.59999999998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3">
        <f>SUM(B26:B37)</f>
        <v>3174251.6</v>
      </c>
      <c r="C38" s="294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2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08">
        <v>1500000</v>
      </c>
      <c r="E76" s="408"/>
      <c r="F76" s="408"/>
      <c r="G76" s="408"/>
      <c r="H76"/>
      <c r="I76"/>
      <c r="J76"/>
      <c r="K76"/>
      <c r="L76"/>
    </row>
    <row r="77" spans="1:12" x14ac:dyDescent="0.25">
      <c r="A77"/>
      <c r="B77"/>
      <c r="C77"/>
      <c r="D77" s="408">
        <f>+D76/1.16</f>
        <v>1293103.4482758623</v>
      </c>
      <c r="E77" s="408"/>
      <c r="F77" s="408"/>
      <c r="G77" s="408"/>
      <c r="H77" t="s">
        <v>511</v>
      </c>
      <c r="I77"/>
      <c r="J77"/>
      <c r="K77"/>
      <c r="L77"/>
    </row>
    <row r="78" spans="1:12" x14ac:dyDescent="0.25">
      <c r="A78"/>
      <c r="B78"/>
      <c r="C78"/>
      <c r="D78" s="408">
        <f>+D77*0.16</f>
        <v>206896.55172413797</v>
      </c>
      <c r="E78" s="408"/>
      <c r="F78" s="408"/>
      <c r="G78" s="408"/>
      <c r="H78" t="s">
        <v>510</v>
      </c>
      <c r="I78"/>
      <c r="J78"/>
      <c r="K78"/>
      <c r="L78"/>
    </row>
    <row r="79" spans="1:12" x14ac:dyDescent="0.25">
      <c r="A79"/>
      <c r="B79"/>
      <c r="C79"/>
      <c r="D79" s="408">
        <f>+D77+D78</f>
        <v>1500000.0000000002</v>
      </c>
      <c r="E79" s="408"/>
      <c r="F79" s="408"/>
      <c r="G79" s="408"/>
      <c r="H79" t="s">
        <v>512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13" priority="5" stopIfTrue="1">
      <formula>B6=0</formula>
    </cfRule>
    <cfRule type="expression" dxfId="12" priority="6">
      <formula>IF(MONTH($A6)=MONTH(TODAY()),"VERDADERO","FALSO")</formula>
    </cfRule>
  </conditionalFormatting>
  <conditionalFormatting sqref="L6:Q19">
    <cfRule type="expression" dxfId="11" priority="7" stopIfTrue="1">
      <formula>L6=0</formula>
    </cfRule>
    <cfRule type="expression" dxfId="10" priority="8">
      <formula>IF(MONTH($A6)=MONTH(TODAY()),"VERDADERO","FALSO")</formula>
    </cfRule>
  </conditionalFormatting>
  <conditionalFormatting sqref="U6:W19">
    <cfRule type="expression" dxfId="9" priority="1" stopIfTrue="1">
      <formula>U6=0</formula>
    </cfRule>
    <cfRule type="expression" dxfId="8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341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341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341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169</v>
      </c>
      <c r="B16" s="192" t="s">
        <v>170</v>
      </c>
      <c r="C16" s="193" t="s">
        <v>170</v>
      </c>
      <c r="D16" s="193" t="s">
        <v>170</v>
      </c>
      <c r="E16" s="193" t="s">
        <v>170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341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341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171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341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341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343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341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341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341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341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341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341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341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77</v>
      </c>
      <c r="I44" s="65" t="s">
        <v>78</v>
      </c>
      <c r="J44" s="65" t="s">
        <v>79</v>
      </c>
      <c r="K44" s="65" t="s">
        <v>80</v>
      </c>
    </row>
  </sheetData>
  <autoFilter ref="A1:G41" xr:uid="{60D85BB3-8864-47F8-94E5-88A6B07DC02A}"/>
  <conditionalFormatting sqref="A36:A41 A2:A34">
    <cfRule type="duplicateValues" dxfId="7" priority="4"/>
  </conditionalFormatting>
  <conditionalFormatting sqref="B2:E41">
    <cfRule type="expression" dxfId="6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341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341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341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341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341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341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341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356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341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77</v>
      </c>
      <c r="I21" s="65" t="s">
        <v>78</v>
      </c>
      <c r="J21" s="65" t="s">
        <v>79</v>
      </c>
      <c r="K21" s="65" t="s">
        <v>80</v>
      </c>
    </row>
  </sheetData>
  <conditionalFormatting sqref="B2:E18">
    <cfRule type="expression" dxfId="5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82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+COUNTA(A2:A45)</f>
        <v>44</v>
      </c>
    </row>
    <row r="2" spans="1:13" x14ac:dyDescent="0.3">
      <c r="A2" s="180" t="s">
        <v>211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211</v>
      </c>
    </row>
    <row r="3" spans="1:13" x14ac:dyDescent="0.3">
      <c r="A3" s="101" t="s">
        <v>212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212</v>
      </c>
      <c r="M3" s="26"/>
    </row>
    <row r="4" spans="1:13" x14ac:dyDescent="0.3">
      <c r="A4" s="101" t="s">
        <v>213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213</v>
      </c>
    </row>
    <row r="5" spans="1:13" x14ac:dyDescent="0.3">
      <c r="A5" s="101" t="s">
        <v>214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214</v>
      </c>
    </row>
    <row r="6" spans="1:13" x14ac:dyDescent="0.3">
      <c r="A6" s="101" t="s">
        <v>215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215</v>
      </c>
    </row>
    <row r="7" spans="1:13" x14ac:dyDescent="0.3">
      <c r="A7" s="254" t="s">
        <v>338</v>
      </c>
      <c r="B7" s="255">
        <f>+_xlfn.XLOOKUP($A7,'R (s03)'!$B:$B,'R (s03)'!D:D,"Falta")</f>
        <v>0</v>
      </c>
      <c r="C7" s="256">
        <f>+_xlfn.XLOOKUP($A7,'R (s03)'!$B:$B,'R (s03)'!E:E,"Falta")</f>
        <v>0</v>
      </c>
      <c r="D7" s="256">
        <f>+_xlfn.XLOOKUP($A7,'R (s03)'!$B:$B,'R (s03)'!F:F,"Falta")</f>
        <v>0</v>
      </c>
      <c r="E7" s="256">
        <f>+_xlfn.XLOOKUP($A7,'R (s03)'!$B:$B,'R (s03)'!G:G,"Falta")</f>
        <v>1</v>
      </c>
      <c r="F7" s="257"/>
      <c r="G7" s="258">
        <v>2</v>
      </c>
      <c r="H7" s="259" t="str">
        <f>IF(SUMIFS(Tabla1[Avance_km],Tabla1[Ducto],$A7,Tabla1[nombre_actividad],H$1)=0,"",SUMIFS(Tabla1[Avance_km],Tabla1[Ducto],$A7,Tabla1[nombre_actividad],H$1))</f>
        <v/>
      </c>
      <c r="I7" s="259" t="str">
        <f>IF(SUMIFS(Tabla1[Avance_km],Tabla1[Ducto],$A7,Tabla1[nombre_actividad],I$1)=0,"",SUMIFS(Tabla1[Avance_km],Tabla1[Ducto],$A7,Tabla1[nombre_actividad],I$1))</f>
        <v/>
      </c>
      <c r="J7" s="259" t="str">
        <f>IF(SUMIFS(Tabla1[Avance_km],Tabla1[Ducto],$A7,Tabla1[nombre_actividad],J$1,Tabla1[Avance_km],"&gt;0")=0,"",SUMIFS(Tabla1[Avance_km],Tabla1[Ducto],$A7,Tabla1[nombre_actividad],J$1,Tabla1[Avance_km],"&gt;0"))</f>
        <v/>
      </c>
      <c r="K7" s="260">
        <f>IF(SUMIFS(Tabla1[Avance_Med],Tabla1[Ducto],$A7,Tabla1[nombre_actividad],K$1)=0,"",SUMIFS(Tabla1[Avance_Med],Tabla1[Ducto],$A7,Tabla1[nombre_actividad],K$1))</f>
        <v>1</v>
      </c>
      <c r="L7" t="s">
        <v>338</v>
      </c>
    </row>
    <row r="8" spans="1:13" x14ac:dyDescent="0.3">
      <c r="A8" s="101" t="s">
        <v>216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216</v>
      </c>
    </row>
    <row r="9" spans="1:13" x14ac:dyDescent="0.3">
      <c r="A9" s="254" t="s">
        <v>339</v>
      </c>
      <c r="B9" s="255">
        <f>+_xlfn.XLOOKUP($A9,'R (s03)'!$B:$B,'R (s03)'!D:D,"Falta")</f>
        <v>0</v>
      </c>
      <c r="C9" s="256">
        <f>+_xlfn.XLOOKUP($A9,'R (s03)'!$B:$B,'R (s03)'!E:E,"Falta")</f>
        <v>0</v>
      </c>
      <c r="D9" s="256">
        <f>+_xlfn.XLOOKUP($A9,'R (s03)'!$B:$B,'R (s03)'!F:F,"Falta")</f>
        <v>0</v>
      </c>
      <c r="E9" s="256">
        <f>+_xlfn.XLOOKUP($A9,'R (s03)'!$B:$B,'R (s03)'!G:G,"Falta")</f>
        <v>1</v>
      </c>
      <c r="F9" s="257"/>
      <c r="G9" s="258">
        <v>22</v>
      </c>
      <c r="H9" s="259" t="str">
        <f>IF(SUMIFS(Tabla1[Avance_km],Tabla1[Ducto],$A9,Tabla1[nombre_actividad],H$1)=0,"",SUMIFS(Tabla1[Avance_km],Tabla1[Ducto],$A9,Tabla1[nombre_actividad],H$1))</f>
        <v/>
      </c>
      <c r="I9" s="259" t="str">
        <f>IF(SUMIFS(Tabla1[Avance_km],Tabla1[Ducto],$A9,Tabla1[nombre_actividad],I$1)=0,"",SUMIFS(Tabla1[Avance_km],Tabla1[Ducto],$A9,Tabla1[nombre_actividad],I$1))</f>
        <v/>
      </c>
      <c r="J9" s="259" t="str">
        <f>IF(SUMIFS(Tabla1[Avance_km],Tabla1[Ducto],$A9,Tabla1[nombre_actividad],J$1,Tabla1[Avance_km],"&gt;0")=0,"",SUMIFS(Tabla1[Avance_km],Tabla1[Ducto],$A9,Tabla1[nombre_actividad],J$1,Tabla1[Avance_km],"&gt;0"))</f>
        <v/>
      </c>
      <c r="K9" s="260">
        <f>IF(SUMIFS(Tabla1[Avance_Med],Tabla1[Ducto],$A9,Tabla1[nombre_actividad],K$1)=0,"",SUMIFS(Tabla1[Avance_Med],Tabla1[Ducto],$A9,Tabla1[nombre_actividad],K$1))</f>
        <v>1</v>
      </c>
      <c r="L9" t="s">
        <v>339</v>
      </c>
    </row>
    <row r="10" spans="1:13" x14ac:dyDescent="0.3">
      <c r="A10" s="101" t="s">
        <v>217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217</v>
      </c>
    </row>
    <row r="11" spans="1:13" x14ac:dyDescent="0.3">
      <c r="A11" s="254" t="s">
        <v>340</v>
      </c>
      <c r="B11" s="255">
        <f>+_xlfn.XLOOKUP($A11,'R (s03)'!$B:$B,'R (s03)'!D:D,"Falta")</f>
        <v>0</v>
      </c>
      <c r="C11" s="256">
        <f>+_xlfn.XLOOKUP($A11,'R (s03)'!$B:$B,'R (s03)'!E:E,"Falta")</f>
        <v>0</v>
      </c>
      <c r="D11" s="256">
        <f>+_xlfn.XLOOKUP($A11,'R (s03)'!$B:$B,'R (s03)'!F:F,"Falta")</f>
        <v>0</v>
      </c>
      <c r="E11" s="256">
        <f>+_xlfn.XLOOKUP($A11,'R (s03)'!$B:$B,'R (s03)'!G:G,"Falta")</f>
        <v>1</v>
      </c>
      <c r="F11" s="257"/>
      <c r="G11" s="258">
        <v>7</v>
      </c>
      <c r="H11" s="259" t="str">
        <f>IF(SUMIFS(Tabla1[Avance_km],Tabla1[Ducto],$A11,Tabla1[nombre_actividad],H$1)=0,"",SUMIFS(Tabla1[Avance_km],Tabla1[Ducto],$A11,Tabla1[nombre_actividad],H$1))</f>
        <v/>
      </c>
      <c r="I11" s="259" t="str">
        <f>IF(SUMIFS(Tabla1[Avance_km],Tabla1[Ducto],$A11,Tabla1[nombre_actividad],I$1)=0,"",SUMIFS(Tabla1[Avance_km],Tabla1[Ducto],$A11,Tabla1[nombre_actividad],I$1))</f>
        <v/>
      </c>
      <c r="J11" s="259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0">
        <f>IF(SUMIFS(Tabla1[Avance_Med],Tabla1[Ducto],$A11,Tabla1[nombre_actividad],K$1)=0,"",SUMIFS(Tabla1[Avance_Med],Tabla1[Ducto],$A11,Tabla1[nombre_actividad],K$1))</f>
        <v>1</v>
      </c>
      <c r="L11" t="s">
        <v>340</v>
      </c>
    </row>
    <row r="12" spans="1:13" x14ac:dyDescent="0.3">
      <c r="A12" s="101" t="s">
        <v>218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218</v>
      </c>
    </row>
    <row r="13" spans="1:13" x14ac:dyDescent="0.3">
      <c r="A13" s="394" t="s">
        <v>219</v>
      </c>
      <c r="B13" s="255">
        <f>+_xlfn.XLOOKUP($A13,'R (s03)'!$B:$B,'R (s03)'!D:D,"Falta")</f>
        <v>0</v>
      </c>
      <c r="C13" s="256">
        <f>+_xlfn.XLOOKUP($A13,'R (s03)'!$B:$B,'R (s03)'!E:E,"Falta")</f>
        <v>0</v>
      </c>
      <c r="D13" s="256">
        <f>+_xlfn.XLOOKUP($A13,'R (s03)'!$B:$B,'R (s03)'!F:F,"Falta")</f>
        <v>0</v>
      </c>
      <c r="E13" s="256" t="str">
        <f>+_xlfn.XLOOKUP($A13,'R (s03)'!$B:$B,'R (s03)'!G:G,"Falta")</f>
        <v>ref 0+372 Kellog's</v>
      </c>
      <c r="F13" s="257">
        <v>345</v>
      </c>
      <c r="G13" s="258">
        <v>345</v>
      </c>
      <c r="H13" s="259" t="str">
        <f>IF(SUMIFS(Tabla1[Avance_km],Tabla1[Ducto],$A13,Tabla1[nombre_actividad],H$1)=0,"",SUMIFS(Tabla1[Avance_km],Tabla1[Ducto],$A13,Tabla1[nombre_actividad],H$1))</f>
        <v/>
      </c>
      <c r="I13" s="259" t="str">
        <f>IF(SUMIFS(Tabla1[Avance_km],Tabla1[Ducto],$A13,Tabla1[nombre_actividad],I$1)=0,"",SUMIFS(Tabla1[Avance_km],Tabla1[Ducto],$A13,Tabla1[nombre_actividad],I$1))</f>
        <v/>
      </c>
      <c r="J13" s="259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0" t="s">
        <v>344</v>
      </c>
      <c r="L13" t="s">
        <v>219</v>
      </c>
    </row>
    <row r="14" spans="1:13" x14ac:dyDescent="0.3">
      <c r="A14" s="101" t="s">
        <v>220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220</v>
      </c>
    </row>
    <row r="15" spans="1:13" x14ac:dyDescent="0.3">
      <c r="A15" s="101" t="s">
        <v>221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221</v>
      </c>
    </row>
    <row r="16" spans="1:13" x14ac:dyDescent="0.3">
      <c r="A16" s="101" t="s">
        <v>222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222</v>
      </c>
    </row>
    <row r="17" spans="1:12" x14ac:dyDescent="0.3">
      <c r="A17" s="101" t="s">
        <v>223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223</v>
      </c>
    </row>
    <row r="18" spans="1:12" x14ac:dyDescent="0.3">
      <c r="A18" s="101" t="s">
        <v>224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224</v>
      </c>
    </row>
    <row r="19" spans="1:12" x14ac:dyDescent="0.3">
      <c r="A19" s="102" t="s">
        <v>226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226</v>
      </c>
    </row>
    <row r="20" spans="1:12" x14ac:dyDescent="0.3">
      <c r="A20" s="254" t="s">
        <v>228</v>
      </c>
      <c r="B20" s="255">
        <f>+_xlfn.XLOOKUP($A20,'R (s03)'!$B:$B,'R (s03)'!D:D,"Falta")</f>
        <v>0</v>
      </c>
      <c r="C20" s="256">
        <f>+_xlfn.XLOOKUP($A20,'R (s03)'!$B:$B,'R (s03)'!E:E,"Falta")</f>
        <v>0</v>
      </c>
      <c r="D20" s="256">
        <f>+_xlfn.XLOOKUP($A20,'R (s03)'!$B:$B,'R (s03)'!F:F,"Falta")</f>
        <v>0</v>
      </c>
      <c r="E20" s="256">
        <f>+_xlfn.XLOOKUP($A20,'R (s03)'!$B:$B,'R (s03)'!G:G,"Falta")</f>
        <v>0</v>
      </c>
      <c r="F20" s="257">
        <v>3</v>
      </c>
      <c r="G20" s="258">
        <v>2</v>
      </c>
      <c r="H20" s="259" t="str">
        <f>IF(SUMIFS(Tabla1[Avance_km],Tabla1[Ducto],$A20,Tabla1[nombre_actividad],H$1)=0,"",SUMIFS(Tabla1[Avance_km],Tabla1[Ducto],$A20,Tabla1[nombre_actividad],H$1))</f>
        <v/>
      </c>
      <c r="I20" s="259" t="str">
        <f>IF(SUMIFS(Tabla1[Avance_km],Tabla1[Ducto],$A20,Tabla1[nombre_actividad],I$1)=0,"",SUMIFS(Tabla1[Avance_km],Tabla1[Ducto],$A20,Tabla1[nombre_actividad],I$1))</f>
        <v/>
      </c>
      <c r="J20" s="259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0" t="str">
        <f>IF(SUMIFS(Tabla1[Avance_Med],Tabla1[Ducto],$A20,Tabla1[nombre_actividad],K$1)=0,"",SUMIFS(Tabla1[Avance_Med],Tabla1[Ducto],$A20,Tabla1[nombre_actividad],K$1))</f>
        <v/>
      </c>
      <c r="L20" t="s">
        <v>228</v>
      </c>
    </row>
    <row r="21" spans="1:12" x14ac:dyDescent="0.3">
      <c r="A21" s="102" t="s">
        <v>230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230</v>
      </c>
    </row>
    <row r="22" spans="1:12" x14ac:dyDescent="0.3">
      <c r="A22" s="102" t="s">
        <v>232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232</v>
      </c>
    </row>
    <row r="23" spans="1:12" x14ac:dyDescent="0.3">
      <c r="A23" s="499" t="s">
        <v>234</v>
      </c>
      <c r="B23" s="255">
        <f>+_xlfn.XLOOKUP($A23,'R (s03)'!$B:$B,'R (s03)'!D:D,"Falta")</f>
        <v>0</v>
      </c>
      <c r="C23" s="256">
        <f>+_xlfn.XLOOKUP($A23,'R (s03)'!$B:$B,'R (s03)'!E:E,"Falta")</f>
        <v>0</v>
      </c>
      <c r="D23" s="256">
        <f>+_xlfn.XLOOKUP($A23,'R (s03)'!$B:$B,'R (s03)'!F:F,"Falta")</f>
        <v>0</v>
      </c>
      <c r="E23" s="256">
        <f>+_xlfn.XLOOKUP($A23,'R (s03)'!$B:$B,'R (s03)'!G:G,"Falta")</f>
        <v>1</v>
      </c>
      <c r="F23" s="257">
        <v>2</v>
      </c>
      <c r="G23" s="258">
        <v>2</v>
      </c>
      <c r="H23" s="259" t="str">
        <f>IF(SUMIFS(Tabla1[Avance_km],Tabla1[Ducto],$A23,Tabla1[nombre_actividad],H$1)=0,"",SUMIFS(Tabla1[Avance_km],Tabla1[Ducto],$A23,Tabla1[nombre_actividad],H$1))</f>
        <v/>
      </c>
      <c r="I23" s="259" t="str">
        <f>IF(SUMIFS(Tabla1[Avance_km],Tabla1[Ducto],$A23,Tabla1[nombre_actividad],I$1)=0,"",SUMIFS(Tabla1[Avance_km],Tabla1[Ducto],$A23,Tabla1[nombre_actividad],I$1))</f>
        <v/>
      </c>
      <c r="J23" s="259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0">
        <f>IF(SUMIFS(Tabla1[Avance_Med],Tabla1[Ducto],$A23,Tabla1[nombre_actividad],K$1)=0,"",SUMIFS(Tabla1[Avance_Med],Tabla1[Ducto],$A23,Tabla1[nombre_actividad],K$1))</f>
        <v>1</v>
      </c>
      <c r="L23" t="s">
        <v>234</v>
      </c>
    </row>
    <row r="24" spans="1:12" x14ac:dyDescent="0.3">
      <c r="A24" s="102" t="s">
        <v>236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0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398</v>
      </c>
      <c r="L24" t="s">
        <v>236</v>
      </c>
    </row>
    <row r="25" spans="1:12" x14ac:dyDescent="0.3">
      <c r="A25" s="102" t="s">
        <v>238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238</v>
      </c>
    </row>
    <row r="26" spans="1:12" x14ac:dyDescent="0.3">
      <c r="A26" s="394" t="s">
        <v>239</v>
      </c>
      <c r="B26" s="255">
        <f>+_xlfn.XLOOKUP($A26,'R (s03)'!$B:$B,'R (s03)'!D:D,"Falta")</f>
        <v>0</v>
      </c>
      <c r="C26" s="256">
        <f>+_xlfn.XLOOKUP($A26,'R (s03)'!$B:$B,'R (s03)'!E:E,"Falta")</f>
        <v>0</v>
      </c>
      <c r="D26" s="256">
        <f>+_xlfn.XLOOKUP($A26,'R (s03)'!$B:$B,'R (s03)'!F:F,"Falta")</f>
        <v>0</v>
      </c>
      <c r="E26" s="256">
        <f>+_xlfn.XLOOKUP($A26,'R (s03)'!$B:$B,'R (s03)'!G:G,"Falta")</f>
        <v>1</v>
      </c>
      <c r="F26" s="257"/>
      <c r="G26" s="258"/>
      <c r="H26" s="259" t="str">
        <f>IF(SUMIFS(Tabla1[Avance_km],Tabla1[Ducto],$A26,Tabla1[nombre_actividad],H$1)=0,"",SUMIFS(Tabla1[Avance_km],Tabla1[Ducto],$A26,Tabla1[nombre_actividad],H$1))</f>
        <v/>
      </c>
      <c r="I26" s="259" t="str">
        <f>IF(SUMIFS(Tabla1[Avance_km],Tabla1[Ducto],$A26,Tabla1[nombre_actividad],I$1)=0,"",SUMIFS(Tabla1[Avance_km],Tabla1[Ducto],$A26,Tabla1[nombre_actividad],I$1))</f>
        <v/>
      </c>
      <c r="J26" s="259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0">
        <f>IF(SUMIFS(Tabla1[Avance_Med],Tabla1[Ducto],$A26,Tabla1[nombre_actividad],K$1)=0,"",SUMIFS(Tabla1[Avance_Med],Tabla1[Ducto],$A26,Tabla1[nombre_actividad],K$1))</f>
        <v>2</v>
      </c>
      <c r="L26" t="s">
        <v>239</v>
      </c>
    </row>
    <row r="27" spans="1:12" x14ac:dyDescent="0.3">
      <c r="A27" s="101" t="s">
        <v>240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240</v>
      </c>
    </row>
    <row r="28" spans="1:12" x14ac:dyDescent="0.3">
      <c r="A28" s="101" t="s">
        <v>241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241</v>
      </c>
    </row>
    <row r="29" spans="1:12" x14ac:dyDescent="0.3">
      <c r="A29" s="101" t="s">
        <v>242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347</v>
      </c>
      <c r="L29" t="s">
        <v>242</v>
      </c>
    </row>
    <row r="30" spans="1:12" x14ac:dyDescent="0.3">
      <c r="A30" s="101" t="s">
        <v>243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243</v>
      </c>
    </row>
    <row r="31" spans="1:12" x14ac:dyDescent="0.3">
      <c r="A31" s="101" t="s">
        <v>244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244</v>
      </c>
    </row>
    <row r="32" spans="1:12" x14ac:dyDescent="0.3">
      <c r="A32" s="394" t="s">
        <v>245</v>
      </c>
      <c r="B32" s="255">
        <f>+_xlfn.XLOOKUP($A32,'R (s03)'!$B:$B,'R (s03)'!D:D,"Falta")</f>
        <v>0</v>
      </c>
      <c r="C32" s="256">
        <f>+_xlfn.XLOOKUP($A32,'R (s03)'!$B:$B,'R (s03)'!E:E,"Falta")</f>
        <v>0</v>
      </c>
      <c r="D32" s="256">
        <f>+_xlfn.XLOOKUP($A32,'R (s03)'!$B:$B,'R (s03)'!F:F,"Falta")</f>
        <v>0</v>
      </c>
      <c r="E32" s="256">
        <f>+_xlfn.XLOOKUP($A32,'R (s03)'!$B:$B,'R (s03)'!G:G,"Falta")</f>
        <v>1</v>
      </c>
      <c r="F32" s="257">
        <v>6</v>
      </c>
      <c r="G32" s="258">
        <v>6</v>
      </c>
      <c r="H32" s="259" t="str">
        <f>IF(SUMIFS(Tabla1[Avance_km],Tabla1[Ducto],$A32,Tabla1[nombre_actividad],H$1)=0,"",SUMIFS(Tabla1[Avance_km],Tabla1[Ducto],$A32,Tabla1[nombre_actividad],H$1))</f>
        <v/>
      </c>
      <c r="I32" s="259" t="str">
        <f>IF(SUMIFS(Tabla1[Avance_km],Tabla1[Ducto],$A32,Tabla1[nombre_actividad],I$1)=0,"",SUMIFS(Tabla1[Avance_km],Tabla1[Ducto],$A32,Tabla1[nombre_actividad],I$1))</f>
        <v/>
      </c>
      <c r="J32" s="259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0">
        <f>IF(SUMIFS(Tabla1[Avance_Med],Tabla1[Ducto],$A32,Tabla1[nombre_actividad],K$1)=0,"",SUMIFS(Tabla1[Avance_Med],Tabla1[Ducto],$A32,Tabla1[nombre_actividad],K$1))</f>
        <v>1</v>
      </c>
      <c r="L32" t="s">
        <v>245</v>
      </c>
    </row>
    <row r="33" spans="1:12" x14ac:dyDescent="0.3">
      <c r="A33" s="101" t="s">
        <v>246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348</v>
      </c>
      <c r="L33" t="s">
        <v>246</v>
      </c>
    </row>
    <row r="34" spans="1:12" x14ac:dyDescent="0.3">
      <c r="A34" s="101" t="s">
        <v>247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247</v>
      </c>
    </row>
    <row r="35" spans="1:12" x14ac:dyDescent="0.3">
      <c r="A35" s="101" t="s">
        <v>248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248</v>
      </c>
    </row>
    <row r="36" spans="1:12" x14ac:dyDescent="0.3">
      <c r="A36" s="101" t="s">
        <v>249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249</v>
      </c>
    </row>
    <row r="37" spans="1:12" x14ac:dyDescent="0.3">
      <c r="A37" s="101" t="s">
        <v>250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250</v>
      </c>
    </row>
    <row r="38" spans="1:12" x14ac:dyDescent="0.3">
      <c r="A38" s="101" t="s">
        <v>251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251</v>
      </c>
    </row>
    <row r="39" spans="1:12" x14ac:dyDescent="0.3">
      <c r="A39" s="101" t="s">
        <v>252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252</v>
      </c>
    </row>
    <row r="40" spans="1:12" x14ac:dyDescent="0.3">
      <c r="A40" s="394" t="s">
        <v>253</v>
      </c>
      <c r="B40" s="255">
        <f>+_xlfn.XLOOKUP($A40,'R (s03)'!$B:$B,'R (s03)'!D:D,"Falta")</f>
        <v>0</v>
      </c>
      <c r="C40" s="256">
        <f>+_xlfn.XLOOKUP($A40,'R (s03)'!$B:$B,'R (s03)'!E:E,"Falta")</f>
        <v>0</v>
      </c>
      <c r="D40" s="256">
        <f>+_xlfn.XLOOKUP($A40,'R (s03)'!$B:$B,'R (s03)'!F:F,"Falta")</f>
        <v>0</v>
      </c>
      <c r="E40" s="256">
        <f>+_xlfn.XLOOKUP($A40,'R (s03)'!$B:$B,'R (s03)'!G:G,"Falta")</f>
        <v>1</v>
      </c>
      <c r="F40" s="257">
        <v>12</v>
      </c>
      <c r="G40" s="258">
        <v>12</v>
      </c>
      <c r="H40" s="259" t="str">
        <f>IF(SUMIFS(Tabla1[Avance_km],Tabla1[Ducto],$A40,Tabla1[nombre_actividad],H$1)=0,"",SUMIFS(Tabla1[Avance_km],Tabla1[Ducto],$A40,Tabla1[nombre_actividad],H$1))</f>
        <v/>
      </c>
      <c r="I40" s="259" t="str">
        <f>IF(SUMIFS(Tabla1[Avance_km],Tabla1[Ducto],$A40,Tabla1[nombre_actividad],I$1)=0,"",SUMIFS(Tabla1[Avance_km],Tabla1[Ducto],$A40,Tabla1[nombre_actividad],I$1))</f>
        <v/>
      </c>
      <c r="J40" s="259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0">
        <f>IF(SUMIFS(Tabla1[Avance_Med],Tabla1[Ducto],$A40,Tabla1[nombre_actividad],K$1)=0,"",SUMIFS(Tabla1[Avance_Med],Tabla1[Ducto],$A40,Tabla1[nombre_actividad],K$1))</f>
        <v>1</v>
      </c>
      <c r="L40" t="s">
        <v>253</v>
      </c>
    </row>
    <row r="41" spans="1:12" x14ac:dyDescent="0.3">
      <c r="A41" s="101" t="s">
        <v>254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254</v>
      </c>
    </row>
    <row r="42" spans="1:12" x14ac:dyDescent="0.3">
      <c r="A42" s="101" t="s">
        <v>345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345</v>
      </c>
    </row>
    <row r="43" spans="1:12" x14ac:dyDescent="0.3">
      <c r="A43" s="394" t="s">
        <v>498</v>
      </c>
      <c r="B43" s="255">
        <f>+_xlfn.XLOOKUP($A43,'R (s03)'!$B:$B,'R (s03)'!D:D,"Falta")</f>
        <v>0</v>
      </c>
      <c r="C43" s="256">
        <f>+_xlfn.XLOOKUP($A43,'R (s03)'!$B:$B,'R (s03)'!E:E,"Falta")</f>
        <v>0</v>
      </c>
      <c r="D43" s="256">
        <f>+_xlfn.XLOOKUP($A43,'R (s03)'!$B:$B,'R (s03)'!F:F,"Falta")</f>
        <v>0</v>
      </c>
      <c r="E43" s="256" t="str">
        <f>+_xlfn.XLOOKUP($A43,'R (s03)'!$B:$B,'R (s03)'!G:G,"Falta")</f>
        <v>---</v>
      </c>
      <c r="F43" s="257"/>
      <c r="G43" s="258"/>
      <c r="H43" s="259" t="str">
        <f>IF(SUMIFS(Tabla1[Avance_km],Tabla1[Ducto],$A43,Tabla1[nombre_actividad],H$1)=0,"",SUMIFS(Tabla1[Avance_km],Tabla1[Ducto],$A43,Tabla1[nombre_actividad],H$1))</f>
        <v/>
      </c>
      <c r="I43" s="259" t="str">
        <f>IF(SUMIFS(Tabla1[Avance_km],Tabla1[Ducto],$A43,Tabla1[nombre_actividad],I$1)=0,"",SUMIFS(Tabla1[Avance_km],Tabla1[Ducto],$A43,Tabla1[nombre_actividad],I$1))</f>
        <v/>
      </c>
      <c r="J43" s="259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0" t="str">
        <f>IF(SUMIFS(Tabla1[Avance_Med],Tabla1[Ducto],$A43,Tabla1[nombre_actividad],K$1)=0,"",SUMIFS(Tabla1[Avance_Med],Tabla1[Ducto],$A43,Tabla1[nombre_actividad],K$1))</f>
        <v/>
      </c>
      <c r="L43" t="s">
        <v>498</v>
      </c>
    </row>
    <row r="44" spans="1:12" x14ac:dyDescent="0.3">
      <c r="A44" s="101" t="s">
        <v>500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500</v>
      </c>
    </row>
    <row r="45" spans="1:12" x14ac:dyDescent="0.3">
      <c r="A45" s="101" t="s">
        <v>352</v>
      </c>
      <c r="B45" s="553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352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77</v>
      </c>
      <c r="I49" s="65" t="s">
        <v>78</v>
      </c>
      <c r="J49" s="65" t="s">
        <v>79</v>
      </c>
      <c r="K49" s="65" t="s">
        <v>80</v>
      </c>
    </row>
  </sheetData>
  <autoFilter ref="A1:G41" xr:uid="{60D85BB3-8864-47F8-94E5-88A6B07DC02A}"/>
  <conditionalFormatting sqref="B2:E45">
    <cfRule type="expression" dxfId="4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82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+COUNTA(A2:A2)</f>
        <v>1</v>
      </c>
    </row>
    <row r="2" spans="1:12" x14ac:dyDescent="0.3">
      <c r="A2" s="180" t="s">
        <v>350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358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263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359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360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77</v>
      </c>
      <c r="I9" s="65" t="s">
        <v>78</v>
      </c>
      <c r="J9" s="65" t="s">
        <v>79</v>
      </c>
      <c r="K9" s="65" t="s">
        <v>80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3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82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+COUNTA(A2:A2)</f>
        <v>1</v>
      </c>
    </row>
    <row r="2" spans="1:12" x14ac:dyDescent="0.3">
      <c r="A2" s="180" t="s">
        <v>364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365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366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367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368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369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370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371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372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373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374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375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77</v>
      </c>
      <c r="I16" s="65" t="s">
        <v>78</v>
      </c>
      <c r="J16" s="65" t="s">
        <v>79</v>
      </c>
      <c r="K16" s="65" t="s">
        <v>80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2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+COUNTA(A2:A4)-1</f>
        <v>2</v>
      </c>
    </row>
    <row r="2" spans="1:12" ht="15" x14ac:dyDescent="0.25">
      <c r="A2" s="100" t="s">
        <v>264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332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333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77</v>
      </c>
      <c r="I7" s="65" t="s">
        <v>78</v>
      </c>
      <c r="J7" s="65" t="s">
        <v>79</v>
      </c>
      <c r="K7" s="65" t="s">
        <v>80</v>
      </c>
    </row>
  </sheetData>
  <conditionalFormatting sqref="B2:E4">
    <cfRule type="expression" dxfId="1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+COUNTA(A2:A3)</f>
        <v>2</v>
      </c>
    </row>
    <row r="2" spans="1:12" ht="15" x14ac:dyDescent="0.25">
      <c r="A2" s="100" t="s">
        <v>265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335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77</v>
      </c>
      <c r="I6" s="65" t="s">
        <v>78</v>
      </c>
      <c r="J6" s="65" t="s">
        <v>79</v>
      </c>
      <c r="K6" s="65" t="s">
        <v>80</v>
      </c>
    </row>
  </sheetData>
  <conditionalFormatting sqref="B2:E3">
    <cfRule type="expression" dxfId="0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257</v>
      </c>
      <c r="B1" s="42" t="s">
        <v>258</v>
      </c>
      <c r="C1" s="42" t="s">
        <v>259</v>
      </c>
      <c r="D1" s="43" t="s">
        <v>256</v>
      </c>
    </row>
    <row r="2" spans="1:7" x14ac:dyDescent="0.3">
      <c r="A2" s="45">
        <v>1</v>
      </c>
      <c r="B2" s="152" t="s">
        <v>260</v>
      </c>
      <c r="C2" s="46">
        <v>24000</v>
      </c>
      <c r="D2" s="47"/>
      <c r="E2" s="49"/>
      <c r="F2" s="340" t="s">
        <v>179</v>
      </c>
      <c r="G2" s="341">
        <f>+'Summary S01'!H43</f>
        <v>66.918000000000006</v>
      </c>
    </row>
    <row r="3" spans="1:7" x14ac:dyDescent="0.3">
      <c r="A3" s="45">
        <v>2</v>
      </c>
      <c r="B3" s="152" t="s">
        <v>216</v>
      </c>
      <c r="C3" s="46">
        <v>5872</v>
      </c>
      <c r="D3" s="47"/>
      <c r="F3" s="340" t="s">
        <v>180</v>
      </c>
      <c r="G3" s="341">
        <f>+'Summary S02'!H20</f>
        <v>32.987999999999992</v>
      </c>
    </row>
    <row r="4" spans="1:7" x14ac:dyDescent="0.3">
      <c r="A4" s="45">
        <v>3</v>
      </c>
      <c r="B4" s="152" t="s">
        <v>261</v>
      </c>
      <c r="C4" s="46">
        <v>5788</v>
      </c>
      <c r="D4" s="47"/>
      <c r="F4" s="340" t="s">
        <v>210</v>
      </c>
      <c r="G4" s="341">
        <f>+'Summary S03'!F48/1000</f>
        <v>44.517000000000003</v>
      </c>
    </row>
    <row r="5" spans="1:7" x14ac:dyDescent="0.3">
      <c r="A5" s="45">
        <v>4</v>
      </c>
      <c r="B5" s="152" t="s">
        <v>214</v>
      </c>
      <c r="C5" s="46">
        <v>1880</v>
      </c>
      <c r="D5" s="47"/>
      <c r="F5" s="340" t="s">
        <v>351</v>
      </c>
      <c r="G5" s="341">
        <f>+'Summary S04'!F8/1000</f>
        <v>3.99</v>
      </c>
    </row>
    <row r="6" spans="1:7" x14ac:dyDescent="0.3">
      <c r="A6" s="45">
        <v>5</v>
      </c>
      <c r="B6" s="152" t="s">
        <v>252</v>
      </c>
      <c r="C6" s="46">
        <v>1324</v>
      </c>
      <c r="D6" s="47"/>
      <c r="F6" s="340" t="s">
        <v>377</v>
      </c>
      <c r="G6" s="341">
        <f>+'Summary S06'!F15/1000</f>
        <v>1.6239000000000001</v>
      </c>
    </row>
    <row r="7" spans="1:7" x14ac:dyDescent="0.3">
      <c r="A7" s="45">
        <v>6</v>
      </c>
      <c r="B7" s="152" t="s">
        <v>262</v>
      </c>
      <c r="C7" s="46">
        <v>1100</v>
      </c>
      <c r="D7" s="47"/>
      <c r="F7" s="340" t="s">
        <v>271</v>
      </c>
      <c r="G7" s="341">
        <f>+'Summary S07'!F6/1000</f>
        <v>1.5489999999999999</v>
      </c>
    </row>
    <row r="8" spans="1:7" x14ac:dyDescent="0.3">
      <c r="A8" s="45">
        <v>7</v>
      </c>
      <c r="B8" s="152" t="s">
        <v>263</v>
      </c>
      <c r="C8" s="46">
        <v>2077</v>
      </c>
      <c r="D8" s="47"/>
      <c r="F8" s="340" t="s">
        <v>272</v>
      </c>
      <c r="G8" s="341">
        <f>+'Summary S08'!F5/1000</f>
        <v>3.524</v>
      </c>
    </row>
    <row r="9" spans="1:7" x14ac:dyDescent="0.3">
      <c r="A9" s="45">
        <v>8</v>
      </c>
      <c r="B9" s="167" t="s">
        <v>264</v>
      </c>
      <c r="C9" s="183">
        <v>1726</v>
      </c>
      <c r="D9" s="47"/>
      <c r="G9" s="399">
        <f>SUM(G2:G8)</f>
        <v>155.10990000000001</v>
      </c>
    </row>
    <row r="10" spans="1:7" x14ac:dyDescent="0.3">
      <c r="A10" s="45">
        <v>9</v>
      </c>
      <c r="B10" s="169" t="s">
        <v>265</v>
      </c>
      <c r="C10" s="183">
        <v>4300</v>
      </c>
      <c r="D10" s="47"/>
    </row>
    <row r="11" spans="1:7" x14ac:dyDescent="0.3">
      <c r="A11" s="45">
        <v>10</v>
      </c>
      <c r="B11" s="58" t="s">
        <v>266</v>
      </c>
      <c r="C11" s="183">
        <v>31540</v>
      </c>
      <c r="D11" s="47">
        <v>34675</v>
      </c>
      <c r="E11" s="48" t="s">
        <v>267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48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268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269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270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47"/>
  </cols>
  <sheetData>
    <row r="3" spans="2:6" ht="31.5" customHeight="1" x14ac:dyDescent="0.25">
      <c r="C3" s="492" t="s">
        <v>588</v>
      </c>
      <c r="D3" s="492" t="s">
        <v>589</v>
      </c>
      <c r="E3" s="492" t="s">
        <v>590</v>
      </c>
      <c r="F3" s="492" t="s">
        <v>591</v>
      </c>
    </row>
    <row r="4" spans="2:6" ht="34.5" customHeight="1" x14ac:dyDescent="0.25">
      <c r="B4" s="496">
        <v>46294</v>
      </c>
      <c r="C4" s="493" t="s">
        <v>592</v>
      </c>
      <c r="D4" s="494" t="s">
        <v>593</v>
      </c>
      <c r="E4" s="495" t="s">
        <v>594</v>
      </c>
      <c r="F4" s="554" t="s">
        <v>644</v>
      </c>
    </row>
    <row r="5" spans="2:6" ht="34.5" customHeight="1" x14ac:dyDescent="0.25">
      <c r="B5" s="496">
        <v>46294</v>
      </c>
      <c r="C5" s="493" t="s">
        <v>595</v>
      </c>
      <c r="D5" s="494" t="s">
        <v>596</v>
      </c>
      <c r="E5" s="495" t="s">
        <v>594</v>
      </c>
      <c r="F5" s="554" t="s">
        <v>644</v>
      </c>
    </row>
    <row r="6" spans="2:6" ht="34.5" customHeight="1" x14ac:dyDescent="0.25">
      <c r="B6" s="496">
        <v>46297</v>
      </c>
      <c r="C6" s="493" t="s">
        <v>597</v>
      </c>
      <c r="D6" s="494" t="s">
        <v>598</v>
      </c>
      <c r="E6" s="495" t="s">
        <v>599</v>
      </c>
      <c r="F6" s="554" t="s">
        <v>644</v>
      </c>
    </row>
    <row r="7" spans="2:6" ht="34.5" customHeight="1" x14ac:dyDescent="0.25">
      <c r="B7" s="496">
        <v>46296</v>
      </c>
      <c r="C7" s="493" t="s">
        <v>600</v>
      </c>
      <c r="D7" s="494" t="s">
        <v>601</v>
      </c>
      <c r="E7" s="495" t="s">
        <v>599</v>
      </c>
      <c r="F7" s="554" t="s">
        <v>644</v>
      </c>
    </row>
    <row r="8" spans="2:6" ht="34.5" customHeight="1" x14ac:dyDescent="0.25">
      <c r="B8" s="496">
        <v>46294</v>
      </c>
      <c r="C8" s="493" t="s">
        <v>602</v>
      </c>
      <c r="D8" s="494" t="s">
        <v>603</v>
      </c>
      <c r="E8" s="495" t="s">
        <v>599</v>
      </c>
      <c r="F8" s="554" t="s">
        <v>644</v>
      </c>
    </row>
    <row r="9" spans="2:6" ht="34.5" customHeight="1" x14ac:dyDescent="0.25">
      <c r="B9" s="496">
        <v>46296</v>
      </c>
      <c r="C9" s="493" t="s">
        <v>604</v>
      </c>
      <c r="D9" s="494" t="s">
        <v>605</v>
      </c>
      <c r="E9" s="495" t="s">
        <v>606</v>
      </c>
      <c r="F9" s="554" t="s">
        <v>644</v>
      </c>
    </row>
    <row r="10" spans="2:6" ht="34.5" customHeight="1" x14ac:dyDescent="0.25">
      <c r="B10" s="496">
        <v>46297</v>
      </c>
      <c r="C10" s="493" t="s">
        <v>607</v>
      </c>
      <c r="D10" s="494" t="s">
        <v>608</v>
      </c>
      <c r="E10" s="495" t="s">
        <v>606</v>
      </c>
      <c r="F10" s="554" t="s">
        <v>644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321</v>
      </c>
      <c r="C2" s="1"/>
      <c r="D2" s="1"/>
      <c r="E2" s="176" t="s">
        <v>322</v>
      </c>
      <c r="F2" s="176" t="s">
        <v>323</v>
      </c>
      <c r="G2" s="176" t="s">
        <v>324</v>
      </c>
      <c r="H2" s="176" t="s">
        <v>79</v>
      </c>
      <c r="J2" s="1" t="s">
        <v>321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325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326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327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33</vt:i4>
      </vt:variant>
      <vt:variant>
        <vt:lpstr>Rangos con nombre</vt:lpstr>
      </vt:variant>
      <vt:variant>
        <vt:i4>9</vt:i4>
      </vt:variant>
    </vt:vector>
  </HeadingPairs>
  <TitlesOfParts>
    <vt:vector size="42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2026-10-21T16:26:16Z</dcterms:modified>
  <cp:category/>
  <cp:contentStatus/>
</cp:coreProperties>
</file>