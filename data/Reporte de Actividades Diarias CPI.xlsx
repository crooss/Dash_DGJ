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63" documentId="8_{4AADA8ED-8E7D-4B32-A08C-3385DCB314DA}" xr6:coauthVersionLast="47" xr6:coauthVersionMax="47" xr10:uidLastSave="{52BC2EA3-90B4-47EA-8018-87007AAC2D77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SPIN'!$O$6:$O$20</definedName>
    <definedName name="_xlchart.v5.17" hidden="1">'EV SPIN'!$K$6:$K$20</definedName>
    <definedName name="_xlchart.v5.18" hidden="1">'EV SPIN'!$N$6:$N$20</definedName>
    <definedName name="_xlchart.v5.19" hidden="1">'EV SPIN'!$K$6:$K$20</definedName>
    <definedName name="_xlchart.v5.2" hidden="1">'EV (2)'!$A$5:$A$20</definedName>
    <definedName name="_xlchart.v5.20" hidden="1">'EV SPIN'!$P$6:$P$20</definedName>
    <definedName name="_xlchart.v5.21" hidden="1">'EV SPIN'!$K$6:$K$20</definedName>
    <definedName name="_xlchart.v5.22" hidden="1">'EV SPIN'!$Q$6:$Q$20</definedName>
    <definedName name="_xlchart.v5.23" hidden="1">'EV SPIN'!$K$6:$K$20</definedName>
    <definedName name="_xlchart.v5.24" hidden="1">'EV SPIN'!$L$6:$L$20</definedName>
    <definedName name="_xlchart.v5.25" hidden="1">'EV SPIN'!$A$5:$A$20</definedName>
    <definedName name="_xlchart.v5.26" hidden="1">'EV SPIN'!$I$5:$I$20</definedName>
    <definedName name="_xlchart.v5.27" hidden="1">'EV SPIN'!$K$6:$K$20</definedName>
    <definedName name="_xlchart.v5.28" hidden="1">'EV SPIN'!$N$6:$N$20</definedName>
    <definedName name="_xlchart.v5.29" hidden="1">'EV SPIN'!$K$6:$K$20</definedName>
    <definedName name="_xlchart.v5.3" hidden="1">'EV (2)'!$AO$5:$AO$20</definedName>
    <definedName name="_xlchart.v5.30" hidden="1">'EV SPIN'!$M$6:$M$20</definedName>
    <definedName name="_xlchart.v5.31" hidden="1">'EV SPIN'!$K$6:$K$20</definedName>
    <definedName name="_xlchart.v5.32" hidden="1">'EV SPIN'!$O$6:$O$20</definedName>
    <definedName name="_xlchart.v5.33" hidden="1">'EV SPIN'!$K$6:$K$20</definedName>
    <definedName name="_xlchart.v5.34" hidden="1">'EV SPIN'!$Q$6:$Q$20</definedName>
    <definedName name="_xlchart.v5.35" hidden="1">'EV SPIN'!$K$6:$K$20</definedName>
    <definedName name="_xlchart.v5.36" hidden="1">'EV SPIN'!$P$6:$P$20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10" i="1"/>
  <c r="M910" i="1" s="1"/>
  <c r="K910" i="1"/>
  <c r="N910" i="1"/>
  <c r="H911" i="1"/>
  <c r="M911" i="1" s="1"/>
  <c r="K911" i="1"/>
  <c r="N911" i="1"/>
  <c r="H912" i="1"/>
  <c r="M912" i="1" s="1"/>
  <c r="K912" i="1"/>
  <c r="N912" i="1"/>
  <c r="H913" i="1"/>
  <c r="M913" i="1" s="1"/>
  <c r="K913" i="1"/>
  <c r="N913" i="1"/>
  <c r="H914" i="1"/>
  <c r="M914" i="1" s="1"/>
  <c r="K914" i="1"/>
  <c r="N914" i="1"/>
  <c r="H915" i="1"/>
  <c r="M915" i="1" s="1"/>
  <c r="K915" i="1"/>
  <c r="N915" i="1"/>
  <c r="H916" i="1"/>
  <c r="M916" i="1" s="1"/>
  <c r="K916" i="1"/>
  <c r="N916" i="1"/>
  <c r="H917" i="1"/>
  <c r="M917" i="1" s="1"/>
  <c r="K917" i="1"/>
  <c r="N917" i="1"/>
  <c r="H918" i="1"/>
  <c r="M918" i="1" s="1"/>
  <c r="K918" i="1"/>
  <c r="N918" i="1"/>
  <c r="H919" i="1"/>
  <c r="M919" i="1" s="1"/>
  <c r="K919" i="1"/>
  <c r="N919" i="1"/>
  <c r="H920" i="1"/>
  <c r="M920" i="1" s="1"/>
  <c r="K920" i="1"/>
  <c r="N920" i="1"/>
  <c r="H921" i="1"/>
  <c r="M921" i="1" s="1"/>
  <c r="K921" i="1"/>
  <c r="N921" i="1"/>
  <c r="H922" i="1"/>
  <c r="M922" i="1" s="1"/>
  <c r="K922" i="1"/>
  <c r="N922" i="1"/>
  <c r="H923" i="1"/>
  <c r="M923" i="1" s="1"/>
  <c r="K923" i="1"/>
  <c r="N923" i="1"/>
  <c r="H924" i="1"/>
  <c r="M924" i="1" s="1"/>
  <c r="K924" i="1"/>
  <c r="N924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27" i="1"/>
  <c r="K926" i="1"/>
  <c r="H926" i="1"/>
  <c r="M926" i="1" s="1"/>
  <c r="N926" i="1"/>
  <c r="H927" i="1"/>
  <c r="M927" i="1" s="1"/>
  <c r="N927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28" i="1"/>
  <c r="K925" i="1"/>
  <c r="K909" i="1"/>
  <c r="H17" i="27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09" i="1"/>
  <c r="M909" i="1" s="1"/>
  <c r="H925" i="1"/>
  <c r="M925" i="1" s="1"/>
  <c r="H928" i="1"/>
  <c r="M928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5" i="21" l="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4" i="7" l="1"/>
  <c r="F355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29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29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<sst xmlns="http://schemas.openxmlformats.org/spreadsheetml/2006/main" count="5800" uniqueCount="643">
  <si>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</si>
  <si>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</si>
  <si>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</si>
  <si>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</si>
  <si>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</si>
  <si>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</si>
  <si>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</si>
  <si>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</si>
  <si>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</si>
  <si>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</si>
  <si>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</si>
  <si>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</si>
  <si>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</si>
  <si>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</si>
  <si>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</si>
  <si>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</si>
  <si>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</si>
  <si>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</si>
  <si>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</si>
  <si>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</si>
  <si>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</si>
  <si>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</si>
  <si>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</si>
  <si>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</si>
  <si>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</si>
  <si>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</si>
  <si>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</si>
  <si>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</si>
  <si>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</si>
  <si>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</si>
  <si>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</si>
  <si>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</si>
  <si>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</si>
  <si>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</si>
  <si>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</si>
  <si>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</si>
  <si>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</si>
  <si>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</si>
  <si>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</si>
  <si>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</si>
  <si>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</si>
  <si>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</si>
  <si>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</si>
  <si>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</si>
  <si>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</si>
  <si>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</si>
  <si>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</si>
  <si>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</si>
  <si>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</si>
  <si>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</si>
  <si>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</si>
  <si>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</si>
  <si>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</si>
  <si>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</si>
  <si>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</si>
  <si>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</si>
  <si>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</si>
  <si>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</si>
  <si>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</si>
  <si>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</si>
  <si>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</si>
  <si>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</si>
  <si>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</si>
  <si>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</si>
  <si>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</si>
  <si>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</si>
  <si>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</si>
  <si>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</si>
  <si>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</si>
  <si>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</si>
  <si>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</si>
  <si>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</si>
  <si>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</si>
  <si>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</si>
  <si>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</si>
  <si>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</si>
  <si>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</si>
  <si>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</si>
  <si>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</si>
  <si>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</si>
  <si>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</si>
  <si>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</si>
  <si>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</si>
  <si>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</si>
  <si>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</si>
  <si>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</si>
  <si>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</si>
  <si>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</si>
  <si>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</si>
  <si>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</si>
  <si>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</si>
  <si>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</si>
  <si>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</si>
  <si>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</si>
  <si>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</si>
  <si>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</si>
  <si>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</si>
  <si>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</si>
  <si>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</si>
  <si>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</si>
  <si>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</si>
  <si>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</si>
  <si>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</si>
  <si>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</si>
  <si>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</si>
  <si>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</si>
  <si>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</si>
  <si>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</si>
  <si>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</si>
  <si>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</si>
  <si>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</si>
  <si>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</si>
  <si>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</si>
  <si>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</si>
  <si>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</si>
  <si>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</si>
  <si>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</si>
  <si>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</si>
  <si>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</si>
  <si>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</si>
  <si>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</si>
  <si>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</si>
  <si>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</si>
  <si>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</si>
  <si>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</si>
  <si>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</si>
  <si>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</si>
  <si>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</si>
  <si>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</si>
  <si>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</si>
  <si>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</si>
  <si>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</si>
  <si>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</si>
  <si>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</si>
  <si>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</si>
  <si>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</si>
  <si>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</si>
  <si>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</si>
  <si>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</si>
  <si>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</si>
  <si>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</si>
  <si>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</si>
  <si>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</si>
  <si>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</si>
  <si>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</si>
  <si>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</si>
  <si>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</si>
  <si>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</si>
  <si>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</si>
  <si>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</si>
  <si>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</si>
  <si>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</si>
  <si>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</si>
  <si>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</si>
  <si>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</si>
  <si>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</si>
  <si>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</si>
  <si>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</si>
  <si>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</si>
  <si>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</si>
  <si>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</si>
  <si>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</si>
  <si>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</si>
  <si>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</si>
  <si>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</si>
  <si>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</si>
  <si>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</si>
  <si>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</si>
  <si>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</si>
  <si>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</si>
  <si>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</si>
  <si>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</si>
  <si>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</si>
  <si>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</si>
  <si>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</si>
  <si>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</si>
  <si>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</si>
  <si>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</si>
  <si>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</si>
  <si>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</si>
  <si>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</si>
  <si>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</si>
  <si>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</si>
  <si>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</si>
  <si>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</si>
  <si>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</si>
  <si>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</si>
  <si>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</si>
  <si>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</si>
  <si>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</si>
  <si>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</si>
  <si>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</si>
  <si>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</si>
  <si>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</si>
  <si>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</si>
  <si>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</si>
  <si>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</si>
  <si>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</si>
  <si>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</si>
  <si>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</si>
  <si>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</si>
  <si>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</si>
  <si>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</si>
  <si>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</si>
  <si>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</si>
  <si>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</si>
  <si>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</si>
  <si>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</si>
  <si>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</si>
  <si>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</si>
  <si>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</si>
  <si>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</si>
  <si>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</si>
  <si>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</si>
  <si>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</si>
  <si>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</si>
  <si>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</si>
  <si>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</si>
  <si>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</si>
  <si>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</si>
  <si>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</si>
  <si>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</si>
  <si>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</si>
  <si>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</si>
  <si>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</si>
  <si>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</si>
  <si>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</si>
  <si>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</si>
  <si>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</si>
  <si>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</si>
  <si>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</si>
  <si>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</si>
  <si>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</si>
  <si>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</si>
  <si>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</si>
  <si>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</si>
  <si>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</si>
  <si>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</si>
  <si>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</si>
  <si>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</si>
  <si>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</si>
  <si>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</si>
  <si>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</si>
  <si>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</si>
  <si>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</si>
  <si>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</si>
  <si>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</si>
  <si>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</si>
  <si>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</si>
  <si>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</si>
  <si>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</si>
  <si>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</si>
  <si>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</si>
  <si>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</si>
  <si>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</si>
  <si>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</si>
  <si>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</si>
  <si>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</si>
  <si>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</si>
  <si>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</si>
  <si>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</si>
  <si>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</si>
  <si>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</si>
  <si>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</si>
  <si>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</si>
  <si>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</si>
  <si>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</si>
  <si>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</si>
  <si>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</si>
  <si>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</si>
  <si>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</si>
  <si>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</si>
  <si>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</si>
  <si>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</si>
  <si>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</si>
  <si>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</si>
  <si>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</si>
  <si>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</si>
  <si>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</si>
  <si>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</si>
  <si>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</si>
  <si>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</si>
  <si>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</si>
  <si>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</si>
  <si>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</si>
  <si>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</si>
  <si>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</si>
  <si>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</si>
  <si>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</si>
  <si>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</si>
  <si>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</si>
  <si>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</si>
  <si>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</si>
  <si>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</si>
  <si>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</si>
  <si>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</si>
  <si>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</si>
  <si>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</si>
  <si>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</si>
  <si>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</si>
  <si>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</si>
  <si>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</si>
  <si>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</si>
  <si>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</si>
  <si>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</si>
  <si>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</si>
  <si>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</si>
  <si>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</si>
  <si>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</si>
  <si>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</si>
  <si>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</si>
  <si>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</si>
  <si>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</si>
  <si>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</si>
  <si>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</si>
  <si>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</si>
  <si>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</si>
  <si>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</si>
  <si>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</si>
  <si>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</si>
  <si>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</si>
  <si>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</si>
  <si>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</si>
  <si>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</si>
  <si>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</si>
  <si>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</si>
  <si>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</si>
  <si>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</si>
  <si>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</si>
  <si>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</si>
  <si>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</si>
  <si>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</si>
  <si>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</si>
  <si>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</si>
  <si>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</si>
  <si>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</si>
  <si>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</si>
  <si>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</si>
  <si>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</si>
  <si>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</si>
  <si>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</si>
  <si>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</si>
  <si>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</si>
  <si>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</si>
  <si>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</si>
  <si>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</si>
  <si>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</si>
  <si>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</si>
  <si>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</si>
  <si>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</si>
  <si>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</si>
  <si>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</si>
  <si>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</si>
  <si>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</si>
  <si>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</si>
  <si>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</si>
  <si>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</si>
  <si>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</si>
  <si>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</si>
  <si>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</si>
  <si>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</si>
  <si>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</si>
  <si>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</si>
  <si>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</si>
  <si>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</si>
  <si>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</si>
  <si>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</si>
  <si>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</si>
  <si>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</si>
  <si>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</si>
  <si>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</si>
  <si>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</si>
  <si>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</si>
  <si>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</si>
  <si>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</si>
  <si>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</si>
  <si>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</si>
  <si>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</si>
  <si>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</si>
  <si>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</si>
  <si>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</si>
  <si>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</si>
  <si>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</si>
  <si>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</si>
  <si>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</si>
  <si>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</si>
  <si>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</si>
  <si>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</si>
  <si>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</si>
  <si>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</si>
  <si>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</si>
  <si>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</si>
  <si>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</si>
  <si>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</si>
  <si>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</si>
  <si>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</si>
  <si>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</si>
  <si>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</si>
  <si>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</si>
  <si>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</si>
  <si>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</si>
  <si>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</si>
  <si>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</si>
  <si>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</si>
  <si>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BUENAVISTA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</si>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</sst>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3" borderId="0" applyNumberFormat="0" applyBorder="0" applyAlignment="0" applyProtection="0"/>
  </cellStyleXfs>
  <cellXfs count="54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0" fillId="7" borderId="0" xfId="0" applyFill="1" applyAlignment="1">
      <alignment horizontal="center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2" borderId="1" xfId="0" applyFill="1" applyBorder="1" applyAlignment="1">
      <alignment horizontal="center" textRotation="90"/>
    </xf>
    <xf numFmtId="0" fontId="0" fillId="22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2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1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3" borderId="0" xfId="9" applyAlignment="1">
      <alignment horizontal="center" vertical="center"/>
    </xf>
    <xf numFmtId="0" fontId="62" fillId="23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4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4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5" borderId="0" xfId="0" applyFont="1" applyFill="1" applyAlignment="1">
      <alignment horizontal="center" vertical="center" shrinkToFit="1"/>
    </xf>
    <xf numFmtId="0" fontId="14" fillId="26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1" borderId="0" xfId="0" applyNumberFormat="1" applyFill="1" applyAlignment="1">
      <alignment horizontal="center"/>
    </xf>
    <xf numFmtId="0" fontId="0" fillId="21" borderId="0" xfId="0" applyFill="1" applyAlignment="1">
      <alignment horizontal="center"/>
    </xf>
    <xf numFmtId="167" fontId="0" fillId="21" borderId="0" xfId="0" applyNumberFormat="1" applyFill="1" applyAlignment="1">
      <alignment horizontal="center" vertical="center" wrapText="1"/>
    </xf>
    <xf numFmtId="179" fontId="0" fillId="21" borderId="0" xfId="0" applyNumberFormat="1" applyFill="1" applyAlignment="1">
      <alignment horizontal="center" vertical="center"/>
    </xf>
    <xf numFmtId="0" fontId="0" fillId="21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87.073233023857625</c:v>
                </c:pt>
                <c:pt idx="345">
                  <c:v>87.073233023857625</c:v>
                </c:pt>
                <c:pt idx="346">
                  <c:v>87.073233023857625</c:v>
                </c:pt>
                <c:pt idx="347">
                  <c:v>87.073233023857625</c:v>
                </c:pt>
                <c:pt idx="348">
                  <c:v>87.073233023857625</c:v>
                </c:pt>
                <c:pt idx="349">
                  <c:v>87.073233023857625</c:v>
                </c:pt>
                <c:pt idx="350">
                  <c:v>87.073233023857625</c:v>
                </c:pt>
                <c:pt idx="351">
                  <c:v>90.391214256717944</c:v>
                </c:pt>
                <c:pt idx="352">
                  <c:v>97.248375471295901</c:v>
                </c:pt>
                <c:pt idx="353">
                  <c:v>97.248375471295901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0.43536616511928811</c:v>
                </c:pt>
                <c:pt idx="345">
                  <c:v>0.43536616511928811</c:v>
                </c:pt>
                <c:pt idx="346">
                  <c:v>0.43536616511928811</c:v>
                </c:pt>
                <c:pt idx="347">
                  <c:v>0.43536616511928811</c:v>
                </c:pt>
                <c:pt idx="348">
                  <c:v>0.43536616511928811</c:v>
                </c:pt>
                <c:pt idx="349">
                  <c:v>0.43536616511928811</c:v>
                </c:pt>
                <c:pt idx="350">
                  <c:v>0.43536616511928811</c:v>
                </c:pt>
                <c:pt idx="351">
                  <c:v>0.45195607128358972</c:v>
                </c:pt>
                <c:pt idx="352">
                  <c:v>0.4862418773564795</c:v>
                </c:pt>
                <c:pt idx="353">
                  <c:v>0.4862418773564795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6717328.5067199981</c:v>
                </c:pt>
                <c:pt idx="297">
                  <c:v>6881603.6067199977</c:v>
                </c:pt>
                <c:pt idx="298">
                  <c:v>6971515.0767199975</c:v>
                </c:pt>
                <c:pt idx="299">
                  <c:v>7059269.7767199967</c:v>
                </c:pt>
                <c:pt idx="300">
                  <c:v>7062315.036299997</c:v>
                </c:pt>
                <c:pt idx="301">
                  <c:v>7062315.036299997</c:v>
                </c:pt>
                <c:pt idx="302">
                  <c:v>7062315.036299997</c:v>
                </c:pt>
                <c:pt idx="303">
                  <c:v>7064120.9722999968</c:v>
                </c:pt>
                <c:pt idx="304">
                  <c:v>7074877.5785999969</c:v>
                </c:pt>
                <c:pt idx="305">
                  <c:v>7101016.1165999966</c:v>
                </c:pt>
                <c:pt idx="306">
                  <c:v>7120663.5843299963</c:v>
                </c:pt>
                <c:pt idx="307">
                  <c:v>7320035.6043299949</c:v>
                </c:pt>
                <c:pt idx="308">
                  <c:v>7415686.1043299949</c:v>
                </c:pt>
                <c:pt idx="309">
                  <c:v>7415686.1043299949</c:v>
                </c:pt>
                <c:pt idx="310">
                  <c:v>7474316.2464499939</c:v>
                </c:pt>
                <c:pt idx="311">
                  <c:v>7501631.018659994</c:v>
                </c:pt>
                <c:pt idx="312">
                  <c:v>7540973.7161899935</c:v>
                </c:pt>
                <c:pt idx="313">
                  <c:v>7544012.2035099939</c:v>
                </c:pt>
                <c:pt idx="314">
                  <c:v>7569889.3561299946</c:v>
                </c:pt>
                <c:pt idx="315">
                  <c:v>7589435.1739899945</c:v>
                </c:pt>
                <c:pt idx="316">
                  <c:v>7589435.1739899945</c:v>
                </c:pt>
                <c:pt idx="317">
                  <c:v>7599498.5111199943</c:v>
                </c:pt>
                <c:pt idx="318">
                  <c:v>7630095.063919994</c:v>
                </c:pt>
                <c:pt idx="319">
                  <c:v>7648727.063919994</c:v>
                </c:pt>
                <c:pt idx="320">
                  <c:v>7732411.983919993</c:v>
                </c:pt>
                <c:pt idx="321">
                  <c:v>7805106.3639199929</c:v>
                </c:pt>
                <c:pt idx="322">
                  <c:v>7809764.3639199929</c:v>
                </c:pt>
                <c:pt idx="323">
                  <c:v>7809764.3639199929</c:v>
                </c:pt>
                <c:pt idx="324">
                  <c:v>7823738.3639199929</c:v>
                </c:pt>
                <c:pt idx="325">
                  <c:v>7837712.3639199929</c:v>
                </c:pt>
                <c:pt idx="326">
                  <c:v>7847028.3639199929</c:v>
                </c:pt>
                <c:pt idx="327">
                  <c:v>7856344.3639199929</c:v>
                </c:pt>
                <c:pt idx="328">
                  <c:v>7874976.3639199929</c:v>
                </c:pt>
                <c:pt idx="329">
                  <c:v>7879634.3639199929</c:v>
                </c:pt>
                <c:pt idx="330">
                  <c:v>7879634.3639199929</c:v>
                </c:pt>
                <c:pt idx="331">
                  <c:v>7886406.6239199927</c:v>
                </c:pt>
                <c:pt idx="332">
                  <c:v>7975342.5469199931</c:v>
                </c:pt>
                <c:pt idx="333">
                  <c:v>7979787.4068999933</c:v>
                </c:pt>
                <c:pt idx="334">
                  <c:v>8061710.1007299935</c:v>
                </c:pt>
                <c:pt idx="335">
                  <c:v>8163697.6175499931</c:v>
                </c:pt>
                <c:pt idx="336">
                  <c:v>8163697.6175499931</c:v>
                </c:pt>
                <c:pt idx="337">
                  <c:v>8163697.6175499931</c:v>
                </c:pt>
                <c:pt idx="338">
                  <c:v>8176970.1862899931</c:v>
                </c:pt>
                <c:pt idx="339">
                  <c:v>8179848.3967899922</c:v>
                </c:pt>
                <c:pt idx="340">
                  <c:v>8180418.3953399928</c:v>
                </c:pt>
                <c:pt idx="341">
                  <c:v>8202658.4860149929</c:v>
                </c:pt>
                <c:pt idx="342">
                  <c:v>8213317.2009549933</c:v>
                </c:pt>
                <c:pt idx="343">
                  <c:v>8331687.4009549934</c:v>
                </c:pt>
                <c:pt idx="344">
                  <c:v>8435488.9609549921</c:v>
                </c:pt>
                <c:pt idx="345">
                  <c:v>8609259.0309549924</c:v>
                </c:pt>
                <c:pt idx="346">
                  <c:v>8642888.0466899928</c:v>
                </c:pt>
                <c:pt idx="347">
                  <c:v>8660778.4238099921</c:v>
                </c:pt>
                <c:pt idx="348">
                  <c:v>8699782.9310699925</c:v>
                </c:pt>
                <c:pt idx="349">
                  <c:v>8740326.7077899929</c:v>
                </c:pt>
                <c:pt idx="350">
                  <c:v>8760816.4172999915</c:v>
                </c:pt>
                <c:pt idx="351">
                  <c:v>8760816.4172999915</c:v>
                </c:pt>
                <c:pt idx="352">
                  <c:v>8806260.4172999896</c:v>
                </c:pt>
                <c:pt idx="353">
                  <c:v>8900178.0172999874</c:v>
                </c:pt>
                <c:pt idx="354">
                  <c:v>8900178.0172999874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74.16815014416656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97.248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48.6%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97.25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$8,900,178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8,900,178.02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79.7%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20.3%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29" totalsRowCount="1" headerRowDxfId="66">
  <autoFilter ref="A1:N928" xr:uid="{BA1685B0-5236-4456-BCF4-F731A73FF5C2}">
    <filterColumn colId="12">
      <customFilters>
        <customFilter operator="greaterThan" val="0"/>
      </customFilters>
    </filterColumn>
  </autoFilter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29"/>
  <sheetViews>
    <sheetView showGridLines="0" tabSelected="1" topLeftCell="A865" zoomScaleNormal="100" workbookViewId="0">
      <selection activeCell="M899" sqref="M899"/>
    </sheetView>
  </sheetViews>
  <sheetFormatPr baseColWidth="10" defaultColWidth="11.42578125" defaultRowHeight="15" outlineLevelCol="1" x14ac:dyDescent="0.25"/>
  <cols>
    <col min="1" max="1" width="24.28515625" style="33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70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31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32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32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32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32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32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32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32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32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32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32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32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32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32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32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32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32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32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32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32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32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32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32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32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32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32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32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32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32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32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32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32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32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32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32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32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32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32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32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32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32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32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32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32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32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32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32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32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32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32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hidden="1" x14ac:dyDescent="0.25">
      <c r="A51" s="332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32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32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32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32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hidden="1" x14ac:dyDescent="0.25">
      <c r="A56" s="332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32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32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32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hidden="1" x14ac:dyDescent="0.25">
      <c r="A60" s="332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32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32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32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hidden="1" x14ac:dyDescent="0.25">
      <c r="A64" s="332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32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32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32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32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32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32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32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32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32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32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32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32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hidden="1" x14ac:dyDescent="0.25">
      <c r="A77" s="332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32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32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32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32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32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32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32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32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32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32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32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32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32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32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32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32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32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32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32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32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32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32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32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32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32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hidden="1" x14ac:dyDescent="0.25">
      <c r="A103" s="332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32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32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32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32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32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32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32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32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32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32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32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32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32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32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32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32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hidden="1" x14ac:dyDescent="0.25">
      <c r="A120" s="332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32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32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32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32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32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32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32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32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32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32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32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32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32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32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32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32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32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32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32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32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hidden="1" x14ac:dyDescent="0.25">
      <c r="A141" s="332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32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32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hidden="1" x14ac:dyDescent="0.25">
      <c r="A144" s="332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32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32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32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32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32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32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hidden="1" x14ac:dyDescent="0.25">
      <c r="A151" s="332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32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32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32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32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32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32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32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32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32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32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hidden="1" x14ac:dyDescent="0.25">
      <c r="A162" s="332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32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32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32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32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32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32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32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32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32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32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32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hidden="1" x14ac:dyDescent="0.25">
      <c r="A174" s="332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32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32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32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32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32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32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32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32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32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hidden="1" x14ac:dyDescent="0.25">
      <c r="A184" s="332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32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32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32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32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32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hidden="1" x14ac:dyDescent="0.25">
      <c r="A190" s="332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32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32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32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32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32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32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32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32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32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32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32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32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32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hidden="1" x14ac:dyDescent="0.25">
      <c r="A204" s="332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32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32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32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32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32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32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32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32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32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32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32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hidden="1" x14ac:dyDescent="0.25">
      <c r="A216" s="332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32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hidden="1" x14ac:dyDescent="0.25">
      <c r="A218" s="332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32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32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32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32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hidden="1" x14ac:dyDescent="0.25">
      <c r="A223" s="332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32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32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32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hidden="1" x14ac:dyDescent="0.25">
      <c r="A227" s="332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32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32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32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hidden="1" x14ac:dyDescent="0.25">
      <c r="A231" s="332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32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32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32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32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32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hidden="1" x14ac:dyDescent="0.25">
      <c r="A237" s="332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32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32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32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32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hidden="1" x14ac:dyDescent="0.25">
      <c r="A242" s="332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32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32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32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32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32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hidden="1" x14ac:dyDescent="0.25">
      <c r="A248" s="332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32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32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32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32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hidden="1" x14ac:dyDescent="0.25">
      <c r="A253" s="332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32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32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32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32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32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hidden="1" x14ac:dyDescent="0.25">
      <c r="A259" s="332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32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32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hidden="1" x14ac:dyDescent="0.25">
      <c r="A262" s="332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32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32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hidden="1" x14ac:dyDescent="0.25">
      <c r="A265" s="332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32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32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Row],[Ducto]],$D$1:$D$928,$L$1:$L$928)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hidden="1" x14ac:dyDescent="0.25">
      <c r="A268" s="332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32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Row],[Ducto]],$D$1:$D$928,$L$1:$L$928)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32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Row],[Ducto]],$D$1:$D$928,$L$1:$L$928)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32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32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32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Row],[Ducto]],$D$1:$D$928,$L$1:$L$928)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32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32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32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32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32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Row],[Ducto]],$D$1:$D$928,$L$1:$L$928)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hidden="1" x14ac:dyDescent="0.25">
      <c r="A279" s="332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32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Row],[Ducto]],$D$1:$D$928,$L$1:$L$928)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32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Row],[Ducto]],$D$1:$D$928,$L$1:$L$928)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hidden="1" x14ac:dyDescent="0.25">
      <c r="A282" s="332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32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Row],[Ducto]],$D$1:$D$928,$L$1:$L$928)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32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Row],[Ducto]],$D$1:$D$928,$L$1:$L$928)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hidden="1" x14ac:dyDescent="0.25">
      <c r="A285" s="332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32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Row],[Ducto]],$D$1:$D$928,$L$1:$L$928)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32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Row],[Ducto]],$D$1:$D$928,$L$1:$L$928)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32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Row],[Ducto]],$D$1:$D$928,$L$1:$L$928)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32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Row],[Ducto]],$D$1:$D$928,$L$1:$L$928)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hidden="1" x14ac:dyDescent="0.25">
      <c r="A290" s="332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32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Row],[Ducto]],$D$1:$D$928,$L$1:$L$928)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32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Row],[Ducto]],$D$1:$D$928,$L$1:$L$928)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hidden="1" x14ac:dyDescent="0.25">
      <c r="A293" s="332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32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Row],[Ducto]],$D$1:$D$928,$L$1:$L$928)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hidden="1" x14ac:dyDescent="0.25">
      <c r="A295" s="332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32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Row],[Ducto]],$D$1:$D$928,$L$1:$L$928)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32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32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hidden="1" x14ac:dyDescent="0.25">
      <c r="A299" s="332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32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Row],[Ducto]],$D$1:$D$928,$L$1:$L$928)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32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Row],[Ducto]],$D$1:$D$928,$L$1:$L$928)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32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32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32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32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32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32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32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32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hidden="1" x14ac:dyDescent="0.25">
      <c r="A310" s="332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32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32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hidden="1" x14ac:dyDescent="0.25">
      <c r="A313" s="332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32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32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32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hidden="1" x14ac:dyDescent="0.25">
      <c r="A317" s="332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32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hidden="1" x14ac:dyDescent="0.25">
      <c r="A319" s="332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32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32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32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32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hidden="1" x14ac:dyDescent="0.25">
      <c r="A324" s="332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32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hidden="1" x14ac:dyDescent="0.25">
      <c r="A326" s="332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33">
        <v>46050</v>
      </c>
      <c r="B327" s="201" t="s">
        <v>30</v>
      </c>
      <c r="C327" s="202" t="s">
        <v>329</v>
      </c>
      <c r="D327" s="203" t="s">
        <v>240</v>
      </c>
      <c r="E327" s="34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32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32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32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32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32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hidden="1" x14ac:dyDescent="0.25">
      <c r="A333" s="332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32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32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32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32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32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32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32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hidden="1" x14ac:dyDescent="0.25">
      <c r="A341" s="332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32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33">
        <v>46057</v>
      </c>
      <c r="B343" s="201" t="s">
        <v>30</v>
      </c>
      <c r="C343" s="202" t="s">
        <v>329</v>
      </c>
      <c r="D343" s="203" t="s">
        <v>340</v>
      </c>
      <c r="E343" s="34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hidden="1" x14ac:dyDescent="0.25">
      <c r="A344" s="332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32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32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hidden="1" x14ac:dyDescent="0.25">
      <c r="A347" s="332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32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hidden="1" x14ac:dyDescent="0.25">
      <c r="A349" s="332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32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32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33">
        <v>46063</v>
      </c>
      <c r="B352" s="201" t="s">
        <v>30</v>
      </c>
      <c r="C352" s="202" t="s">
        <v>329</v>
      </c>
      <c r="D352" s="203" t="s">
        <v>240</v>
      </c>
      <c r="E352" s="34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hidden="1" x14ac:dyDescent="0.25">
      <c r="A353" s="332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32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32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33">
        <v>46064</v>
      </c>
      <c r="B356" s="201" t="s">
        <v>30</v>
      </c>
      <c r="C356" s="202" t="s">
        <v>329</v>
      </c>
      <c r="D356" s="203" t="s">
        <v>353</v>
      </c>
      <c r="E356" s="34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hidden="1" x14ac:dyDescent="0.25">
      <c r="A357" s="332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33">
        <v>46065</v>
      </c>
      <c r="B358" s="201" t="s">
        <v>30</v>
      </c>
      <c r="C358" s="202" t="s">
        <v>404</v>
      </c>
      <c r="D358" s="203" t="s">
        <v>264</v>
      </c>
      <c r="E358" s="34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hidden="1" x14ac:dyDescent="0.25">
      <c r="A359" s="332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32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32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32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32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32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32">
        <v>46116</v>
      </c>
      <c r="B365" s="116" t="s">
        <v>12</v>
      </c>
      <c r="C365" s="157" t="s">
        <v>404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32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32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32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32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32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32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32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32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32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32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32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hidden="1" x14ac:dyDescent="0.25">
      <c r="A377" s="332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32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41" t="s">
        <v>454</v>
      </c>
      <c r="Q378" s="341" t="s">
        <v>455</v>
      </c>
      <c r="R378" s="341" t="s">
        <v>456</v>
      </c>
      <c r="S378" s="347" t="s">
        <v>457</v>
      </c>
      <c r="T378" s="347"/>
      <c r="U378" s="347"/>
      <c r="V378" s="347"/>
      <c r="W378" s="347"/>
    </row>
    <row r="379" spans="1:23" x14ac:dyDescent="0.25">
      <c r="A379" s="332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44">
        <v>2950</v>
      </c>
      <c r="Q379" s="344">
        <v>3463</v>
      </c>
      <c r="R379" s="345">
        <f>Q379-P379</f>
        <v>513</v>
      </c>
      <c r="S379" t="s">
        <v>458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32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44">
        <v>4210</v>
      </c>
      <c r="Q380" s="344">
        <v>4322</v>
      </c>
      <c r="R380" s="345">
        <f t="shared" ref="R380:R398" si="0">Q380-P380</f>
        <v>112</v>
      </c>
      <c r="S380" t="s">
        <v>459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32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44">
        <v>7076</v>
      </c>
      <c r="Q381" s="344">
        <v>7087</v>
      </c>
      <c r="R381" s="345">
        <f t="shared" si="0"/>
        <v>11</v>
      </c>
      <c r="S381" t="s">
        <v>460</v>
      </c>
      <c r="T381" t="str">
        <f t="shared" si="1"/>
        <v>SALTO del 7+076 al 7+087 CRUCE DE CUERPO DE AGUA</v>
      </c>
    </row>
    <row r="382" spans="1:23" hidden="1" x14ac:dyDescent="0.25">
      <c r="A382" s="332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39">
        <v>18707</v>
      </c>
      <c r="G382" s="339">
        <v>18675</v>
      </c>
      <c r="H382" s="34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472</v>
      </c>
      <c r="P382" s="344">
        <v>8105</v>
      </c>
      <c r="Q382" s="344">
        <v>8113</v>
      </c>
      <c r="R382" s="345">
        <f t="shared" si="0"/>
        <v>8</v>
      </c>
      <c r="S382" t="s">
        <v>461</v>
      </c>
      <c r="T382" t="str">
        <f t="shared" si="1"/>
        <v>SALTO del 8+105 al 8+113 PROPIEDAD PRIVADA</v>
      </c>
    </row>
    <row r="383" spans="1:23" hidden="1" x14ac:dyDescent="0.25">
      <c r="A383" s="332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39">
        <v>18786</v>
      </c>
      <c r="G383" s="339">
        <v>18716</v>
      </c>
      <c r="H383" s="34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473</v>
      </c>
      <c r="P383" s="344">
        <v>8522</v>
      </c>
      <c r="Q383" s="344">
        <v>8563</v>
      </c>
      <c r="R383" s="345">
        <f t="shared" si="0"/>
        <v>41</v>
      </c>
      <c r="S383" t="s">
        <v>461</v>
      </c>
      <c r="T383" t="str">
        <f t="shared" si="1"/>
        <v>SALTO del 8+522 al 8+563 PROPIEDAD PRIVADA</v>
      </c>
    </row>
    <row r="384" spans="1:23" hidden="1" x14ac:dyDescent="0.25">
      <c r="A384" s="332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39">
        <v>18942</v>
      </c>
      <c r="G384" s="339">
        <v>18911</v>
      </c>
      <c r="H384" s="34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474</v>
      </c>
      <c r="P384" s="344">
        <v>8572</v>
      </c>
      <c r="Q384" s="344">
        <v>8654</v>
      </c>
      <c r="R384" s="345">
        <f t="shared" si="0"/>
        <v>82</v>
      </c>
      <c r="S384" t="s">
        <v>462</v>
      </c>
      <c r="T384" t="str">
        <f t="shared" si="1"/>
        <v>SALTO del 8+572 al 8+654 ZONA HABITACIONAL</v>
      </c>
    </row>
    <row r="385" spans="1:20" hidden="1" x14ac:dyDescent="0.25">
      <c r="A385" s="332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39">
        <v>19445</v>
      </c>
      <c r="G385" s="339">
        <v>19422</v>
      </c>
      <c r="H385" s="34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475</v>
      </c>
      <c r="P385" s="344">
        <v>9915</v>
      </c>
      <c r="Q385" s="344">
        <v>10176</v>
      </c>
      <c r="R385" s="345">
        <f t="shared" si="0"/>
        <v>261</v>
      </c>
      <c r="S385" t="s">
        <v>462</v>
      </c>
      <c r="T385" t="str">
        <f t="shared" si="1"/>
        <v>SALTO del 9+915 al 10+176 ZONA HABITACIONAL</v>
      </c>
    </row>
    <row r="386" spans="1:20" x14ac:dyDescent="0.25">
      <c r="A386" s="332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44">
        <v>11788</v>
      </c>
      <c r="Q386" s="344">
        <v>11813</v>
      </c>
      <c r="R386" s="345">
        <f t="shared" si="0"/>
        <v>25</v>
      </c>
      <c r="S386" t="s">
        <v>462</v>
      </c>
      <c r="T386" t="str">
        <f t="shared" si="1"/>
        <v>SALTO del 11+788 al 11+813 ZONA HABITACIONAL</v>
      </c>
    </row>
    <row r="387" spans="1:20" x14ac:dyDescent="0.25">
      <c r="A387" s="332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44">
        <v>18675</v>
      </c>
      <c r="Q387" s="344">
        <v>18707</v>
      </c>
      <c r="R387" s="345">
        <f t="shared" si="0"/>
        <v>32</v>
      </c>
      <c r="S387" t="s">
        <v>463</v>
      </c>
      <c r="T387" t="str">
        <f t="shared" si="1"/>
        <v>SALTO del 18+675 al 18+707 ZONA DE TALLER MECANICO CEA (COMISIÓN DEL AGUA)</v>
      </c>
    </row>
    <row r="388" spans="1:20" hidden="1" x14ac:dyDescent="0.25">
      <c r="A388" s="332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39">
        <v>20716</v>
      </c>
      <c r="G388" s="339">
        <v>20703</v>
      </c>
      <c r="H388" s="34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476</v>
      </c>
      <c r="P388" s="344">
        <v>18716</v>
      </c>
      <c r="Q388" s="344">
        <v>18786</v>
      </c>
      <c r="R388" s="345">
        <f t="shared" si="0"/>
        <v>70</v>
      </c>
      <c r="S388" t="s">
        <v>464</v>
      </c>
      <c r="T388" t="str">
        <f t="shared" si="1"/>
        <v>SALTO del 18+716 al 18+786 OFICINAS CEA (COMISIÓN DEL AGUA)</v>
      </c>
    </row>
    <row r="389" spans="1:20" hidden="1" x14ac:dyDescent="0.25">
      <c r="A389" s="332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39">
        <v>20780</v>
      </c>
      <c r="G389" s="339">
        <v>20730</v>
      </c>
      <c r="H389" s="34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477</v>
      </c>
      <c r="P389" s="344">
        <v>18911</v>
      </c>
      <c r="Q389" s="344">
        <v>18942</v>
      </c>
      <c r="R389" s="345">
        <f t="shared" si="0"/>
        <v>31</v>
      </c>
      <c r="S389" t="s">
        <v>465</v>
      </c>
      <c r="T389" t="str">
        <f t="shared" si="1"/>
        <v>SALTO del 18+911 al 18+942 CANAL DE AGUAS NEGRAS</v>
      </c>
    </row>
    <row r="390" spans="1:20" hidden="1" x14ac:dyDescent="0.25">
      <c r="A390" s="332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39">
        <v>20835</v>
      </c>
      <c r="G390" s="339">
        <v>20826</v>
      </c>
      <c r="H390" s="34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478</v>
      </c>
      <c r="P390" s="344">
        <v>19422</v>
      </c>
      <c r="Q390" s="344">
        <v>19445</v>
      </c>
      <c r="R390" s="345">
        <f t="shared" si="0"/>
        <v>23</v>
      </c>
      <c r="S390" t="s">
        <v>462</v>
      </c>
      <c r="T390" t="str">
        <f t="shared" si="1"/>
        <v>SALTO del 19+422 al 19+445 ZONA HABITACIONAL</v>
      </c>
    </row>
    <row r="391" spans="1:20" hidden="1" x14ac:dyDescent="0.25">
      <c r="A391" s="332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39">
        <v>21023</v>
      </c>
      <c r="G391" s="339">
        <v>20984</v>
      </c>
      <c r="H391" s="34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479</v>
      </c>
      <c r="P391" s="344">
        <v>20703</v>
      </c>
      <c r="Q391" s="344">
        <v>20716</v>
      </c>
      <c r="R391" s="345">
        <f t="shared" si="0"/>
        <v>13</v>
      </c>
      <c r="S391" t="s">
        <v>466</v>
      </c>
      <c r="T391" t="str">
        <f t="shared" si="1"/>
        <v>SALTO del 20+703 al 20+716 ZONA DE MATERIAL Y CASETA GEN (PROMOTORA AMBIENTAL)</v>
      </c>
    </row>
    <row r="392" spans="1:20" hidden="1" x14ac:dyDescent="0.25">
      <c r="A392" s="332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39">
        <v>21184</v>
      </c>
      <c r="G392" s="339">
        <v>21127</v>
      </c>
      <c r="H392" s="34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480</v>
      </c>
      <c r="P392" s="344">
        <v>20730</v>
      </c>
      <c r="Q392" s="344">
        <v>20780</v>
      </c>
      <c r="R392" s="345">
        <f t="shared" si="0"/>
        <v>50</v>
      </c>
      <c r="S392" t="s">
        <v>467</v>
      </c>
      <c r="T392" t="str">
        <f t="shared" si="1"/>
        <v>SALTO del 20+730 al 20+780 ZONA DE CONTENEDORES GEN (PROMOTORA AMBIENTAL)</v>
      </c>
    </row>
    <row r="393" spans="1:20" x14ac:dyDescent="0.25">
      <c r="A393" s="332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44">
        <v>20826</v>
      </c>
      <c r="Q393" s="344">
        <v>20835</v>
      </c>
      <c r="R393" s="345">
        <f t="shared" si="0"/>
        <v>9</v>
      </c>
      <c r="S393" t="s">
        <v>468</v>
      </c>
      <c r="T393" t="str">
        <f t="shared" si="1"/>
        <v>SALTO del 20+826 al 20+835 CANAL DE AGUA PLUVIAL</v>
      </c>
    </row>
    <row r="394" spans="1:20" hidden="1" x14ac:dyDescent="0.25">
      <c r="A394" s="332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39">
        <v>8113</v>
      </c>
      <c r="G394" s="339">
        <v>8105</v>
      </c>
      <c r="H394" s="34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481</v>
      </c>
      <c r="P394" s="344">
        <v>20984</v>
      </c>
      <c r="Q394" s="344">
        <v>21023</v>
      </c>
      <c r="R394" s="345">
        <f t="shared" si="0"/>
        <v>39</v>
      </c>
      <c r="S394" t="s">
        <v>468</v>
      </c>
      <c r="T394" t="str">
        <f t="shared" si="1"/>
        <v>SALTO del 20+984 al 21+023 CANAL DE AGUA PLUVIAL</v>
      </c>
    </row>
    <row r="395" spans="1:20" hidden="1" x14ac:dyDescent="0.25">
      <c r="A395" s="332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39">
        <v>8563</v>
      </c>
      <c r="G395" s="339">
        <v>8522</v>
      </c>
      <c r="H395" s="34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482</v>
      </c>
      <c r="P395" s="344">
        <v>21127</v>
      </c>
      <c r="Q395" s="344">
        <v>21184</v>
      </c>
      <c r="R395" s="345">
        <f t="shared" si="0"/>
        <v>57</v>
      </c>
      <c r="S395" t="s">
        <v>461</v>
      </c>
      <c r="T395" t="str">
        <f t="shared" si="1"/>
        <v>SALTO del 21+127 al 21+184 PROPIEDAD PRIVADA</v>
      </c>
    </row>
    <row r="396" spans="1:20" hidden="1" x14ac:dyDescent="0.25">
      <c r="A396" s="332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39">
        <v>8654</v>
      </c>
      <c r="G396" s="339">
        <v>8572</v>
      </c>
      <c r="H396" s="34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483</v>
      </c>
      <c r="P396" s="344">
        <v>21253</v>
      </c>
      <c r="Q396" s="344">
        <v>21265</v>
      </c>
      <c r="R396" s="345">
        <f t="shared" si="0"/>
        <v>12</v>
      </c>
      <c r="S396" t="s">
        <v>469</v>
      </c>
      <c r="T396" t="str">
        <f t="shared" si="1"/>
        <v>SALTO del 21+253 al 21+265 CANAL DE AGUAS NEGRAS ENVALSADORA QUERETARO</v>
      </c>
    </row>
    <row r="397" spans="1:20" hidden="1" x14ac:dyDescent="0.25">
      <c r="A397" s="332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44">
        <v>21462</v>
      </c>
      <c r="Q397" s="344">
        <v>21466</v>
      </c>
      <c r="R397" s="345">
        <f t="shared" si="0"/>
        <v>4</v>
      </c>
      <c r="S397" t="s">
        <v>470</v>
      </c>
      <c r="T397" t="str">
        <f t="shared" si="1"/>
        <v>SALTO del 21+462 al 21+466 CANAL DE AGUAS NEGRAS VIDRIERA QUERETARO</v>
      </c>
    </row>
    <row r="398" spans="1:20" x14ac:dyDescent="0.25">
      <c r="A398" s="332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44">
        <v>24233</v>
      </c>
      <c r="Q398" s="344">
        <v>24240</v>
      </c>
      <c r="R398" s="345">
        <f t="shared" si="0"/>
        <v>7</v>
      </c>
      <c r="S398" t="s">
        <v>471</v>
      </c>
      <c r="T398" t="str">
        <f t="shared" si="1"/>
        <v>SALTO del 24+233 al 24+240 PRESA DE AGUAS NEGRAS (ITP)</v>
      </c>
    </row>
    <row r="399" spans="1:20" x14ac:dyDescent="0.25">
      <c r="A399" s="332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42"/>
      <c r="Q399" s="343" t="s">
        <v>93</v>
      </c>
      <c r="R399" s="346">
        <f>SUM(R379:R398)</f>
        <v>1400</v>
      </c>
    </row>
    <row r="400" spans="1:20" hidden="1" x14ac:dyDescent="0.25">
      <c r="A400" s="332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39">
        <v>7087</v>
      </c>
      <c r="G400" s="339">
        <v>7076</v>
      </c>
      <c r="H400" s="34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484</v>
      </c>
    </row>
    <row r="401" spans="1:18" x14ac:dyDescent="0.25">
      <c r="A401" s="332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hidden="1" x14ac:dyDescent="0.25">
      <c r="A402" s="332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39">
        <v>4322</v>
      </c>
      <c r="G402" s="339">
        <v>4210</v>
      </c>
      <c r="H402" s="34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485</v>
      </c>
    </row>
    <row r="403" spans="1:18" hidden="1" x14ac:dyDescent="0.25">
      <c r="A403" s="332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hidden="1" x14ac:dyDescent="0.25">
      <c r="A404" s="332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32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hidden="1" x14ac:dyDescent="0.25">
      <c r="A406" s="332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39">
        <v>3463</v>
      </c>
      <c r="G406" s="339">
        <v>2950</v>
      </c>
      <c r="H406" s="34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486</v>
      </c>
    </row>
    <row r="407" spans="1:18" x14ac:dyDescent="0.25">
      <c r="A407" s="332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32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hidden="1" x14ac:dyDescent="0.25">
      <c r="A409" s="332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39">
        <v>10176</v>
      </c>
      <c r="G409" s="339">
        <v>9915</v>
      </c>
      <c r="H409" s="34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487</v>
      </c>
    </row>
    <row r="410" spans="1:18" x14ac:dyDescent="0.25">
      <c r="A410" s="332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hidden="1" x14ac:dyDescent="0.25">
      <c r="A411" s="332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32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hidden="1" x14ac:dyDescent="0.25">
      <c r="A413" s="332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39">
        <v>11813</v>
      </c>
      <c r="G413" s="339">
        <v>11788</v>
      </c>
      <c r="H413" s="34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488</v>
      </c>
    </row>
    <row r="414" spans="1:18" x14ac:dyDescent="0.25">
      <c r="A414" s="332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32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30"/>
      <c r="R415" s="330"/>
    </row>
    <row r="416" spans="1:18" x14ac:dyDescent="0.25">
      <c r="A416" s="332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30"/>
    </row>
    <row r="417" spans="1:17" x14ac:dyDescent="0.25">
      <c r="A417" s="332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32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hidden="1" x14ac:dyDescent="0.25">
      <c r="A419" s="332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32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hidden="1" x14ac:dyDescent="0.25">
      <c r="A421" s="332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39">
        <v>21265</v>
      </c>
      <c r="G421" s="339">
        <v>21253</v>
      </c>
      <c r="H421" s="34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489</v>
      </c>
    </row>
    <row r="422" spans="1:17" hidden="1" x14ac:dyDescent="0.25">
      <c r="A422" s="332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39">
        <v>21466</v>
      </c>
      <c r="G422" s="339">
        <v>21462</v>
      </c>
      <c r="H422" s="34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490</v>
      </c>
    </row>
    <row r="423" spans="1:17" x14ac:dyDescent="0.25">
      <c r="A423" s="332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32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32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hidden="1" x14ac:dyDescent="0.25">
      <c r="A426" s="332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39">
        <v>24240</v>
      </c>
      <c r="G426" s="339">
        <v>24233</v>
      </c>
      <c r="H426" s="34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491</v>
      </c>
    </row>
    <row r="427" spans="1:17" x14ac:dyDescent="0.25">
      <c r="A427" s="332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32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32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hidden="1" x14ac:dyDescent="0.25">
      <c r="A430" s="332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32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55">
        <v>0</v>
      </c>
      <c r="Q431" s="355">
        <v>2410</v>
      </c>
    </row>
    <row r="432" spans="1:17" x14ac:dyDescent="0.25">
      <c r="A432" s="332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55">
        <v>2410</v>
      </c>
      <c r="Q432" s="355">
        <v>4336</v>
      </c>
    </row>
    <row r="433" spans="1:18" x14ac:dyDescent="0.25">
      <c r="A433" s="332">
        <v>46167</v>
      </c>
      <c r="B433" s="116" t="s">
        <v>12</v>
      </c>
      <c r="C433" s="157" t="s">
        <v>404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55">
        <v>4336</v>
      </c>
      <c r="Q433" s="355">
        <v>6908</v>
      </c>
    </row>
    <row r="434" spans="1:18" x14ac:dyDescent="0.25">
      <c r="A434" s="332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55">
        <v>6908</v>
      </c>
      <c r="Q434" s="355">
        <v>9461</v>
      </c>
    </row>
    <row r="435" spans="1:18" x14ac:dyDescent="0.25">
      <c r="A435" s="332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55"/>
      <c r="Q435" s="355"/>
    </row>
    <row r="436" spans="1:18" x14ac:dyDescent="0.25">
      <c r="A436" s="332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55">
        <v>9461</v>
      </c>
      <c r="Q436" s="355">
        <v>11253</v>
      </c>
    </row>
    <row r="437" spans="1:18" x14ac:dyDescent="0.25">
      <c r="A437" s="332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55">
        <v>11253</v>
      </c>
      <c r="Q437" s="355">
        <v>13245</v>
      </c>
    </row>
    <row r="438" spans="1:18" x14ac:dyDescent="0.25">
      <c r="A438" s="332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55">
        <v>13245</v>
      </c>
      <c r="Q438" s="355">
        <v>15238</v>
      </c>
    </row>
    <row r="439" spans="1:18" x14ac:dyDescent="0.25">
      <c r="A439" s="332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55">
        <v>15238</v>
      </c>
      <c r="Q439" s="355">
        <v>15605</v>
      </c>
    </row>
    <row r="440" spans="1:18" x14ac:dyDescent="0.25">
      <c r="A440" s="332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55">
        <v>15605</v>
      </c>
      <c r="Q440" s="355">
        <v>16617</v>
      </c>
      <c r="R440" s="330"/>
    </row>
    <row r="441" spans="1:18" x14ac:dyDescent="0.25">
      <c r="A441" s="332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55">
        <v>16617</v>
      </c>
      <c r="Q441" s="355">
        <v>17605</v>
      </c>
    </row>
    <row r="442" spans="1:18" x14ac:dyDescent="0.25">
      <c r="A442" s="332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55">
        <v>17605</v>
      </c>
      <c r="Q442" s="355">
        <v>17932</v>
      </c>
    </row>
    <row r="443" spans="1:18" hidden="1" x14ac:dyDescent="0.25">
      <c r="A443" s="332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55">
        <v>17932</v>
      </c>
      <c r="Q443" s="355">
        <v>18406</v>
      </c>
    </row>
    <row r="444" spans="1:18" x14ac:dyDescent="0.25">
      <c r="A444" s="332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55">
        <v>18406</v>
      </c>
      <c r="Q444" s="355">
        <v>18873</v>
      </c>
      <c r="R444" s="330"/>
    </row>
    <row r="445" spans="1:18" x14ac:dyDescent="0.25">
      <c r="A445" s="332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55">
        <v>18873</v>
      </c>
      <c r="Q445" s="355">
        <v>19571</v>
      </c>
      <c r="R445" s="330"/>
    </row>
    <row r="446" spans="1:18" x14ac:dyDescent="0.25">
      <c r="A446" s="332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55">
        <v>19571</v>
      </c>
      <c r="Q446" s="355">
        <v>19731</v>
      </c>
    </row>
    <row r="447" spans="1:18" x14ac:dyDescent="0.25">
      <c r="A447" s="332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55">
        <v>19731</v>
      </c>
      <c r="Q447" s="355">
        <v>20170</v>
      </c>
    </row>
    <row r="448" spans="1:18" x14ac:dyDescent="0.25">
      <c r="A448" s="332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55">
        <v>20170</v>
      </c>
      <c r="Q448" s="355">
        <v>20312</v>
      </c>
    </row>
    <row r="449" spans="1:17" x14ac:dyDescent="0.25">
      <c r="A449" s="332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55">
        <v>20312</v>
      </c>
      <c r="Q449" s="355">
        <v>21184</v>
      </c>
    </row>
    <row r="450" spans="1:17" x14ac:dyDescent="0.25">
      <c r="A450" s="332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55">
        <v>21184</v>
      </c>
      <c r="Q450" s="355">
        <v>21466</v>
      </c>
    </row>
    <row r="451" spans="1:17" x14ac:dyDescent="0.25">
      <c r="A451" s="332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55">
        <v>21466</v>
      </c>
      <c r="Q451" s="355">
        <v>22255</v>
      </c>
    </row>
    <row r="452" spans="1:17" x14ac:dyDescent="0.25">
      <c r="A452" s="332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55">
        <v>22255</v>
      </c>
      <c r="Q452" s="355">
        <v>22858</v>
      </c>
    </row>
    <row r="453" spans="1:17" x14ac:dyDescent="0.25">
      <c r="A453" s="332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55">
        <v>22858</v>
      </c>
      <c r="Q453" s="355">
        <v>24240</v>
      </c>
    </row>
    <row r="454" spans="1:17" hidden="1" x14ac:dyDescent="0.25">
      <c r="A454" s="332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55">
        <v>24240</v>
      </c>
      <c r="Q454" s="355">
        <v>24842</v>
      </c>
    </row>
    <row r="455" spans="1:17" x14ac:dyDescent="0.25">
      <c r="A455" s="332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32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32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32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32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32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32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32">
        <v>46184</v>
      </c>
      <c r="B462" s="116" t="s">
        <v>12</v>
      </c>
      <c r="C462" s="157" t="s">
        <v>404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32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hidden="1" x14ac:dyDescent="0.25">
      <c r="A464" s="332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32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32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32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32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32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32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32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32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32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32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32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32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hidden="1" x14ac:dyDescent="0.25">
      <c r="A477" s="332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32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32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32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32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32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32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32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32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32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32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32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32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32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32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32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32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32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32">
        <v>46200</v>
      </c>
      <c r="B495" s="116" t="s">
        <v>12</v>
      </c>
      <c r="C495" s="157" t="s">
        <v>329</v>
      </c>
      <c r="D495" s="39" t="s">
        <v>496</v>
      </c>
      <c r="E495" s="40" t="s">
        <v>16</v>
      </c>
      <c r="F495" s="28">
        <v>0</v>
      </c>
      <c r="G495" s="28">
        <v>243</v>
      </c>
      <c r="H495" s="34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504</v>
      </c>
    </row>
    <row r="496" spans="1:14" hidden="1" x14ac:dyDescent="0.25">
      <c r="A496" s="332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32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32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32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32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32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32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32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32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32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32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32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hidden="1" x14ac:dyDescent="0.25">
      <c r="A508" s="332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hidden="1" x14ac:dyDescent="0.25">
      <c r="A509" s="332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32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32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32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32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32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503</v>
      </c>
    </row>
    <row r="515" spans="1:17" x14ac:dyDescent="0.25">
      <c r="A515" s="332">
        <v>46212</v>
      </c>
      <c r="B515" s="116" t="s">
        <v>12</v>
      </c>
      <c r="C515" s="157" t="s">
        <v>329</v>
      </c>
      <c r="D515" s="39" t="s">
        <v>496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504</v>
      </c>
    </row>
    <row r="516" spans="1:17" x14ac:dyDescent="0.25">
      <c r="A516" s="332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32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32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55">
        <v>0</v>
      </c>
      <c r="Q518" s="355">
        <v>500</v>
      </c>
    </row>
    <row r="519" spans="1:17" x14ac:dyDescent="0.25">
      <c r="A519" s="332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55">
        <v>500</v>
      </c>
      <c r="Q519" s="355">
        <v>2200</v>
      </c>
    </row>
    <row r="520" spans="1:17" x14ac:dyDescent="0.25">
      <c r="A520" s="332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55">
        <v>2200</v>
      </c>
      <c r="Q520" s="355">
        <v>3400</v>
      </c>
    </row>
    <row r="521" spans="1:17" hidden="1" x14ac:dyDescent="0.25">
      <c r="A521" s="332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55">
        <v>3400</v>
      </c>
      <c r="Q521" s="355">
        <v>5750</v>
      </c>
    </row>
    <row r="522" spans="1:17" x14ac:dyDescent="0.25">
      <c r="A522" s="332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32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32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32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32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32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32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32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32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32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32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32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32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32">
        <v>46220</v>
      </c>
      <c r="B535" s="116" t="s">
        <v>12</v>
      </c>
      <c r="C535" s="157" t="s">
        <v>404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32">
        <v>46220</v>
      </c>
      <c r="B536" s="116" t="s">
        <v>12</v>
      </c>
      <c r="C536" s="157" t="s">
        <v>404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32">
        <v>46220</v>
      </c>
      <c r="B537" s="116" t="s">
        <v>12</v>
      </c>
      <c r="C537" s="157" t="s">
        <v>404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32">
        <v>46220</v>
      </c>
      <c r="B538" s="116" t="s">
        <v>12</v>
      </c>
      <c r="C538" s="157" t="s">
        <v>404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32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hidden="1" x14ac:dyDescent="0.25">
      <c r="A540" s="332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32">
        <v>46223</v>
      </c>
      <c r="B541" s="116" t="s">
        <v>12</v>
      </c>
      <c r="C541" s="157" t="s">
        <v>404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32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32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32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32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32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32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32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32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32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32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32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32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32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32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32">
        <v>46228</v>
      </c>
      <c r="B556" s="116" t="s">
        <v>12</v>
      </c>
      <c r="C556" s="157" t="s">
        <v>404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hidden="1" x14ac:dyDescent="0.25">
      <c r="A557" s="332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32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32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32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32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32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32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32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32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32">
        <v>46232</v>
      </c>
      <c r="B566" s="116" t="s">
        <v>12</v>
      </c>
      <c r="C566" s="157" t="s">
        <v>329</v>
      </c>
      <c r="D566" s="39" t="s">
        <v>496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32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32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32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509</v>
      </c>
    </row>
    <row r="570" spans="1:17" x14ac:dyDescent="0.25">
      <c r="A570" s="332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hidden="1" x14ac:dyDescent="0.25">
      <c r="A571" s="332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32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32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32">
        <v>46238</v>
      </c>
      <c r="B574" s="116" t="s">
        <v>12</v>
      </c>
      <c r="C574" s="157" t="s">
        <v>404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32">
        <v>46238</v>
      </c>
      <c r="B575" s="116" t="s">
        <v>12</v>
      </c>
      <c r="C575" s="157" t="s">
        <v>404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516</v>
      </c>
    </row>
    <row r="576" spans="1:17" x14ac:dyDescent="0.25">
      <c r="A576" s="332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55">
        <v>0</v>
      </c>
      <c r="Q576" s="355">
        <v>500</v>
      </c>
    </row>
    <row r="577" spans="1:18" x14ac:dyDescent="0.25">
      <c r="A577" s="332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55">
        <v>500</v>
      </c>
      <c r="Q577" s="355">
        <v>1600</v>
      </c>
    </row>
    <row r="578" spans="1:18" x14ac:dyDescent="0.25">
      <c r="A578" s="332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55">
        <v>1600</v>
      </c>
      <c r="Q578" s="355">
        <v>2300</v>
      </c>
    </row>
    <row r="579" spans="1:18" x14ac:dyDescent="0.25">
      <c r="A579" s="332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30">
        <f>+P580-Q578</f>
        <v>1000</v>
      </c>
    </row>
    <row r="580" spans="1:18" x14ac:dyDescent="0.25">
      <c r="A580" s="332">
        <v>46241</v>
      </c>
      <c r="B580" s="116" t="s">
        <v>12</v>
      </c>
      <c r="C580" s="157" t="s">
        <v>404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55">
        <v>3300</v>
      </c>
      <c r="Q580" s="355">
        <v>3400</v>
      </c>
    </row>
    <row r="581" spans="1:18" x14ac:dyDescent="0.25">
      <c r="A581" s="332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55">
        <v>3400</v>
      </c>
      <c r="Q581" s="355">
        <v>5872</v>
      </c>
      <c r="R581" s="330"/>
    </row>
    <row r="582" spans="1:18" x14ac:dyDescent="0.25">
      <c r="A582" s="332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hidden="1" x14ac:dyDescent="0.25">
      <c r="A583" s="332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32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32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32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32">
        <v>46249</v>
      </c>
      <c r="B587" s="116" t="s">
        <v>12</v>
      </c>
      <c r="C587" s="157" t="s">
        <v>404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32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32">
        <v>46250</v>
      </c>
      <c r="B589" s="116" t="s">
        <v>12</v>
      </c>
      <c r="C589" s="157" t="s">
        <v>404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hidden="1" x14ac:dyDescent="0.25">
      <c r="A590" s="332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32">
        <v>46251</v>
      </c>
      <c r="B591" s="116" t="s">
        <v>12</v>
      </c>
      <c r="C591" s="157" t="s">
        <v>404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32">
        <v>46252</v>
      </c>
      <c r="B592" s="116" t="s">
        <v>12</v>
      </c>
      <c r="C592" s="157" t="s">
        <v>404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32">
        <v>46253</v>
      </c>
      <c r="B593" s="116" t="s">
        <v>12</v>
      </c>
      <c r="C593" s="157" t="s">
        <v>404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32">
        <v>46253</v>
      </c>
      <c r="B594" s="116" t="s">
        <v>12</v>
      </c>
      <c r="C594" s="157" t="s">
        <v>404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32">
        <v>46254</v>
      </c>
      <c r="B595" s="116" t="s">
        <v>12</v>
      </c>
      <c r="C595" s="157" t="s">
        <v>404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32">
        <v>46255</v>
      </c>
      <c r="B596" s="116" t="s">
        <v>12</v>
      </c>
      <c r="C596" s="157" t="s">
        <v>404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32">
        <v>46255</v>
      </c>
      <c r="B597" s="116" t="s">
        <v>12</v>
      </c>
      <c r="C597" s="157" t="s">
        <v>404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32">
        <v>46256</v>
      </c>
      <c r="B598" s="116" t="s">
        <v>12</v>
      </c>
      <c r="C598" s="157" t="s">
        <v>404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32">
        <v>46256</v>
      </c>
      <c r="B599" s="116" t="s">
        <v>12</v>
      </c>
      <c r="C599" s="157" t="s">
        <v>404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hidden="1" x14ac:dyDescent="0.25">
      <c r="A600" s="332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32">
        <v>46258</v>
      </c>
      <c r="B601" s="116" t="s">
        <v>12</v>
      </c>
      <c r="C601" s="157" t="s">
        <v>404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32">
        <v>46258</v>
      </c>
      <c r="B602" s="116" t="s">
        <v>12</v>
      </c>
      <c r="C602" s="157" t="s">
        <v>404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32">
        <v>46262</v>
      </c>
      <c r="B603" s="116" t="s">
        <v>12</v>
      </c>
      <c r="C603" s="157" t="s">
        <v>404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hidden="1" x14ac:dyDescent="0.25">
      <c r="A604" s="332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32">
        <v>46265</v>
      </c>
      <c r="B605" s="116" t="s">
        <v>12</v>
      </c>
      <c r="C605" s="157" t="s">
        <v>404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32">
        <v>46266</v>
      </c>
      <c r="B606" s="116" t="s">
        <v>12</v>
      </c>
      <c r="C606" s="157" t="s">
        <v>404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32">
        <v>46267</v>
      </c>
      <c r="B607" s="116" t="s">
        <v>12</v>
      </c>
      <c r="C607" s="157" t="s">
        <v>404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32">
        <v>46268</v>
      </c>
      <c r="B608" s="116" t="s">
        <v>12</v>
      </c>
      <c r="C608" s="157" t="s">
        <v>404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hidden="1" x14ac:dyDescent="0.25">
      <c r="A609" s="332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32">
        <v>46272</v>
      </c>
      <c r="B610" s="116" t="s">
        <v>12</v>
      </c>
      <c r="C610" s="157" t="s">
        <v>404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32">
        <v>46273</v>
      </c>
      <c r="B611" s="116" t="s">
        <v>12</v>
      </c>
      <c r="C611" s="157" t="s">
        <v>404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32">
        <v>46274</v>
      </c>
      <c r="B612" s="116" t="s">
        <v>12</v>
      </c>
      <c r="C612" s="157" t="s">
        <v>404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32">
        <v>46274</v>
      </c>
      <c r="B613" s="116" t="s">
        <v>12</v>
      </c>
      <c r="C613" s="157" t="s">
        <v>404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32">
        <v>46275</v>
      </c>
      <c r="B614" s="116" t="s">
        <v>12</v>
      </c>
      <c r="C614" s="157" t="s">
        <v>404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32">
        <v>46276</v>
      </c>
      <c r="B615" s="116" t="s">
        <v>12</v>
      </c>
      <c r="C615" s="157" t="s">
        <v>404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32">
        <v>46276</v>
      </c>
      <c r="B616" s="116" t="s">
        <v>12</v>
      </c>
      <c r="C616" s="157" t="s">
        <v>404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32">
        <v>46277</v>
      </c>
      <c r="B617" s="116" t="s">
        <v>12</v>
      </c>
      <c r="C617" s="157" t="s">
        <v>404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hidden="1" x14ac:dyDescent="0.25">
      <c r="A618" s="332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32">
        <v>46279</v>
      </c>
      <c r="B619" s="116" t="s">
        <v>12</v>
      </c>
      <c r="C619" s="157" t="s">
        <v>404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32">
        <v>46280</v>
      </c>
      <c r="B620" s="116" t="s">
        <v>12</v>
      </c>
      <c r="C620" s="157" t="s">
        <v>404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32">
        <v>46281</v>
      </c>
      <c r="B621" s="116" t="s">
        <v>30</v>
      </c>
      <c r="C621" s="157" t="s">
        <v>404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32">
        <v>46281</v>
      </c>
      <c r="B622" s="116" t="s">
        <v>30</v>
      </c>
      <c r="C622" s="157" t="s">
        <v>404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32">
        <v>46281</v>
      </c>
      <c r="B623" s="116" t="s">
        <v>30</v>
      </c>
      <c r="C623" s="157" t="s">
        <v>404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32">
        <v>46284</v>
      </c>
      <c r="B624" s="116" t="s">
        <v>30</v>
      </c>
      <c r="C624" s="157" t="s">
        <v>404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hidden="1" x14ac:dyDescent="0.25">
      <c r="A625" s="332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32">
        <v>46286</v>
      </c>
      <c r="B626" s="116" t="s">
        <v>30</v>
      </c>
      <c r="C626" s="157" t="s">
        <v>553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32">
        <v>46286</v>
      </c>
      <c r="B627" s="116" t="s">
        <v>30</v>
      </c>
      <c r="C627" s="157" t="s">
        <v>553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32">
        <v>46287</v>
      </c>
      <c r="B628" s="116" t="s">
        <v>30</v>
      </c>
      <c r="C628" s="157" t="s">
        <v>553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32">
        <v>46287</v>
      </c>
      <c r="B629" s="116" t="s">
        <v>30</v>
      </c>
      <c r="C629" s="157" t="s">
        <v>553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32">
        <v>46288</v>
      </c>
      <c r="B630" s="116" t="s">
        <v>30</v>
      </c>
      <c r="C630" s="157" t="s">
        <v>553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32">
        <v>46288</v>
      </c>
      <c r="B631" s="116" t="s">
        <v>30</v>
      </c>
      <c r="C631" s="157" t="s">
        <v>553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32">
        <v>46289</v>
      </c>
      <c r="B632" s="116" t="s">
        <v>30</v>
      </c>
      <c r="C632" s="157" t="s">
        <v>553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32">
        <v>46289</v>
      </c>
      <c r="B633" s="116" t="s">
        <v>30</v>
      </c>
      <c r="C633" s="157" t="s">
        <v>553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32">
        <v>46290</v>
      </c>
      <c r="B634" s="116" t="s">
        <v>30</v>
      </c>
      <c r="C634" s="157" t="s">
        <v>553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32">
        <v>46290</v>
      </c>
      <c r="B635" s="116" t="s">
        <v>30</v>
      </c>
      <c r="C635" s="157" t="s">
        <v>553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32">
        <v>46290</v>
      </c>
      <c r="B636" s="116" t="s">
        <v>30</v>
      </c>
      <c r="C636" s="157" t="s">
        <v>553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32">
        <v>46290</v>
      </c>
      <c r="B637" s="116" t="s">
        <v>30</v>
      </c>
      <c r="C637" s="157" t="s">
        <v>553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32">
        <v>46291</v>
      </c>
      <c r="B638" s="116" t="s">
        <v>30</v>
      </c>
      <c r="C638" s="157" t="s">
        <v>329</v>
      </c>
      <c r="D638" s="39" t="s">
        <v>496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hidden="1" x14ac:dyDescent="0.25">
      <c r="A639" s="332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32">
        <v>46293</v>
      </c>
      <c r="B640" s="116" t="s">
        <v>12</v>
      </c>
      <c r="C640" s="157" t="s">
        <v>404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32">
        <v>46294</v>
      </c>
      <c r="B641" s="116" t="s">
        <v>12</v>
      </c>
      <c r="C641" s="157" t="s">
        <v>404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32">
        <v>46295</v>
      </c>
      <c r="B642" s="116" t="s">
        <v>12</v>
      </c>
      <c r="C642" s="157" t="s">
        <v>404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32">
        <v>46296</v>
      </c>
      <c r="B643" s="116" t="s">
        <v>12</v>
      </c>
      <c r="C643" s="157" t="s">
        <v>404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32">
        <v>46297</v>
      </c>
      <c r="B644" s="116" t="s">
        <v>12</v>
      </c>
      <c r="C644" s="157" t="s">
        <v>404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hidden="1" x14ac:dyDescent="0.25">
      <c r="A645" s="332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32">
        <v>46300</v>
      </c>
      <c r="B646" s="116" t="s">
        <v>12</v>
      </c>
      <c r="C646" s="157" t="s">
        <v>404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32">
        <v>46301</v>
      </c>
      <c r="B647" s="116" t="s">
        <v>12</v>
      </c>
      <c r="C647" s="157" t="s">
        <v>553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32">
        <v>46301</v>
      </c>
      <c r="B648" s="116" t="s">
        <v>12</v>
      </c>
      <c r="C648" s="157" t="s">
        <v>553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32">
        <v>46301</v>
      </c>
      <c r="B649" s="116" t="s">
        <v>12</v>
      </c>
      <c r="C649" s="157" t="s">
        <v>553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32">
        <v>46301</v>
      </c>
      <c r="B650" s="116" t="s">
        <v>12</v>
      </c>
      <c r="C650" s="157" t="s">
        <v>553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32">
        <v>46301</v>
      </c>
      <c r="B651" s="116" t="s">
        <v>12</v>
      </c>
      <c r="C651" s="157" t="s">
        <v>553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32">
        <v>46301</v>
      </c>
      <c r="B652" s="116" t="s">
        <v>12</v>
      </c>
      <c r="C652" s="157" t="s">
        <v>553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32">
        <v>46302</v>
      </c>
      <c r="B653" s="116" t="s">
        <v>12</v>
      </c>
      <c r="C653" s="157" t="s">
        <v>553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32">
        <v>46302</v>
      </c>
      <c r="B654" s="116" t="s">
        <v>12</v>
      </c>
      <c r="C654" s="157" t="s">
        <v>553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32">
        <v>46302</v>
      </c>
      <c r="B655" s="116" t="s">
        <v>12</v>
      </c>
      <c r="C655" s="157" t="s">
        <v>553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32">
        <v>46302</v>
      </c>
      <c r="B656" s="116" t="s">
        <v>12</v>
      </c>
      <c r="C656" s="157" t="s">
        <v>553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32">
        <v>46302</v>
      </c>
      <c r="B657" s="116" t="s">
        <v>12</v>
      </c>
      <c r="C657" s="157" t="s">
        <v>553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32">
        <v>46303</v>
      </c>
      <c r="B658" s="116" t="s">
        <v>12</v>
      </c>
      <c r="C658" s="157" t="s">
        <v>553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32">
        <v>46303</v>
      </c>
      <c r="B659" s="116" t="s">
        <v>12</v>
      </c>
      <c r="C659" s="157" t="s">
        <v>553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32">
        <v>46303</v>
      </c>
      <c r="B660" s="116" t="s">
        <v>12</v>
      </c>
      <c r="C660" s="157" t="s">
        <v>553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32">
        <v>46303</v>
      </c>
      <c r="B661" s="116" t="s">
        <v>12</v>
      </c>
      <c r="C661" s="157" t="s">
        <v>553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32">
        <v>46303</v>
      </c>
      <c r="B662" s="116" t="s">
        <v>12</v>
      </c>
      <c r="C662" s="157" t="s">
        <v>553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32">
        <v>46303</v>
      </c>
      <c r="B663" s="116" t="s">
        <v>12</v>
      </c>
      <c r="C663" s="157" t="s">
        <v>553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32">
        <v>46303</v>
      </c>
      <c r="B664" s="116" t="s">
        <v>12</v>
      </c>
      <c r="C664" s="157" t="s">
        <v>553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32">
        <v>46303</v>
      </c>
      <c r="B665" s="116" t="s">
        <v>12</v>
      </c>
      <c r="C665" s="157" t="s">
        <v>553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32">
        <v>46303</v>
      </c>
      <c r="B666" s="116" t="s">
        <v>12</v>
      </c>
      <c r="C666" s="157" t="s">
        <v>553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32">
        <v>46303</v>
      </c>
      <c r="B667" s="116" t="s">
        <v>12</v>
      </c>
      <c r="C667" s="157" t="s">
        <v>553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32">
        <v>46303</v>
      </c>
      <c r="B668" s="116" t="s">
        <v>12</v>
      </c>
      <c r="C668" s="157" t="s">
        <v>553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32">
        <v>46303</v>
      </c>
      <c r="B669" s="116" t="s">
        <v>12</v>
      </c>
      <c r="C669" s="157" t="s">
        <v>553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32">
        <v>46303</v>
      </c>
      <c r="B670" s="116" t="s">
        <v>12</v>
      </c>
      <c r="C670" s="157" t="s">
        <v>553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32">
        <v>46304</v>
      </c>
      <c r="B671" s="116" t="s">
        <v>12</v>
      </c>
      <c r="C671" s="157" t="s">
        <v>553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32">
        <v>46304</v>
      </c>
      <c r="B672" s="116" t="s">
        <v>12</v>
      </c>
      <c r="C672" s="157" t="s">
        <v>553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32">
        <v>46304</v>
      </c>
      <c r="B673" s="116" t="s">
        <v>12</v>
      </c>
      <c r="C673" s="157" t="s">
        <v>553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32">
        <v>46304</v>
      </c>
      <c r="B674" s="116" t="s">
        <v>12</v>
      </c>
      <c r="C674" s="157" t="s">
        <v>553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32">
        <v>46304</v>
      </c>
      <c r="B675" s="116" t="s">
        <v>12</v>
      </c>
      <c r="C675" s="157" t="s">
        <v>553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32">
        <v>46304</v>
      </c>
      <c r="B676" s="116" t="s">
        <v>12</v>
      </c>
      <c r="C676" s="157" t="s">
        <v>553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32">
        <v>46304</v>
      </c>
      <c r="B677" s="116" t="s">
        <v>12</v>
      </c>
      <c r="C677" s="157" t="s">
        <v>553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hidden="1" x14ac:dyDescent="0.25">
      <c r="A678" s="332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32">
        <v>46308</v>
      </c>
      <c r="B679" s="116" t="s">
        <v>12</v>
      </c>
      <c r="C679" s="157" t="s">
        <v>553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32">
        <v>46308</v>
      </c>
      <c r="B680" s="116" t="s">
        <v>12</v>
      </c>
      <c r="C680" s="157" t="s">
        <v>553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32">
        <v>46308</v>
      </c>
      <c r="B681" s="116" t="s">
        <v>12</v>
      </c>
      <c r="C681" s="157" t="s">
        <v>553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32">
        <v>46308</v>
      </c>
      <c r="B682" s="116" t="s">
        <v>12</v>
      </c>
      <c r="C682" s="157" t="s">
        <v>553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hidden="1" x14ac:dyDescent="0.25">
      <c r="A683" s="332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32">
        <v>46309</v>
      </c>
      <c r="B684" s="116" t="s">
        <v>12</v>
      </c>
      <c r="C684" s="157" t="s">
        <v>553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32">
        <v>46309</v>
      </c>
      <c r="B685" s="116" t="s">
        <v>12</v>
      </c>
      <c r="C685" s="157" t="s">
        <v>404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32">
        <v>46309</v>
      </c>
      <c r="B686" s="116" t="s">
        <v>12</v>
      </c>
      <c r="C686" s="157" t="s">
        <v>404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32">
        <v>46310</v>
      </c>
      <c r="B687" s="116" t="s">
        <v>12</v>
      </c>
      <c r="C687" s="157" t="s">
        <v>404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32">
        <v>46311</v>
      </c>
      <c r="B688" s="116" t="s">
        <v>12</v>
      </c>
      <c r="C688" s="157" t="s">
        <v>404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32">
        <v>46312</v>
      </c>
      <c r="B689" s="116" t="s">
        <v>12</v>
      </c>
      <c r="C689" s="157" t="s">
        <v>404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32">
        <v>46312</v>
      </c>
      <c r="B690" s="116" t="s">
        <v>12</v>
      </c>
      <c r="C690" s="157" t="s">
        <v>404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hidden="1" x14ac:dyDescent="0.25">
      <c r="A691" s="332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hidden="1" x14ac:dyDescent="0.25">
      <c r="A692" s="332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hidden="1" x14ac:dyDescent="0.25">
      <c r="A693" s="332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hidden="1" x14ac:dyDescent="0.25">
      <c r="A694" s="332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hidden="1" x14ac:dyDescent="0.25">
      <c r="A695" s="332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hidden="1" x14ac:dyDescent="0.25">
      <c r="A696" s="332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hidden="1" x14ac:dyDescent="0.25">
      <c r="A697" s="332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hidden="1" x14ac:dyDescent="0.25">
      <c r="A698" s="332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hidden="1" x14ac:dyDescent="0.25">
      <c r="A699" s="332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hidden="1" x14ac:dyDescent="0.25">
      <c r="A700" s="332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hidden="1" x14ac:dyDescent="0.25">
      <c r="A701" s="332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hidden="1" x14ac:dyDescent="0.25">
      <c r="A702" s="332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hidden="1" x14ac:dyDescent="0.25">
      <c r="A703" s="332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hidden="1" x14ac:dyDescent="0.25">
      <c r="A704" s="332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hidden="1" x14ac:dyDescent="0.25">
      <c r="A705" s="332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hidden="1" x14ac:dyDescent="0.25">
      <c r="A706" s="332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hidden="1" x14ac:dyDescent="0.25">
      <c r="A707" s="332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hidden="1" x14ac:dyDescent="0.25">
      <c r="A708" s="332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hidden="1" x14ac:dyDescent="0.25">
      <c r="A709" s="332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hidden="1" x14ac:dyDescent="0.25">
      <c r="A710" s="332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hidden="1" x14ac:dyDescent="0.25">
      <c r="A711" s="332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hidden="1" x14ac:dyDescent="0.25">
      <c r="A712" s="332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hidden="1" x14ac:dyDescent="0.25">
      <c r="A713" s="332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hidden="1" x14ac:dyDescent="0.25">
      <c r="A714" s="334"/>
      <c r="B714" s="265"/>
      <c r="C714" s="266"/>
      <c r="D714" s="267"/>
      <c r="E714" s="349"/>
      <c r="F714" s="268"/>
      <c r="G714" s="268"/>
      <c r="H714" s="477" t="str">
        <f>IF(Tabla1[[#This Row],[Codigo_actividad]]&lt;&gt;2.5,IF(((Tabla1[[#This Row],[fin]]-Tabla1[[#This Row],[inicio]])/1000)=0,"",((Tabla1[[#This Row],[fin]]-Tabla1[[#This Row],[inicio]])/1000)),"")</f>
        <v/>
      </c>
      <c r="I714" s="478"/>
      <c r="J714" s="478"/>
      <c r="K714" s="478" t="str">
        <f>IF(_xlfn.XLOOKUP($J714,Catalogo!$B$7:$B$21,Catalogo!$I$7:$I$21,"",0)=0,"",_xlfn.XLOOKUP($J714,Catalogo!$B$7:$B$21,Catalogo!$I$7:$I$21,"",0))</f>
        <v/>
      </c>
      <c r="L714" s="479"/>
      <c r="M714" s="480">
        <f>IF(Tabla1[[#This Row],[Avance_km]]&lt;&gt;"",Tabla1[[#This Row],[Avance_km]],Tabla1[[#This Row],[Avance_Med]])*_xlfn.XLOOKUP(Tabla1[[#This Row],[Codigo_actividad]],Catalogo!$B$6:$B$51,Catalogo!$F$6:$F$51,0)</f>
        <v>0</v>
      </c>
      <c r="N714" s="481" t="str">
        <f>_xlfn.IFNA(_xlfn.XLOOKUP(Tabla1[[#This Row],[fin]],$P$379:$P$398,$T$379:$T$398),"")</f>
        <v/>
      </c>
    </row>
    <row r="715" spans="1:14" hidden="1" x14ac:dyDescent="0.25">
      <c r="A715" s="332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32">
        <v>46280</v>
      </c>
      <c r="B716" s="116" t="s">
        <v>30</v>
      </c>
      <c r="C716" s="474" t="s">
        <v>13</v>
      </c>
      <c r="D716" s="39" t="s">
        <v>14</v>
      </c>
      <c r="E716" s="40" t="s">
        <v>119</v>
      </c>
      <c r="F716" s="455">
        <v>3901</v>
      </c>
      <c r="G716" s="28" t="s">
        <v>610</v>
      </c>
      <c r="H716" s="226"/>
      <c r="I716" s="46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32">
        <v>46280</v>
      </c>
      <c r="B717" s="116" t="s">
        <v>30</v>
      </c>
      <c r="C717" s="474" t="s">
        <v>13</v>
      </c>
      <c r="D717" s="39" t="s">
        <v>14</v>
      </c>
      <c r="E717" s="40" t="s">
        <v>523</v>
      </c>
      <c r="F717" s="455">
        <v>3901</v>
      </c>
      <c r="G717" s="28" t="s">
        <v>610</v>
      </c>
      <c r="H717" s="226"/>
      <c r="I717" s="46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32">
        <v>46280</v>
      </c>
      <c r="B718" s="116" t="s">
        <v>30</v>
      </c>
      <c r="C718" s="474" t="s">
        <v>13</v>
      </c>
      <c r="D718" s="39" t="s">
        <v>14</v>
      </c>
      <c r="E718" s="40" t="s">
        <v>125</v>
      </c>
      <c r="F718" s="455">
        <v>3901</v>
      </c>
      <c r="G718" s="28" t="s">
        <v>610</v>
      </c>
      <c r="H718" s="226"/>
      <c r="I718" s="46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32">
        <v>46280</v>
      </c>
      <c r="B719" s="116" t="s">
        <v>30</v>
      </c>
      <c r="C719" s="474" t="s">
        <v>13</v>
      </c>
      <c r="D719" s="39" t="s">
        <v>14</v>
      </c>
      <c r="E719" s="40" t="s">
        <v>128</v>
      </c>
      <c r="F719" s="455">
        <v>3901</v>
      </c>
      <c r="G719" s="28" t="s">
        <v>610</v>
      </c>
      <c r="H719" s="226"/>
      <c r="I719" s="46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32">
        <v>46280</v>
      </c>
      <c r="B720" s="116" t="s">
        <v>30</v>
      </c>
      <c r="C720" s="474" t="s">
        <v>13</v>
      </c>
      <c r="D720" s="39" t="s">
        <v>14</v>
      </c>
      <c r="E720" s="40" t="s">
        <v>132</v>
      </c>
      <c r="F720" s="455">
        <v>3901</v>
      </c>
      <c r="G720" s="28" t="s">
        <v>610</v>
      </c>
      <c r="H720" s="226"/>
      <c r="I720" s="46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32">
        <v>46280</v>
      </c>
      <c r="B721" s="116" t="s">
        <v>30</v>
      </c>
      <c r="C721" s="474" t="s">
        <v>13</v>
      </c>
      <c r="D721" s="39" t="s">
        <v>14</v>
      </c>
      <c r="E721" s="40" t="s">
        <v>138</v>
      </c>
      <c r="F721" s="455">
        <v>3901</v>
      </c>
      <c r="G721" s="28" t="s">
        <v>610</v>
      </c>
      <c r="H721" s="226"/>
      <c r="I721" s="46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32">
        <v>46280</v>
      </c>
      <c r="B722" s="116" t="s">
        <v>30</v>
      </c>
      <c r="C722" s="474" t="s">
        <v>13</v>
      </c>
      <c r="D722" s="39" t="s">
        <v>14</v>
      </c>
      <c r="E722" s="40" t="s">
        <v>140</v>
      </c>
      <c r="F722" s="455">
        <v>3901</v>
      </c>
      <c r="G722" s="28" t="s">
        <v>610</v>
      </c>
      <c r="H722" s="226"/>
      <c r="I722" s="46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hidden="1" x14ac:dyDescent="0.25">
      <c r="A723" s="332"/>
      <c r="B723" s="116"/>
      <c r="C723" s="47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32">
        <v>46259</v>
      </c>
      <c r="B724" s="116" t="s">
        <v>30</v>
      </c>
      <c r="C724" s="474" t="s">
        <v>13</v>
      </c>
      <c r="D724" s="39" t="s">
        <v>14</v>
      </c>
      <c r="E724" s="40" t="s">
        <v>119</v>
      </c>
      <c r="F724" s="455">
        <v>12165.28</v>
      </c>
      <c r="G724" s="28" t="s">
        <v>610</v>
      </c>
      <c r="H724" s="226"/>
      <c r="I724" s="46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552</v>
      </c>
    </row>
    <row r="725" spans="1:14" x14ac:dyDescent="0.25">
      <c r="A725" s="332">
        <v>46259</v>
      </c>
      <c r="B725" s="116" t="s">
        <v>30</v>
      </c>
      <c r="C725" s="474" t="s">
        <v>13</v>
      </c>
      <c r="D725" s="39" t="s">
        <v>14</v>
      </c>
      <c r="E725" s="40" t="s">
        <v>523</v>
      </c>
      <c r="F725" s="455">
        <v>12165.28</v>
      </c>
      <c r="G725" s="28" t="s">
        <v>610</v>
      </c>
      <c r="H725" s="226"/>
      <c r="I725" s="46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552</v>
      </c>
    </row>
    <row r="726" spans="1:14" x14ac:dyDescent="0.25">
      <c r="A726" s="332">
        <v>46259</v>
      </c>
      <c r="B726" s="116" t="s">
        <v>30</v>
      </c>
      <c r="C726" s="474" t="s">
        <v>13</v>
      </c>
      <c r="D726" s="39" t="s">
        <v>14</v>
      </c>
      <c r="E726" s="40" t="s">
        <v>125</v>
      </c>
      <c r="F726" s="455">
        <v>12165.28</v>
      </c>
      <c r="G726" s="28" t="s">
        <v>610</v>
      </c>
      <c r="H726" s="226"/>
      <c r="I726" s="46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552</v>
      </c>
    </row>
    <row r="727" spans="1:14" x14ac:dyDescent="0.25">
      <c r="A727" s="332">
        <v>46259</v>
      </c>
      <c r="B727" s="116" t="s">
        <v>30</v>
      </c>
      <c r="C727" s="474" t="s">
        <v>13</v>
      </c>
      <c r="D727" s="39" t="s">
        <v>14</v>
      </c>
      <c r="E727" s="40" t="s">
        <v>128</v>
      </c>
      <c r="F727" s="455">
        <v>12165.28</v>
      </c>
      <c r="G727" s="28" t="s">
        <v>610</v>
      </c>
      <c r="H727" s="226"/>
      <c r="I727" s="46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552</v>
      </c>
    </row>
    <row r="728" spans="1:14" x14ac:dyDescent="0.25">
      <c r="A728" s="332">
        <v>46259</v>
      </c>
      <c r="B728" s="116" t="s">
        <v>30</v>
      </c>
      <c r="C728" s="474" t="s">
        <v>13</v>
      </c>
      <c r="D728" s="39" t="s">
        <v>14</v>
      </c>
      <c r="E728" s="40" t="s">
        <v>132</v>
      </c>
      <c r="F728" s="455">
        <v>12165.28</v>
      </c>
      <c r="G728" s="28" t="s">
        <v>610</v>
      </c>
      <c r="H728" s="226"/>
      <c r="I728" s="46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552</v>
      </c>
    </row>
    <row r="729" spans="1:14" x14ac:dyDescent="0.25">
      <c r="A729" s="332">
        <v>46259</v>
      </c>
      <c r="B729" s="116" t="s">
        <v>30</v>
      </c>
      <c r="C729" s="474" t="s">
        <v>13</v>
      </c>
      <c r="D729" s="39" t="s">
        <v>14</v>
      </c>
      <c r="E729" s="40" t="s">
        <v>138</v>
      </c>
      <c r="F729" s="455">
        <v>12165.28</v>
      </c>
      <c r="G729" s="28" t="s">
        <v>610</v>
      </c>
      <c r="H729" s="226"/>
      <c r="I729" s="46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552</v>
      </c>
    </row>
    <row r="730" spans="1:14" x14ac:dyDescent="0.25">
      <c r="A730" s="332">
        <v>46259</v>
      </c>
      <c r="B730" s="116" t="s">
        <v>30</v>
      </c>
      <c r="C730" s="474" t="s">
        <v>13</v>
      </c>
      <c r="D730" s="39" t="s">
        <v>14</v>
      </c>
      <c r="E730" s="40" t="s">
        <v>140</v>
      </c>
      <c r="F730" s="455">
        <v>12165.28</v>
      </c>
      <c r="G730" s="28" t="s">
        <v>610</v>
      </c>
      <c r="H730" s="226"/>
      <c r="I730" s="46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552</v>
      </c>
    </row>
    <row r="731" spans="1:14" hidden="1" x14ac:dyDescent="0.25">
      <c r="A731" s="332"/>
      <c r="C731" s="47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32">
        <v>46282</v>
      </c>
      <c r="B732" s="116" t="s">
        <v>30</v>
      </c>
      <c r="C732" s="474" t="s">
        <v>13</v>
      </c>
      <c r="D732" s="39" t="s">
        <v>14</v>
      </c>
      <c r="E732" s="40" t="s">
        <v>119</v>
      </c>
      <c r="F732" s="455">
        <v>12168</v>
      </c>
      <c r="G732" s="28" t="s">
        <v>610</v>
      </c>
      <c r="H732" s="226"/>
      <c r="I732" s="46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551</v>
      </c>
    </row>
    <row r="733" spans="1:14" x14ac:dyDescent="0.25">
      <c r="A733" s="332">
        <v>46282</v>
      </c>
      <c r="B733" s="116" t="s">
        <v>30</v>
      </c>
      <c r="C733" s="474" t="s">
        <v>13</v>
      </c>
      <c r="D733" s="39" t="s">
        <v>14</v>
      </c>
      <c r="E733" s="40" t="s">
        <v>523</v>
      </c>
      <c r="F733" s="455">
        <v>12168</v>
      </c>
      <c r="G733" s="28" t="s">
        <v>610</v>
      </c>
      <c r="H733" s="226"/>
      <c r="I733" s="46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551</v>
      </c>
    </row>
    <row r="734" spans="1:14" x14ac:dyDescent="0.25">
      <c r="A734" s="332">
        <v>46282</v>
      </c>
      <c r="B734" s="116" t="s">
        <v>30</v>
      </c>
      <c r="C734" s="474" t="s">
        <v>13</v>
      </c>
      <c r="D734" s="39" t="s">
        <v>14</v>
      </c>
      <c r="E734" s="40" t="s">
        <v>125</v>
      </c>
      <c r="F734" s="455">
        <v>12168</v>
      </c>
      <c r="G734" s="28" t="s">
        <v>610</v>
      </c>
      <c r="H734" s="226"/>
      <c r="I734" s="46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551</v>
      </c>
    </row>
    <row r="735" spans="1:14" x14ac:dyDescent="0.25">
      <c r="A735" s="332">
        <v>46282</v>
      </c>
      <c r="B735" s="116" t="s">
        <v>30</v>
      </c>
      <c r="C735" s="474" t="s">
        <v>13</v>
      </c>
      <c r="D735" s="39" t="s">
        <v>14</v>
      </c>
      <c r="E735" s="40" t="s">
        <v>128</v>
      </c>
      <c r="F735" s="455">
        <v>12168</v>
      </c>
      <c r="G735" s="28" t="s">
        <v>610</v>
      </c>
      <c r="H735" s="226"/>
      <c r="I735" s="46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551</v>
      </c>
    </row>
    <row r="736" spans="1:14" x14ac:dyDescent="0.25">
      <c r="A736" s="332">
        <v>46282</v>
      </c>
      <c r="B736" s="116" t="s">
        <v>30</v>
      </c>
      <c r="C736" s="474" t="s">
        <v>13</v>
      </c>
      <c r="D736" s="39" t="s">
        <v>14</v>
      </c>
      <c r="E736" s="40" t="s">
        <v>132</v>
      </c>
      <c r="F736" s="455">
        <v>12168</v>
      </c>
      <c r="G736" s="28" t="s">
        <v>610</v>
      </c>
      <c r="H736" s="226"/>
      <c r="I736" s="46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551</v>
      </c>
    </row>
    <row r="737" spans="1:14" x14ac:dyDescent="0.25">
      <c r="A737" s="332">
        <v>46282</v>
      </c>
      <c r="B737" s="116" t="s">
        <v>30</v>
      </c>
      <c r="C737" s="474" t="s">
        <v>13</v>
      </c>
      <c r="D737" s="39" t="s">
        <v>14</v>
      </c>
      <c r="E737" s="40" t="s">
        <v>138</v>
      </c>
      <c r="F737" s="455">
        <v>12168</v>
      </c>
      <c r="G737" s="28" t="s">
        <v>610</v>
      </c>
      <c r="H737" s="226"/>
      <c r="I737" s="46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551</v>
      </c>
    </row>
    <row r="738" spans="1:14" x14ac:dyDescent="0.25">
      <c r="A738" s="332">
        <v>46282</v>
      </c>
      <c r="B738" s="116" t="s">
        <v>30</v>
      </c>
      <c r="C738" s="474" t="s">
        <v>13</v>
      </c>
      <c r="D738" s="39" t="s">
        <v>14</v>
      </c>
      <c r="E738" s="40" t="s">
        <v>140</v>
      </c>
      <c r="F738" s="455">
        <v>12168</v>
      </c>
      <c r="G738" s="28" t="s">
        <v>610</v>
      </c>
      <c r="H738" s="226"/>
      <c r="I738" s="46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551</v>
      </c>
    </row>
    <row r="739" spans="1:14" hidden="1" x14ac:dyDescent="0.25">
      <c r="A739" s="332"/>
      <c r="B739" s="116"/>
      <c r="C739" s="47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32">
        <v>46261</v>
      </c>
      <c r="B740" s="116" t="s">
        <v>30</v>
      </c>
      <c r="C740" s="474" t="s">
        <v>13</v>
      </c>
      <c r="D740" s="39" t="s">
        <v>14</v>
      </c>
      <c r="E740" s="40" t="s">
        <v>119</v>
      </c>
      <c r="F740" s="455">
        <v>15734.73</v>
      </c>
      <c r="G740" s="28" t="s">
        <v>610</v>
      </c>
      <c r="H740" s="226"/>
      <c r="I740" s="46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32">
        <v>46261</v>
      </c>
      <c r="B741" s="116" t="s">
        <v>30</v>
      </c>
      <c r="C741" s="474" t="s">
        <v>13</v>
      </c>
      <c r="D741" s="39" t="s">
        <v>14</v>
      </c>
      <c r="E741" s="40" t="s">
        <v>523</v>
      </c>
      <c r="F741" s="455">
        <v>15734.73</v>
      </c>
      <c r="G741" s="28" t="s">
        <v>610</v>
      </c>
      <c r="H741" s="226"/>
      <c r="I741" s="46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32">
        <v>46261</v>
      </c>
      <c r="B742" s="116" t="s">
        <v>30</v>
      </c>
      <c r="C742" s="474" t="s">
        <v>13</v>
      </c>
      <c r="D742" s="39" t="s">
        <v>14</v>
      </c>
      <c r="E742" s="40" t="s">
        <v>125</v>
      </c>
      <c r="F742" s="455">
        <v>15734.73</v>
      </c>
      <c r="G742" s="28" t="s">
        <v>610</v>
      </c>
      <c r="H742" s="226"/>
      <c r="I742" s="46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32">
        <v>46261</v>
      </c>
      <c r="B743" s="116" t="s">
        <v>30</v>
      </c>
      <c r="C743" s="474" t="s">
        <v>13</v>
      </c>
      <c r="D743" s="39" t="s">
        <v>14</v>
      </c>
      <c r="E743" s="40" t="s">
        <v>128</v>
      </c>
      <c r="F743" s="455">
        <v>15734.73</v>
      </c>
      <c r="G743" s="28" t="s">
        <v>610</v>
      </c>
      <c r="H743" s="226"/>
      <c r="I743" s="46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32">
        <v>46261</v>
      </c>
      <c r="B744" s="116" t="s">
        <v>30</v>
      </c>
      <c r="C744" s="474" t="s">
        <v>13</v>
      </c>
      <c r="D744" s="39" t="s">
        <v>14</v>
      </c>
      <c r="E744" s="40" t="s">
        <v>132</v>
      </c>
      <c r="F744" s="455">
        <v>15734.73</v>
      </c>
      <c r="G744" s="28" t="s">
        <v>610</v>
      </c>
      <c r="H744" s="226"/>
      <c r="I744" s="46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32">
        <v>46261</v>
      </c>
      <c r="B745" s="116" t="s">
        <v>30</v>
      </c>
      <c r="C745" s="474" t="s">
        <v>13</v>
      </c>
      <c r="D745" s="39" t="s">
        <v>14</v>
      </c>
      <c r="E745" s="40" t="s">
        <v>138</v>
      </c>
      <c r="F745" s="455">
        <v>15734.73</v>
      </c>
      <c r="G745" s="28" t="s">
        <v>610</v>
      </c>
      <c r="H745" s="226"/>
      <c r="I745" s="46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32">
        <v>46261</v>
      </c>
      <c r="B746" s="116" t="s">
        <v>30</v>
      </c>
      <c r="C746" s="474" t="s">
        <v>13</v>
      </c>
      <c r="D746" s="39" t="s">
        <v>14</v>
      </c>
      <c r="E746" s="40" t="s">
        <v>140</v>
      </c>
      <c r="F746" s="455">
        <v>15734.73</v>
      </c>
      <c r="G746" s="28" t="s">
        <v>610</v>
      </c>
      <c r="H746" s="226"/>
      <c r="I746" s="46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hidden="1" x14ac:dyDescent="0.25">
      <c r="A747" s="332"/>
      <c r="B747" s="116"/>
      <c r="C747" s="47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32">
        <v>46296</v>
      </c>
      <c r="B748" s="116" t="s">
        <v>30</v>
      </c>
      <c r="C748" s="474" t="s">
        <v>13</v>
      </c>
      <c r="D748" s="39" t="s">
        <v>14</v>
      </c>
      <c r="E748" s="40" t="s">
        <v>119</v>
      </c>
      <c r="F748" s="455">
        <v>22765</v>
      </c>
      <c r="G748" s="486" t="s">
        <v>611</v>
      </c>
      <c r="H748" s="226"/>
      <c r="I748" s="46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32">
        <v>46296</v>
      </c>
      <c r="B749" s="116" t="s">
        <v>30</v>
      </c>
      <c r="C749" s="474" t="s">
        <v>13</v>
      </c>
      <c r="D749" s="39" t="s">
        <v>14</v>
      </c>
      <c r="E749" s="40" t="s">
        <v>523</v>
      </c>
      <c r="F749" s="455">
        <v>22765</v>
      </c>
      <c r="G749" s="486" t="s">
        <v>611</v>
      </c>
      <c r="H749" s="226"/>
      <c r="I749" s="46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06">
        <v>46296</v>
      </c>
      <c r="B750" s="407" t="s">
        <v>30</v>
      </c>
      <c r="C750" s="484" t="s">
        <v>13</v>
      </c>
      <c r="D750" s="408" t="s">
        <v>14</v>
      </c>
      <c r="E750" s="405" t="s">
        <v>125</v>
      </c>
      <c r="F750" s="175">
        <v>22765</v>
      </c>
      <c r="G750" s="485" t="s">
        <v>611</v>
      </c>
      <c r="H750" s="409"/>
      <c r="I750" s="264">
        <v>1</v>
      </c>
      <c r="J750" s="264" t="s">
        <v>124</v>
      </c>
      <c r="K750" s="264" t="str">
        <f>IF(_xlfn.XLOOKUP($J750,Catalogo!$B$7:$B$210,Catalogo!$I$7:$I$210,"",0)=0,"",_xlfn.XLOOKUP($J750,Catalogo!$B$7:$B$210,Catalogo!$I$7:$I$210,"",0))</f>
        <v>SANIDAD Y ESPESORES</v>
      </c>
      <c r="L750" s="163"/>
      <c r="M750" s="41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32">
        <v>46296</v>
      </c>
      <c r="B751" s="116" t="s">
        <v>30</v>
      </c>
      <c r="C751" s="474" t="s">
        <v>13</v>
      </c>
      <c r="D751" s="39" t="s">
        <v>14</v>
      </c>
      <c r="E751" s="40" t="s">
        <v>128</v>
      </c>
      <c r="F751" s="455">
        <v>22765</v>
      </c>
      <c r="G751" s="486" t="s">
        <v>611</v>
      </c>
      <c r="H751" s="226"/>
      <c r="I751" s="46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06">
        <v>46296</v>
      </c>
      <c r="B752" s="407" t="s">
        <v>30</v>
      </c>
      <c r="C752" s="484" t="s">
        <v>13</v>
      </c>
      <c r="D752" s="408" t="s">
        <v>14</v>
      </c>
      <c r="E752" s="405" t="s">
        <v>132</v>
      </c>
      <c r="F752" s="175">
        <v>22765</v>
      </c>
      <c r="G752" s="485" t="s">
        <v>611</v>
      </c>
      <c r="H752" s="409"/>
      <c r="I752" s="264">
        <v>1</v>
      </c>
      <c r="J752" s="264" t="s">
        <v>131</v>
      </c>
      <c r="K752" s="264" t="str">
        <f>IF(_xlfn.XLOOKUP($J752,Catalogo!$B$7:$B$210,Catalogo!$I$7:$I$210,"",0)=0,"",_xlfn.XLOOKUP($J752,Catalogo!$B$7:$B$210,Catalogo!$I$7:$I$210,"",0))</f>
        <v>UT RECTO</v>
      </c>
      <c r="L752" s="163"/>
      <c r="M752" s="41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32">
        <v>46296</v>
      </c>
      <c r="B753" s="116" t="s">
        <v>30</v>
      </c>
      <c r="C753" s="474" t="s">
        <v>13</v>
      </c>
      <c r="D753" s="39" t="s">
        <v>14</v>
      </c>
      <c r="E753" s="40" t="s">
        <v>138</v>
      </c>
      <c r="F753" s="455">
        <v>22765</v>
      </c>
      <c r="G753" s="486" t="s">
        <v>611</v>
      </c>
      <c r="H753" s="226"/>
      <c r="I753" s="46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32">
        <v>46296</v>
      </c>
      <c r="B754" s="116" t="s">
        <v>30</v>
      </c>
      <c r="C754" s="474" t="s">
        <v>13</v>
      </c>
      <c r="D754" s="39" t="s">
        <v>14</v>
      </c>
      <c r="E754" s="40" t="s">
        <v>140</v>
      </c>
      <c r="F754" s="455">
        <v>22765</v>
      </c>
      <c r="G754" s="486" t="s">
        <v>611</v>
      </c>
      <c r="H754" s="226"/>
      <c r="I754" s="46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hidden="1" x14ac:dyDescent="0.25">
      <c r="A755" s="332"/>
      <c r="B755" s="116"/>
      <c r="C755" s="47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hidden="1" x14ac:dyDescent="0.25">
      <c r="A756" s="406">
        <v>46315</v>
      </c>
      <c r="B756" s="116" t="s">
        <v>30</v>
      </c>
      <c r="C756" s="47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6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hidden="1" x14ac:dyDescent="0.25">
      <c r="A757" s="406">
        <v>46315</v>
      </c>
      <c r="B757" s="116" t="s">
        <v>30</v>
      </c>
      <c r="C757" s="474" t="s">
        <v>13</v>
      </c>
      <c r="D757" s="39" t="s">
        <v>14</v>
      </c>
      <c r="E757" s="40" t="s">
        <v>523</v>
      </c>
      <c r="F757" s="204">
        <v>28512</v>
      </c>
      <c r="G757" s="28"/>
      <c r="H757" s="226"/>
      <c r="I757" s="26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hidden="1" x14ac:dyDescent="0.25">
      <c r="A758" s="406">
        <v>46315</v>
      </c>
      <c r="B758" s="116" t="s">
        <v>30</v>
      </c>
      <c r="C758" s="47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6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hidden="1" x14ac:dyDescent="0.25">
      <c r="A759" s="406">
        <v>46315</v>
      </c>
      <c r="B759" s="116" t="s">
        <v>30</v>
      </c>
      <c r="C759" s="47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6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hidden="1" x14ac:dyDescent="0.25">
      <c r="A760" s="406">
        <v>46315</v>
      </c>
      <c r="B760" s="116" t="s">
        <v>30</v>
      </c>
      <c r="C760" s="47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6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hidden="1" x14ac:dyDescent="0.25">
      <c r="A761" s="406">
        <v>46315</v>
      </c>
      <c r="B761" s="116" t="s">
        <v>30</v>
      </c>
      <c r="C761" s="47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6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hidden="1" x14ac:dyDescent="0.25">
      <c r="A762" s="406">
        <v>46315</v>
      </c>
      <c r="B762" s="116" t="s">
        <v>30</v>
      </c>
      <c r="C762" s="47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6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hidden="1" x14ac:dyDescent="0.25">
      <c r="A763" s="332"/>
      <c r="B763" s="116"/>
      <c r="C763" s="47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32">
        <v>46308</v>
      </c>
      <c r="B764" s="116" t="s">
        <v>30</v>
      </c>
      <c r="C764" s="474" t="s">
        <v>13</v>
      </c>
      <c r="D764" s="39" t="s">
        <v>14</v>
      </c>
      <c r="E764" s="40" t="s">
        <v>119</v>
      </c>
      <c r="F764" s="455">
        <v>28591</v>
      </c>
      <c r="G764" s="28" t="s">
        <v>610</v>
      </c>
      <c r="H764" s="226"/>
      <c r="I764" s="46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32">
        <v>46308</v>
      </c>
      <c r="B765" s="116" t="s">
        <v>30</v>
      </c>
      <c r="C765" s="474" t="s">
        <v>13</v>
      </c>
      <c r="D765" s="39" t="s">
        <v>14</v>
      </c>
      <c r="E765" s="40" t="s">
        <v>523</v>
      </c>
      <c r="F765" s="455">
        <v>28591</v>
      </c>
      <c r="G765" s="28" t="s">
        <v>610</v>
      </c>
      <c r="H765" s="226"/>
      <c r="I765" s="46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32">
        <v>46308</v>
      </c>
      <c r="B766" s="116" t="s">
        <v>30</v>
      </c>
      <c r="C766" s="474" t="s">
        <v>13</v>
      </c>
      <c r="D766" s="39" t="s">
        <v>14</v>
      </c>
      <c r="E766" s="40" t="s">
        <v>125</v>
      </c>
      <c r="F766" s="455">
        <v>28591</v>
      </c>
      <c r="G766" s="28" t="s">
        <v>610</v>
      </c>
      <c r="H766" s="226"/>
      <c r="I766" s="46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32">
        <v>46308</v>
      </c>
      <c r="B767" s="116" t="s">
        <v>30</v>
      </c>
      <c r="C767" s="474" t="s">
        <v>13</v>
      </c>
      <c r="D767" s="39" t="s">
        <v>14</v>
      </c>
      <c r="E767" s="40" t="s">
        <v>128</v>
      </c>
      <c r="F767" s="455">
        <v>28591</v>
      </c>
      <c r="G767" s="28" t="s">
        <v>610</v>
      </c>
      <c r="H767" s="226"/>
      <c r="I767" s="46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32">
        <v>46308</v>
      </c>
      <c r="B768" s="116" t="s">
        <v>30</v>
      </c>
      <c r="C768" s="474" t="s">
        <v>13</v>
      </c>
      <c r="D768" s="39" t="s">
        <v>14</v>
      </c>
      <c r="E768" s="40" t="s">
        <v>132</v>
      </c>
      <c r="F768" s="455">
        <v>28591</v>
      </c>
      <c r="G768" s="28" t="s">
        <v>610</v>
      </c>
      <c r="H768" s="226"/>
      <c r="I768" s="46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32">
        <v>46308</v>
      </c>
      <c r="B769" s="116" t="s">
        <v>30</v>
      </c>
      <c r="C769" s="474" t="s">
        <v>13</v>
      </c>
      <c r="D769" s="39" t="s">
        <v>14</v>
      </c>
      <c r="E769" s="40" t="s">
        <v>138</v>
      </c>
      <c r="F769" s="455">
        <v>28591</v>
      </c>
      <c r="G769" s="28" t="s">
        <v>610</v>
      </c>
      <c r="H769" s="226"/>
      <c r="I769" s="46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32">
        <v>46308</v>
      </c>
      <c r="B770" s="116" t="s">
        <v>30</v>
      </c>
      <c r="C770" s="474" t="s">
        <v>13</v>
      </c>
      <c r="D770" s="39" t="s">
        <v>14</v>
      </c>
      <c r="E770" s="40" t="s">
        <v>140</v>
      </c>
      <c r="F770" s="455">
        <v>28591</v>
      </c>
      <c r="G770" s="28" t="s">
        <v>610</v>
      </c>
      <c r="H770" s="226"/>
      <c r="I770" s="46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hidden="1" x14ac:dyDescent="0.25">
      <c r="A771" s="332"/>
      <c r="B771" s="116"/>
      <c r="C771" s="47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32">
        <v>46307</v>
      </c>
      <c r="B772" s="116" t="s">
        <v>30</v>
      </c>
      <c r="C772" s="474" t="s">
        <v>13</v>
      </c>
      <c r="D772" s="39" t="s">
        <v>50</v>
      </c>
      <c r="E772" s="40" t="s">
        <v>119</v>
      </c>
      <c r="F772" s="455">
        <v>5713.29</v>
      </c>
      <c r="G772" s="28" t="s">
        <v>610</v>
      </c>
      <c r="H772" s="226"/>
      <c r="I772" s="46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32">
        <v>46307</v>
      </c>
      <c r="B773" s="116" t="s">
        <v>30</v>
      </c>
      <c r="C773" s="474" t="s">
        <v>13</v>
      </c>
      <c r="D773" s="39" t="s">
        <v>50</v>
      </c>
      <c r="E773" s="40" t="s">
        <v>523</v>
      </c>
      <c r="F773" s="455">
        <v>5713.29</v>
      </c>
      <c r="G773" s="28" t="s">
        <v>610</v>
      </c>
      <c r="H773" s="226"/>
      <c r="I773" s="46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32">
        <v>46307</v>
      </c>
      <c r="B774" s="116" t="s">
        <v>30</v>
      </c>
      <c r="C774" s="474" t="s">
        <v>13</v>
      </c>
      <c r="D774" s="39" t="s">
        <v>50</v>
      </c>
      <c r="E774" s="40" t="s">
        <v>125</v>
      </c>
      <c r="F774" s="455">
        <v>5713.29</v>
      </c>
      <c r="G774" s="28" t="s">
        <v>610</v>
      </c>
      <c r="H774" s="226"/>
      <c r="I774" s="46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32">
        <v>46307</v>
      </c>
      <c r="B775" s="116" t="s">
        <v>30</v>
      </c>
      <c r="C775" s="474" t="s">
        <v>13</v>
      </c>
      <c r="D775" s="39" t="s">
        <v>50</v>
      </c>
      <c r="E775" s="40" t="s">
        <v>128</v>
      </c>
      <c r="F775" s="455">
        <v>5713.29</v>
      </c>
      <c r="G775" s="28" t="s">
        <v>610</v>
      </c>
      <c r="H775" s="226"/>
      <c r="I775" s="46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32">
        <v>46307</v>
      </c>
      <c r="B776" s="116" t="s">
        <v>30</v>
      </c>
      <c r="C776" s="474" t="s">
        <v>13</v>
      </c>
      <c r="D776" s="39" t="s">
        <v>50</v>
      </c>
      <c r="E776" s="40" t="s">
        <v>132</v>
      </c>
      <c r="F776" s="455">
        <v>5713.29</v>
      </c>
      <c r="G776" s="28" t="s">
        <v>610</v>
      </c>
      <c r="H776" s="226"/>
      <c r="I776" s="46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32">
        <v>46307</v>
      </c>
      <c r="B777" s="116" t="s">
        <v>30</v>
      </c>
      <c r="C777" s="474" t="s">
        <v>13</v>
      </c>
      <c r="D777" s="39" t="s">
        <v>50</v>
      </c>
      <c r="E777" s="40" t="s">
        <v>138</v>
      </c>
      <c r="F777" s="455">
        <v>5713.29</v>
      </c>
      <c r="G777" s="28" t="s">
        <v>610</v>
      </c>
      <c r="H777" s="226"/>
      <c r="I777" s="46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32">
        <v>46307</v>
      </c>
      <c r="B778" s="116" t="s">
        <v>30</v>
      </c>
      <c r="C778" s="474" t="s">
        <v>13</v>
      </c>
      <c r="D778" s="39" t="s">
        <v>50</v>
      </c>
      <c r="E778" s="40" t="s">
        <v>140</v>
      </c>
      <c r="F778" s="455">
        <v>5713.29</v>
      </c>
      <c r="G778" s="28" t="s">
        <v>610</v>
      </c>
      <c r="H778" s="226"/>
      <c r="I778" s="46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hidden="1" x14ac:dyDescent="0.25">
      <c r="A779" s="332"/>
      <c r="B779" s="116"/>
      <c r="C779" s="47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32">
        <v>46294</v>
      </c>
      <c r="B780" s="116" t="s">
        <v>30</v>
      </c>
      <c r="C780" s="474" t="s">
        <v>13</v>
      </c>
      <c r="D780" s="39" t="s">
        <v>65</v>
      </c>
      <c r="E780" s="40" t="s">
        <v>119</v>
      </c>
      <c r="F780" s="455">
        <v>9632</v>
      </c>
      <c r="G780" s="28" t="s">
        <v>610</v>
      </c>
      <c r="H780" s="226"/>
      <c r="I780" s="46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32">
        <v>46294</v>
      </c>
      <c r="B781" s="116" t="s">
        <v>30</v>
      </c>
      <c r="C781" s="474" t="s">
        <v>13</v>
      </c>
      <c r="D781" s="39" t="s">
        <v>65</v>
      </c>
      <c r="E781" s="40" t="s">
        <v>523</v>
      </c>
      <c r="F781" s="455">
        <v>9632</v>
      </c>
      <c r="G781" s="28" t="s">
        <v>610</v>
      </c>
      <c r="H781" s="226"/>
      <c r="I781" s="46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32">
        <v>46294</v>
      </c>
      <c r="B782" s="116" t="s">
        <v>30</v>
      </c>
      <c r="C782" s="474" t="s">
        <v>13</v>
      </c>
      <c r="D782" s="39" t="s">
        <v>65</v>
      </c>
      <c r="E782" s="40" t="s">
        <v>125</v>
      </c>
      <c r="F782" s="455">
        <v>9632</v>
      </c>
      <c r="G782" s="28" t="s">
        <v>610</v>
      </c>
      <c r="H782" s="226"/>
      <c r="I782" s="46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32">
        <v>46294</v>
      </c>
      <c r="B783" s="116" t="s">
        <v>30</v>
      </c>
      <c r="C783" s="474" t="s">
        <v>13</v>
      </c>
      <c r="D783" s="39" t="s">
        <v>65</v>
      </c>
      <c r="E783" s="40" t="s">
        <v>128</v>
      </c>
      <c r="F783" s="455">
        <v>9632</v>
      </c>
      <c r="G783" s="28" t="s">
        <v>610</v>
      </c>
      <c r="H783" s="226"/>
      <c r="I783" s="46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32">
        <v>46294</v>
      </c>
      <c r="B784" s="116" t="s">
        <v>30</v>
      </c>
      <c r="C784" s="474" t="s">
        <v>13</v>
      </c>
      <c r="D784" s="39" t="s">
        <v>65</v>
      </c>
      <c r="E784" s="40" t="s">
        <v>132</v>
      </c>
      <c r="F784" s="455">
        <v>9632</v>
      </c>
      <c r="G784" s="28" t="s">
        <v>610</v>
      </c>
      <c r="H784" s="226"/>
      <c r="I784" s="46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32">
        <v>46294</v>
      </c>
      <c r="B785" s="116" t="s">
        <v>30</v>
      </c>
      <c r="C785" s="474" t="s">
        <v>13</v>
      </c>
      <c r="D785" s="39" t="s">
        <v>65</v>
      </c>
      <c r="E785" s="40" t="s">
        <v>138</v>
      </c>
      <c r="F785" s="455">
        <v>9632</v>
      </c>
      <c r="G785" s="28" t="s">
        <v>610</v>
      </c>
      <c r="H785" s="226"/>
      <c r="I785" s="46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32">
        <v>46294</v>
      </c>
      <c r="B786" s="116" t="s">
        <v>30</v>
      </c>
      <c r="C786" s="474" t="s">
        <v>13</v>
      </c>
      <c r="D786" s="39" t="s">
        <v>65</v>
      </c>
      <c r="E786" s="40" t="s">
        <v>140</v>
      </c>
      <c r="F786" s="455">
        <v>9632</v>
      </c>
      <c r="G786" s="28" t="s">
        <v>610</v>
      </c>
      <c r="H786" s="226"/>
      <c r="I786" s="46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hidden="1" x14ac:dyDescent="0.25">
      <c r="A787" s="332"/>
      <c r="B787" s="116"/>
      <c r="C787" s="47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32">
        <v>46274</v>
      </c>
      <c r="B788" s="116" t="s">
        <v>30</v>
      </c>
      <c r="C788" s="474" t="s">
        <v>13</v>
      </c>
      <c r="D788" s="39" t="s">
        <v>71</v>
      </c>
      <c r="E788" s="40" t="s">
        <v>119</v>
      </c>
      <c r="F788" s="455">
        <v>7</v>
      </c>
      <c r="G788" s="28" t="s">
        <v>610</v>
      </c>
      <c r="H788" s="226"/>
      <c r="I788" s="46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32">
        <v>46274</v>
      </c>
      <c r="B789" s="116" t="s">
        <v>30</v>
      </c>
      <c r="C789" s="474" t="s">
        <v>13</v>
      </c>
      <c r="D789" s="39" t="s">
        <v>71</v>
      </c>
      <c r="E789" s="40" t="s">
        <v>523</v>
      </c>
      <c r="F789" s="455">
        <v>7</v>
      </c>
      <c r="G789" s="28" t="s">
        <v>610</v>
      </c>
      <c r="H789" s="226"/>
      <c r="I789" s="46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32">
        <v>46274</v>
      </c>
      <c r="B790" s="116" t="s">
        <v>30</v>
      </c>
      <c r="C790" s="474" t="s">
        <v>13</v>
      </c>
      <c r="D790" s="39" t="s">
        <v>71</v>
      </c>
      <c r="E790" s="40" t="s">
        <v>125</v>
      </c>
      <c r="F790" s="455">
        <v>7</v>
      </c>
      <c r="G790" s="28" t="s">
        <v>610</v>
      </c>
      <c r="H790" s="226"/>
      <c r="I790" s="46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32">
        <v>46274</v>
      </c>
      <c r="B791" s="116" t="s">
        <v>30</v>
      </c>
      <c r="C791" s="474" t="s">
        <v>13</v>
      </c>
      <c r="D791" s="39" t="s">
        <v>71</v>
      </c>
      <c r="E791" s="40" t="s">
        <v>128</v>
      </c>
      <c r="F791" s="455">
        <v>7</v>
      </c>
      <c r="G791" s="28" t="s">
        <v>610</v>
      </c>
      <c r="H791" s="226"/>
      <c r="I791" s="46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32">
        <v>46274</v>
      </c>
      <c r="B792" s="116" t="s">
        <v>30</v>
      </c>
      <c r="C792" s="474" t="s">
        <v>13</v>
      </c>
      <c r="D792" s="39" t="s">
        <v>71</v>
      </c>
      <c r="E792" s="40" t="s">
        <v>132</v>
      </c>
      <c r="F792" s="455">
        <v>7</v>
      </c>
      <c r="G792" s="28" t="s">
        <v>610</v>
      </c>
      <c r="H792" s="226"/>
      <c r="I792" s="46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32">
        <v>46274</v>
      </c>
      <c r="B793" s="116" t="s">
        <v>30</v>
      </c>
      <c r="C793" s="474" t="s">
        <v>13</v>
      </c>
      <c r="D793" s="39" t="s">
        <v>71</v>
      </c>
      <c r="E793" s="40" t="s">
        <v>136</v>
      </c>
      <c r="F793" s="455">
        <v>7</v>
      </c>
      <c r="G793" s="28" t="s">
        <v>610</v>
      </c>
      <c r="H793" s="226"/>
      <c r="I793" s="46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32">
        <v>46274</v>
      </c>
      <c r="B794" s="116" t="s">
        <v>30</v>
      </c>
      <c r="C794" s="474" t="s">
        <v>13</v>
      </c>
      <c r="D794" s="39" t="s">
        <v>71</v>
      </c>
      <c r="E794" s="40" t="s">
        <v>138</v>
      </c>
      <c r="F794" s="455">
        <v>7</v>
      </c>
      <c r="G794" s="28" t="s">
        <v>610</v>
      </c>
      <c r="H794" s="226"/>
      <c r="I794" s="46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32">
        <v>46274</v>
      </c>
      <c r="B795" s="116" t="s">
        <v>30</v>
      </c>
      <c r="C795" s="474" t="s">
        <v>13</v>
      </c>
      <c r="D795" s="39" t="s">
        <v>71</v>
      </c>
      <c r="E795" s="40" t="s">
        <v>140</v>
      </c>
      <c r="F795" s="455">
        <v>7</v>
      </c>
      <c r="G795" s="28" t="s">
        <v>610</v>
      </c>
      <c r="H795" s="226"/>
      <c r="I795" s="46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hidden="1" x14ac:dyDescent="0.25">
      <c r="A796" s="332"/>
      <c r="B796" s="116"/>
      <c r="C796" s="47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32">
        <v>46297</v>
      </c>
      <c r="B797" s="116" t="s">
        <v>30</v>
      </c>
      <c r="C797" s="474" t="s">
        <v>13</v>
      </c>
      <c r="D797" s="39" t="s">
        <v>46</v>
      </c>
      <c r="E797" s="40" t="s">
        <v>119</v>
      </c>
      <c r="F797" s="455">
        <v>271</v>
      </c>
      <c r="G797" s="28" t="s">
        <v>610</v>
      </c>
      <c r="H797" s="226"/>
      <c r="I797" s="46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32">
        <v>46297</v>
      </c>
      <c r="B798" s="116" t="s">
        <v>30</v>
      </c>
      <c r="C798" s="474" t="s">
        <v>13</v>
      </c>
      <c r="D798" s="39" t="s">
        <v>46</v>
      </c>
      <c r="E798" s="40" t="s">
        <v>523</v>
      </c>
      <c r="F798" s="455">
        <v>271</v>
      </c>
      <c r="G798" s="28" t="s">
        <v>610</v>
      </c>
      <c r="H798" s="226"/>
      <c r="I798" s="46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32">
        <v>46297</v>
      </c>
      <c r="B799" s="116" t="s">
        <v>30</v>
      </c>
      <c r="C799" s="474" t="s">
        <v>13</v>
      </c>
      <c r="D799" s="39" t="s">
        <v>46</v>
      </c>
      <c r="E799" s="40" t="s">
        <v>125</v>
      </c>
      <c r="F799" s="455">
        <v>271</v>
      </c>
      <c r="G799" s="28" t="s">
        <v>610</v>
      </c>
      <c r="H799" s="226"/>
      <c r="I799" s="46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32">
        <v>46297</v>
      </c>
      <c r="B800" s="116" t="s">
        <v>30</v>
      </c>
      <c r="C800" s="474" t="s">
        <v>13</v>
      </c>
      <c r="D800" s="39" t="s">
        <v>46</v>
      </c>
      <c r="E800" s="40" t="s">
        <v>128</v>
      </c>
      <c r="F800" s="455">
        <v>271</v>
      </c>
      <c r="G800" s="28" t="s">
        <v>610</v>
      </c>
      <c r="H800" s="226"/>
      <c r="I800" s="46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32">
        <v>46297</v>
      </c>
      <c r="B801" s="116" t="s">
        <v>30</v>
      </c>
      <c r="C801" s="474" t="s">
        <v>13</v>
      </c>
      <c r="D801" s="39" t="s">
        <v>46</v>
      </c>
      <c r="E801" s="40" t="s">
        <v>132</v>
      </c>
      <c r="F801" s="455">
        <v>271</v>
      </c>
      <c r="G801" s="28" t="s">
        <v>610</v>
      </c>
      <c r="H801" s="226"/>
      <c r="I801" s="46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32">
        <v>46297</v>
      </c>
      <c r="B802" s="116" t="s">
        <v>30</v>
      </c>
      <c r="C802" s="474" t="s">
        <v>13</v>
      </c>
      <c r="D802" s="39" t="s">
        <v>46</v>
      </c>
      <c r="E802" s="40" t="s">
        <v>138</v>
      </c>
      <c r="F802" s="455">
        <v>271</v>
      </c>
      <c r="G802" s="28" t="s">
        <v>610</v>
      </c>
      <c r="H802" s="226"/>
      <c r="I802" s="46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32">
        <v>46297</v>
      </c>
      <c r="B803" s="116" t="s">
        <v>30</v>
      </c>
      <c r="C803" s="474" t="s">
        <v>13</v>
      </c>
      <c r="D803" s="39" t="s">
        <v>46</v>
      </c>
      <c r="E803" s="40" t="s">
        <v>140</v>
      </c>
      <c r="F803" s="455">
        <v>271</v>
      </c>
      <c r="G803" s="28" t="s">
        <v>610</v>
      </c>
      <c r="H803" s="226"/>
      <c r="I803" s="46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hidden="1" x14ac:dyDescent="0.25">
      <c r="A804" s="332"/>
      <c r="B804" s="116"/>
      <c r="C804" s="47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32">
        <v>46282</v>
      </c>
      <c r="B805" s="116" t="s">
        <v>30</v>
      </c>
      <c r="C805" s="474" t="s">
        <v>13</v>
      </c>
      <c r="D805" s="39" t="s">
        <v>38</v>
      </c>
      <c r="E805" s="40" t="s">
        <v>119</v>
      </c>
      <c r="F805" s="455">
        <v>517</v>
      </c>
      <c r="G805" s="28" t="s">
        <v>610</v>
      </c>
      <c r="H805" s="226"/>
      <c r="I805" s="46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32">
        <v>46282</v>
      </c>
      <c r="B806" s="116" t="s">
        <v>30</v>
      </c>
      <c r="C806" s="474" t="s">
        <v>13</v>
      </c>
      <c r="D806" s="39" t="s">
        <v>38</v>
      </c>
      <c r="E806" s="40" t="s">
        <v>523</v>
      </c>
      <c r="F806" s="455">
        <v>517</v>
      </c>
      <c r="G806" s="28" t="s">
        <v>610</v>
      </c>
      <c r="H806" s="226"/>
      <c r="I806" s="46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32">
        <v>46282</v>
      </c>
      <c r="B807" s="116" t="s">
        <v>30</v>
      </c>
      <c r="C807" s="474" t="s">
        <v>13</v>
      </c>
      <c r="D807" s="39" t="s">
        <v>38</v>
      </c>
      <c r="E807" s="40" t="s">
        <v>125</v>
      </c>
      <c r="F807" s="455">
        <v>517</v>
      </c>
      <c r="G807" s="28" t="s">
        <v>610</v>
      </c>
      <c r="H807" s="226"/>
      <c r="I807" s="46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32">
        <v>46282</v>
      </c>
      <c r="B808" s="116" t="s">
        <v>30</v>
      </c>
      <c r="C808" s="474" t="s">
        <v>13</v>
      </c>
      <c r="D808" s="39" t="s">
        <v>38</v>
      </c>
      <c r="E808" s="40" t="s">
        <v>128</v>
      </c>
      <c r="F808" s="455">
        <v>517</v>
      </c>
      <c r="G808" s="28" t="s">
        <v>610</v>
      </c>
      <c r="H808" s="226"/>
      <c r="I808" s="46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32">
        <v>46282</v>
      </c>
      <c r="B809" s="116" t="s">
        <v>30</v>
      </c>
      <c r="C809" s="474" t="s">
        <v>13</v>
      </c>
      <c r="D809" s="39" t="s">
        <v>38</v>
      </c>
      <c r="E809" s="40" t="s">
        <v>132</v>
      </c>
      <c r="F809" s="455">
        <v>517</v>
      </c>
      <c r="G809" s="28" t="s">
        <v>610</v>
      </c>
      <c r="H809" s="226"/>
      <c r="I809" s="46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32">
        <v>46282</v>
      </c>
      <c r="B810" s="116" t="s">
        <v>30</v>
      </c>
      <c r="C810" s="474" t="s">
        <v>13</v>
      </c>
      <c r="D810" s="39" t="s">
        <v>38</v>
      </c>
      <c r="E810" s="40" t="s">
        <v>138</v>
      </c>
      <c r="F810" s="455">
        <v>517</v>
      </c>
      <c r="G810" s="28" t="s">
        <v>610</v>
      </c>
      <c r="H810" s="226"/>
      <c r="I810" s="46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32">
        <v>46282</v>
      </c>
      <c r="B811" s="116" t="s">
        <v>30</v>
      </c>
      <c r="C811" s="474" t="s">
        <v>13</v>
      </c>
      <c r="D811" s="39" t="s">
        <v>38</v>
      </c>
      <c r="E811" s="40" t="s">
        <v>140</v>
      </c>
      <c r="F811" s="455">
        <v>517</v>
      </c>
      <c r="G811" s="28" t="s">
        <v>610</v>
      </c>
      <c r="H811" s="226"/>
      <c r="I811" s="46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hidden="1" x14ac:dyDescent="0.25">
      <c r="A812" s="332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32">
        <v>46269</v>
      </c>
      <c r="B813" s="116" t="s">
        <v>30</v>
      </c>
      <c r="C813" s="475" t="s">
        <v>22</v>
      </c>
      <c r="D813" s="39" t="s">
        <v>35</v>
      </c>
      <c r="E813" s="40" t="s">
        <v>119</v>
      </c>
      <c r="F813" s="455">
        <v>1182</v>
      </c>
      <c r="G813" s="28" t="s">
        <v>610</v>
      </c>
      <c r="H813" s="226"/>
      <c r="I813" s="46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32">
        <v>46269</v>
      </c>
      <c r="B814" s="116" t="s">
        <v>30</v>
      </c>
      <c r="C814" s="475" t="s">
        <v>22</v>
      </c>
      <c r="D814" s="39" t="s">
        <v>35</v>
      </c>
      <c r="E814" s="40" t="s">
        <v>523</v>
      </c>
      <c r="F814" s="455">
        <v>1182</v>
      </c>
      <c r="G814" s="28" t="s">
        <v>610</v>
      </c>
      <c r="H814" s="226"/>
      <c r="I814" s="46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32">
        <v>46269</v>
      </c>
      <c r="B815" s="116" t="s">
        <v>30</v>
      </c>
      <c r="C815" s="475" t="s">
        <v>22</v>
      </c>
      <c r="D815" s="39" t="s">
        <v>35</v>
      </c>
      <c r="E815" s="40" t="s">
        <v>125</v>
      </c>
      <c r="F815" s="455">
        <v>1182</v>
      </c>
      <c r="G815" s="28" t="s">
        <v>610</v>
      </c>
      <c r="H815" s="226"/>
      <c r="I815" s="46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32">
        <v>46269</v>
      </c>
      <c r="B816" s="116" t="s">
        <v>30</v>
      </c>
      <c r="C816" s="475" t="s">
        <v>22</v>
      </c>
      <c r="D816" s="39" t="s">
        <v>35</v>
      </c>
      <c r="E816" s="40" t="s">
        <v>128</v>
      </c>
      <c r="F816" s="455">
        <v>1182</v>
      </c>
      <c r="G816" s="28" t="s">
        <v>610</v>
      </c>
      <c r="H816" s="226"/>
      <c r="I816" s="46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32">
        <v>46269</v>
      </c>
      <c r="B817" s="116" t="s">
        <v>30</v>
      </c>
      <c r="C817" s="475" t="s">
        <v>22</v>
      </c>
      <c r="D817" s="39" t="s">
        <v>35</v>
      </c>
      <c r="E817" s="40" t="s">
        <v>130</v>
      </c>
      <c r="F817" s="455">
        <v>1182</v>
      </c>
      <c r="G817" s="28" t="s">
        <v>610</v>
      </c>
      <c r="H817" s="226"/>
      <c r="I817" s="46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32">
        <v>46269</v>
      </c>
      <c r="B818" s="116" t="s">
        <v>30</v>
      </c>
      <c r="C818" s="475" t="s">
        <v>22</v>
      </c>
      <c r="D818" s="39" t="s">
        <v>35</v>
      </c>
      <c r="E818" s="40" t="s">
        <v>132</v>
      </c>
      <c r="F818" s="455">
        <v>1182</v>
      </c>
      <c r="G818" s="28" t="s">
        <v>610</v>
      </c>
      <c r="H818" s="226"/>
      <c r="I818" s="46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32">
        <v>46269</v>
      </c>
      <c r="B819" s="116" t="s">
        <v>30</v>
      </c>
      <c r="C819" s="475" t="s">
        <v>22</v>
      </c>
      <c r="D819" s="39" t="s">
        <v>35</v>
      </c>
      <c r="E819" s="40" t="s">
        <v>134</v>
      </c>
      <c r="F819" s="455">
        <v>1182</v>
      </c>
      <c r="G819" s="28" t="s">
        <v>610</v>
      </c>
      <c r="H819" s="226"/>
      <c r="I819" s="46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32">
        <v>46269</v>
      </c>
      <c r="B820" s="116" t="s">
        <v>30</v>
      </c>
      <c r="C820" s="475" t="s">
        <v>22</v>
      </c>
      <c r="D820" s="39" t="s">
        <v>35</v>
      </c>
      <c r="E820" s="40" t="s">
        <v>136</v>
      </c>
      <c r="F820" s="455">
        <v>1182</v>
      </c>
      <c r="G820" s="28" t="s">
        <v>610</v>
      </c>
      <c r="H820" s="226"/>
      <c r="I820" s="46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32">
        <v>46269</v>
      </c>
      <c r="B821" s="116" t="s">
        <v>30</v>
      </c>
      <c r="C821" s="475" t="s">
        <v>22</v>
      </c>
      <c r="D821" s="39" t="s">
        <v>35</v>
      </c>
      <c r="E821" s="40" t="s">
        <v>138</v>
      </c>
      <c r="F821" s="455">
        <v>1182</v>
      </c>
      <c r="G821" s="28" t="s">
        <v>610</v>
      </c>
      <c r="H821" s="226"/>
      <c r="I821" s="46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32">
        <v>46269</v>
      </c>
      <c r="B822" s="116" t="s">
        <v>30</v>
      </c>
      <c r="C822" s="475" t="s">
        <v>22</v>
      </c>
      <c r="D822" s="39" t="s">
        <v>35</v>
      </c>
      <c r="E822" s="40" t="s">
        <v>140</v>
      </c>
      <c r="F822" s="455">
        <v>1182</v>
      </c>
      <c r="G822" s="28" t="s">
        <v>610</v>
      </c>
      <c r="H822" s="226"/>
      <c r="I822" s="46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hidden="1" x14ac:dyDescent="0.25">
      <c r="A823" s="332"/>
      <c r="B823" s="116"/>
      <c r="C823" s="47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32">
        <v>46272</v>
      </c>
      <c r="B824" s="116" t="s">
        <v>30</v>
      </c>
      <c r="C824" s="475" t="s">
        <v>22</v>
      </c>
      <c r="D824" s="39" t="s">
        <v>74</v>
      </c>
      <c r="E824" s="40" t="s">
        <v>119</v>
      </c>
      <c r="F824" s="455">
        <v>7</v>
      </c>
      <c r="G824" s="28" t="s">
        <v>610</v>
      </c>
      <c r="H824" s="226"/>
      <c r="I824" s="46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32">
        <v>46272</v>
      </c>
      <c r="B825" s="116" t="s">
        <v>30</v>
      </c>
      <c r="C825" s="475" t="s">
        <v>22</v>
      </c>
      <c r="D825" s="39" t="s">
        <v>74</v>
      </c>
      <c r="E825" s="40" t="s">
        <v>523</v>
      </c>
      <c r="F825" s="455">
        <v>7</v>
      </c>
      <c r="G825" s="28" t="s">
        <v>610</v>
      </c>
      <c r="H825" s="226"/>
      <c r="I825" s="46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32">
        <v>46272</v>
      </c>
      <c r="B826" s="116" t="s">
        <v>30</v>
      </c>
      <c r="C826" s="475" t="s">
        <v>22</v>
      </c>
      <c r="D826" s="39" t="s">
        <v>74</v>
      </c>
      <c r="E826" s="40" t="s">
        <v>125</v>
      </c>
      <c r="F826" s="455">
        <v>7</v>
      </c>
      <c r="G826" s="28" t="s">
        <v>610</v>
      </c>
      <c r="H826" s="226"/>
      <c r="I826" s="46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32">
        <v>46272</v>
      </c>
      <c r="B827" s="116" t="s">
        <v>30</v>
      </c>
      <c r="C827" s="475" t="s">
        <v>22</v>
      </c>
      <c r="D827" s="39" t="s">
        <v>74</v>
      </c>
      <c r="E827" s="40" t="s">
        <v>128</v>
      </c>
      <c r="F827" s="455">
        <v>7</v>
      </c>
      <c r="G827" s="28" t="s">
        <v>610</v>
      </c>
      <c r="H827" s="226"/>
      <c r="I827" s="46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32">
        <v>46272</v>
      </c>
      <c r="B828" s="116" t="s">
        <v>30</v>
      </c>
      <c r="C828" s="475" t="s">
        <v>22</v>
      </c>
      <c r="D828" s="39" t="s">
        <v>74</v>
      </c>
      <c r="E828" s="40" t="s">
        <v>132</v>
      </c>
      <c r="F828" s="455">
        <v>7</v>
      </c>
      <c r="G828" s="28" t="s">
        <v>610</v>
      </c>
      <c r="H828" s="226"/>
      <c r="I828" s="46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32">
        <v>46272</v>
      </c>
      <c r="B829" s="116" t="s">
        <v>30</v>
      </c>
      <c r="C829" s="475" t="s">
        <v>22</v>
      </c>
      <c r="D829" s="39" t="s">
        <v>74</v>
      </c>
      <c r="E829" s="40" t="s">
        <v>138</v>
      </c>
      <c r="F829" s="455">
        <v>7</v>
      </c>
      <c r="G829" s="28" t="s">
        <v>610</v>
      </c>
      <c r="H829" s="226"/>
      <c r="I829" s="46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32">
        <v>46272</v>
      </c>
      <c r="B830" s="116" t="s">
        <v>30</v>
      </c>
      <c r="C830" s="475" t="s">
        <v>22</v>
      </c>
      <c r="D830" s="39" t="s">
        <v>74</v>
      </c>
      <c r="E830" s="40" t="s">
        <v>140</v>
      </c>
      <c r="F830" s="455">
        <v>7</v>
      </c>
      <c r="G830" s="28" t="s">
        <v>610</v>
      </c>
      <c r="H830" s="226"/>
      <c r="I830" s="46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hidden="1" x14ac:dyDescent="0.25">
      <c r="A831" s="332"/>
      <c r="B831" s="116"/>
      <c r="C831" s="47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32">
        <v>46272</v>
      </c>
      <c r="B832" s="116" t="s">
        <v>30</v>
      </c>
      <c r="C832" s="475" t="s">
        <v>22</v>
      </c>
      <c r="D832" s="39" t="s">
        <v>74</v>
      </c>
      <c r="E832" s="40" t="s">
        <v>119</v>
      </c>
      <c r="F832" s="455">
        <v>28</v>
      </c>
      <c r="G832" s="28" t="s">
        <v>610</v>
      </c>
      <c r="H832" s="226"/>
      <c r="I832" s="46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32">
        <v>46272</v>
      </c>
      <c r="B833" s="116" t="s">
        <v>30</v>
      </c>
      <c r="C833" s="475" t="s">
        <v>22</v>
      </c>
      <c r="D833" s="39" t="s">
        <v>74</v>
      </c>
      <c r="E833" s="40" t="s">
        <v>523</v>
      </c>
      <c r="F833" s="455">
        <v>28</v>
      </c>
      <c r="G833" s="28" t="s">
        <v>610</v>
      </c>
      <c r="H833" s="226"/>
      <c r="I833" s="46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32">
        <v>46272</v>
      </c>
      <c r="B834" s="116" t="s">
        <v>30</v>
      </c>
      <c r="C834" s="475" t="s">
        <v>22</v>
      </c>
      <c r="D834" s="39" t="s">
        <v>74</v>
      </c>
      <c r="E834" s="40" t="s">
        <v>125</v>
      </c>
      <c r="F834" s="455">
        <v>28</v>
      </c>
      <c r="G834" s="28" t="s">
        <v>610</v>
      </c>
      <c r="H834" s="226"/>
      <c r="I834" s="46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32">
        <v>46272</v>
      </c>
      <c r="B835" s="116" t="s">
        <v>30</v>
      </c>
      <c r="C835" s="475" t="s">
        <v>22</v>
      </c>
      <c r="D835" s="39" t="s">
        <v>74</v>
      </c>
      <c r="E835" s="40" t="s">
        <v>128</v>
      </c>
      <c r="F835" s="455">
        <v>28</v>
      </c>
      <c r="G835" s="28" t="s">
        <v>610</v>
      </c>
      <c r="H835" s="226"/>
      <c r="I835" s="46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32">
        <v>46272</v>
      </c>
      <c r="B836" s="116" t="s">
        <v>30</v>
      </c>
      <c r="C836" s="475" t="s">
        <v>22</v>
      </c>
      <c r="D836" s="39" t="s">
        <v>74</v>
      </c>
      <c r="E836" s="40" t="s">
        <v>130</v>
      </c>
      <c r="F836" s="455">
        <v>28</v>
      </c>
      <c r="G836" s="28" t="s">
        <v>610</v>
      </c>
      <c r="H836" s="226"/>
      <c r="I836" s="46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32">
        <v>46272</v>
      </c>
      <c r="B837" s="116" t="s">
        <v>30</v>
      </c>
      <c r="C837" s="475" t="s">
        <v>22</v>
      </c>
      <c r="D837" s="39" t="s">
        <v>74</v>
      </c>
      <c r="E837" s="40" t="s">
        <v>132</v>
      </c>
      <c r="F837" s="455">
        <v>28</v>
      </c>
      <c r="G837" s="28" t="s">
        <v>610</v>
      </c>
      <c r="H837" s="226"/>
      <c r="I837" s="46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32">
        <v>46272</v>
      </c>
      <c r="B838" s="116" t="s">
        <v>30</v>
      </c>
      <c r="C838" s="475" t="s">
        <v>22</v>
      </c>
      <c r="D838" s="39" t="s">
        <v>74</v>
      </c>
      <c r="E838" s="40" t="s">
        <v>134</v>
      </c>
      <c r="F838" s="455">
        <v>28</v>
      </c>
      <c r="G838" s="28" t="s">
        <v>610</v>
      </c>
      <c r="H838" s="226"/>
      <c r="I838" s="46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32">
        <v>46272</v>
      </c>
      <c r="B839" s="116" t="s">
        <v>30</v>
      </c>
      <c r="C839" s="475" t="s">
        <v>22</v>
      </c>
      <c r="D839" s="39" t="s">
        <v>74</v>
      </c>
      <c r="E839" s="40" t="s">
        <v>136</v>
      </c>
      <c r="F839" s="455">
        <v>28</v>
      </c>
      <c r="G839" s="28" t="s">
        <v>610</v>
      </c>
      <c r="H839" s="226"/>
      <c r="I839" s="46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32">
        <v>46272</v>
      </c>
      <c r="B840" s="116" t="s">
        <v>30</v>
      </c>
      <c r="C840" s="475" t="s">
        <v>22</v>
      </c>
      <c r="D840" s="39" t="s">
        <v>74</v>
      </c>
      <c r="E840" s="40" t="s">
        <v>138</v>
      </c>
      <c r="F840" s="455">
        <v>28</v>
      </c>
      <c r="G840" s="28" t="s">
        <v>610</v>
      </c>
      <c r="H840" s="226"/>
      <c r="I840" s="46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32">
        <v>46272</v>
      </c>
      <c r="B841" s="116" t="s">
        <v>30</v>
      </c>
      <c r="C841" s="475" t="s">
        <v>22</v>
      </c>
      <c r="D841" s="39" t="s">
        <v>74</v>
      </c>
      <c r="E841" s="40" t="s">
        <v>140</v>
      </c>
      <c r="F841" s="455">
        <v>28</v>
      </c>
      <c r="G841" s="28" t="s">
        <v>610</v>
      </c>
      <c r="H841" s="226"/>
      <c r="I841" s="46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hidden="1" x14ac:dyDescent="0.25">
      <c r="A842" s="332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hidden="1" x14ac:dyDescent="0.25">
      <c r="A843" s="334"/>
      <c r="B843" s="265"/>
      <c r="C843" s="266"/>
      <c r="D843" s="267"/>
      <c r="E843" s="349"/>
      <c r="F843" s="268"/>
      <c r="G843" s="268"/>
      <c r="H843" s="477" t="str">
        <f>IF(Tabla1[[#This Row],[Codigo_actividad]]&lt;&gt;2.5,IF(((Tabla1[[#This Row],[fin]]-Tabla1[[#This Row],[inicio]])/1000)=0,"",((Tabla1[[#This Row],[fin]]-Tabla1[[#This Row],[inicio]])/1000)),"")</f>
        <v/>
      </c>
      <c r="I843" s="478"/>
      <c r="J843" s="478"/>
      <c r="K843" s="478" t="str">
        <f>IF(_xlfn.XLOOKUP($J843,Catalogo!$B$7:$B$21,Catalogo!$I$7:$I$21,"",0)=0,"",_xlfn.XLOOKUP($J843,Catalogo!$B$7:$B$21,Catalogo!$I$7:$I$21,"",0))</f>
        <v/>
      </c>
      <c r="L843" s="479"/>
      <c r="M843" s="480">
        <f>IF(Tabla1[[#This Row],[Avance_km]]&lt;&gt;"",Tabla1[[#This Row],[Avance_km]],Tabla1[[#This Row],[Avance_Med]])*_xlfn.XLOOKUP(Tabla1[[#This Row],[Codigo_actividad]],Catalogo!$B$6:$B$51,Catalogo!$F$6:$F$51,0)</f>
        <v>0</v>
      </c>
      <c r="N843" s="481" t="str">
        <f>_xlfn.IFNA(_xlfn.XLOOKUP(Tabla1[[#This Row],[fin]],$P$379:$P$398,$T$379:$T$398),"")</f>
        <v/>
      </c>
    </row>
    <row r="844" spans="1:16" hidden="1" x14ac:dyDescent="0.25">
      <c r="A844" s="332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32">
        <v>46297</v>
      </c>
      <c r="B845" s="116" t="s">
        <v>30</v>
      </c>
      <c r="C845" s="476" t="s">
        <v>404</v>
      </c>
      <c r="D845" s="39" t="s">
        <v>351</v>
      </c>
      <c r="E845" s="40" t="s">
        <v>523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32">
        <v>46297</v>
      </c>
      <c r="B846" s="116" t="s">
        <v>30</v>
      </c>
      <c r="C846" s="476" t="s">
        <v>404</v>
      </c>
      <c r="D846" s="39" t="s">
        <v>351</v>
      </c>
      <c r="E846" s="40" t="s">
        <v>125</v>
      </c>
      <c r="F846" s="455">
        <v>3564</v>
      </c>
      <c r="G846" s="28" t="s">
        <v>610</v>
      </c>
      <c r="H846" s="226"/>
      <c r="I846" s="46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32">
        <v>46297</v>
      </c>
      <c r="B847" s="116" t="s">
        <v>30</v>
      </c>
      <c r="C847" s="476" t="s">
        <v>404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32">
        <v>46297</v>
      </c>
      <c r="B848" s="116" t="s">
        <v>30</v>
      </c>
      <c r="C848" s="476" t="s">
        <v>404</v>
      </c>
      <c r="D848" s="39" t="s">
        <v>351</v>
      </c>
      <c r="E848" s="40" t="s">
        <v>132</v>
      </c>
      <c r="F848" s="455">
        <v>3564</v>
      </c>
      <c r="G848" s="28" t="s">
        <v>610</v>
      </c>
      <c r="H848" s="226"/>
      <c r="I848" s="46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hidden="1" x14ac:dyDescent="0.25">
      <c r="A849" s="332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hidden="1" x14ac:dyDescent="0.25">
      <c r="A850" s="334"/>
      <c r="B850" s="265"/>
      <c r="C850" s="266"/>
      <c r="D850" s="267"/>
      <c r="E850" s="349"/>
      <c r="F850" s="268"/>
      <c r="G850" s="268"/>
      <c r="H850" s="477" t="str">
        <f>IF(Tabla1[[#This Row],[Codigo_actividad]]&lt;&gt;2.5,IF(((Tabla1[[#This Row],[fin]]-Tabla1[[#This Row],[inicio]])/1000)=0,"",((Tabla1[[#This Row],[fin]]-Tabla1[[#This Row],[inicio]])/1000)),"")</f>
        <v/>
      </c>
      <c r="I850" s="478"/>
      <c r="J850" s="478"/>
      <c r="K850" s="478" t="str">
        <f>IF(_xlfn.XLOOKUP($J850,Catalogo!$B$7:$B$21,Catalogo!$I$7:$I$21,"",0)=0,"",_xlfn.XLOOKUP($J850,Catalogo!$B$7:$B$21,Catalogo!$I$7:$I$21,"",0))</f>
        <v/>
      </c>
      <c r="L850" s="479"/>
      <c r="M850" s="480">
        <f>IF(Tabla1[[#This Row],[Avance_km]]&lt;&gt;"",Tabla1[[#This Row],[Avance_km]],Tabla1[[#This Row],[Avance_Med]])*_xlfn.XLOOKUP(Tabla1[[#This Row],[Codigo_actividad]],Catalogo!$B$6:$B$51,Catalogo!$F$6:$F$51,0)</f>
        <v>0</v>
      </c>
      <c r="N850" s="481" t="str">
        <f>_xlfn.IFNA(_xlfn.XLOOKUP(Tabla1[[#This Row],[fin]],$P$379:$P$398,$T$379:$T$398),"")</f>
        <v/>
      </c>
    </row>
    <row r="851" spans="1:18" hidden="1" x14ac:dyDescent="0.25">
      <c r="A851" s="332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48">
        <f>+SUM(M852:M865)</f>
        <v>682944.57</v>
      </c>
      <c r="Q851">
        <v>3</v>
      </c>
    </row>
    <row r="852" spans="1:18" x14ac:dyDescent="0.25">
      <c r="A852" s="332">
        <v>46259</v>
      </c>
      <c r="B852" s="116" t="s">
        <v>12</v>
      </c>
      <c r="C852" s="157" t="s">
        <v>404</v>
      </c>
      <c r="D852" s="39" t="s">
        <v>351</v>
      </c>
      <c r="E852" s="40" t="s">
        <v>556</v>
      </c>
      <c r="F852" s="455">
        <v>0</v>
      </c>
      <c r="G852" s="455">
        <v>47584</v>
      </c>
      <c r="H852" s="46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24" t="s">
        <v>547</v>
      </c>
      <c r="M852" s="44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39">
        <v>58</v>
      </c>
      <c r="P852" s="448" t="e">
        <f>+#REF!-P851</f>
        <v>#REF!</v>
      </c>
    </row>
    <row r="853" spans="1:18" x14ac:dyDescent="0.25">
      <c r="A853" s="332">
        <v>46259</v>
      </c>
      <c r="B853" s="116" t="s">
        <v>29</v>
      </c>
      <c r="C853" s="157" t="s">
        <v>329</v>
      </c>
      <c r="D853" s="39" t="s">
        <v>212</v>
      </c>
      <c r="E853" s="40" t="s">
        <v>556</v>
      </c>
      <c r="F853" s="455">
        <v>0</v>
      </c>
      <c r="G853" s="455">
        <v>16250</v>
      </c>
      <c r="H853" s="46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24" t="s">
        <v>547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39">
        <v>17</v>
      </c>
    </row>
    <row r="854" spans="1:18" x14ac:dyDescent="0.25">
      <c r="A854" s="332">
        <v>46260</v>
      </c>
      <c r="B854" s="116" t="s">
        <v>12</v>
      </c>
      <c r="C854" s="157" t="s">
        <v>553</v>
      </c>
      <c r="D854" s="39" t="s">
        <v>521</v>
      </c>
      <c r="E854" s="40" t="s">
        <v>556</v>
      </c>
      <c r="F854" s="455">
        <v>0</v>
      </c>
      <c r="G854" s="455">
        <v>16000</v>
      </c>
      <c r="H854" s="46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24" t="s">
        <v>547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39">
        <v>12</v>
      </c>
    </row>
    <row r="855" spans="1:18" x14ac:dyDescent="0.25">
      <c r="A855" s="332">
        <v>46260</v>
      </c>
      <c r="B855" s="116" t="s">
        <v>29</v>
      </c>
      <c r="C855" s="157" t="s">
        <v>329</v>
      </c>
      <c r="D855" s="39" t="s">
        <v>212</v>
      </c>
      <c r="E855" s="40" t="s">
        <v>556</v>
      </c>
      <c r="F855" s="455">
        <v>16250</v>
      </c>
      <c r="G855" s="455">
        <v>27250</v>
      </c>
      <c r="H855" s="46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24" t="s">
        <v>547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39">
        <v>25</v>
      </c>
    </row>
    <row r="856" spans="1:18" x14ac:dyDescent="0.25">
      <c r="A856" s="332">
        <v>46260</v>
      </c>
      <c r="B856" s="116" t="s">
        <v>29</v>
      </c>
      <c r="C856" s="157" t="s">
        <v>329</v>
      </c>
      <c r="D856" s="39" t="s">
        <v>225</v>
      </c>
      <c r="E856" s="40" t="s">
        <v>556</v>
      </c>
      <c r="F856" s="455">
        <v>0</v>
      </c>
      <c r="G856" s="455">
        <v>5970</v>
      </c>
      <c r="H856" s="46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24" t="s">
        <v>547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39">
        <v>10</v>
      </c>
    </row>
    <row r="857" spans="1:18" x14ac:dyDescent="0.25">
      <c r="A857" s="332">
        <v>46261</v>
      </c>
      <c r="B857" s="116" t="s">
        <v>12</v>
      </c>
      <c r="C857" s="157" t="s">
        <v>329</v>
      </c>
      <c r="D857" s="39" t="s">
        <v>212</v>
      </c>
      <c r="E857" s="40" t="s">
        <v>556</v>
      </c>
      <c r="F857" s="455" t="s">
        <v>522</v>
      </c>
      <c r="G857" s="455"/>
      <c r="H857" s="46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24" t="s">
        <v>547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39">
        <v>30</v>
      </c>
    </row>
    <row r="858" spans="1:18" x14ac:dyDescent="0.25">
      <c r="A858" s="332">
        <v>46261</v>
      </c>
      <c r="B858" s="116" t="s">
        <v>29</v>
      </c>
      <c r="C858" s="157" t="s">
        <v>329</v>
      </c>
      <c r="D858" s="39" t="s">
        <v>212</v>
      </c>
      <c r="E858" s="40" t="s">
        <v>556</v>
      </c>
      <c r="F858" s="455">
        <v>22250</v>
      </c>
      <c r="G858" s="455"/>
      <c r="H858" s="46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24" t="s">
        <v>547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39">
        <v>5</v>
      </c>
      <c r="P858" t="s">
        <v>547</v>
      </c>
      <c r="Q858" t="s">
        <v>548</v>
      </c>
      <c r="R858" t="s">
        <v>549</v>
      </c>
    </row>
    <row r="859" spans="1:18" hidden="1" x14ac:dyDescent="0.25">
      <c r="A859" s="332"/>
      <c r="B859" s="116"/>
      <c r="C859" s="157"/>
      <c r="D859" s="39"/>
      <c r="F859" s="28"/>
      <c r="G859" s="28"/>
      <c r="H859" s="342"/>
      <c r="I859" s="34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32">
        <v>46269</v>
      </c>
      <c r="B860" s="116" t="s">
        <v>12</v>
      </c>
      <c r="C860" s="157" t="s">
        <v>13</v>
      </c>
      <c r="D860" s="39" t="s">
        <v>13</v>
      </c>
      <c r="E860" s="40" t="s">
        <v>557</v>
      </c>
      <c r="F860" s="455" t="s">
        <v>635</v>
      </c>
      <c r="G860" s="455" t="s">
        <v>635</v>
      </c>
      <c r="H860" s="46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24" t="s">
        <v>547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39">
        <v>39</v>
      </c>
    </row>
    <row r="861" spans="1:18" x14ac:dyDescent="0.25">
      <c r="A861" s="332">
        <v>46269</v>
      </c>
      <c r="B861" s="116" t="s">
        <v>29</v>
      </c>
      <c r="C861" s="157" t="s">
        <v>22</v>
      </c>
      <c r="D861" s="39" t="s">
        <v>22</v>
      </c>
      <c r="E861" s="40" t="s">
        <v>557</v>
      </c>
      <c r="F861" s="455" t="s">
        <v>635</v>
      </c>
      <c r="G861" s="455" t="s">
        <v>635</v>
      </c>
      <c r="H861" s="46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24" t="s">
        <v>547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39">
        <v>51</v>
      </c>
    </row>
    <row r="862" spans="1:18" x14ac:dyDescent="0.25">
      <c r="A862" s="332">
        <v>46270</v>
      </c>
      <c r="B862" s="116" t="s">
        <v>12</v>
      </c>
      <c r="C862" s="157" t="s">
        <v>13</v>
      </c>
      <c r="D862" s="39" t="s">
        <v>13</v>
      </c>
      <c r="E862" s="40" t="s">
        <v>557</v>
      </c>
      <c r="F862" s="455" t="s">
        <v>635</v>
      </c>
      <c r="G862" s="455" t="s">
        <v>635</v>
      </c>
      <c r="H862" s="46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24" t="s">
        <v>547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39">
        <v>25</v>
      </c>
    </row>
    <row r="863" spans="1:18" x14ac:dyDescent="0.25">
      <c r="A863" s="332">
        <v>46270</v>
      </c>
      <c r="B863" s="116" t="s">
        <v>29</v>
      </c>
      <c r="C863" s="157" t="s">
        <v>22</v>
      </c>
      <c r="D863" s="39" t="s">
        <v>22</v>
      </c>
      <c r="E863" s="40" t="s">
        <v>557</v>
      </c>
      <c r="F863" s="455" t="s">
        <v>635</v>
      </c>
      <c r="G863" s="455" t="s">
        <v>635</v>
      </c>
      <c r="H863" s="46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24" t="s">
        <v>547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39">
        <v>25</v>
      </c>
    </row>
    <row r="864" spans="1:18" x14ac:dyDescent="0.25">
      <c r="A864" s="332">
        <v>46282</v>
      </c>
      <c r="B864" s="116" t="s">
        <v>12</v>
      </c>
      <c r="C864" s="157" t="s">
        <v>528</v>
      </c>
      <c r="D864" s="39" t="s">
        <v>528</v>
      </c>
      <c r="E864" s="40" t="s">
        <v>557</v>
      </c>
      <c r="F864" s="455" t="s">
        <v>635</v>
      </c>
      <c r="G864" s="455" t="s">
        <v>635</v>
      </c>
      <c r="H864" s="46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24" t="s">
        <v>547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39">
        <v>22</v>
      </c>
    </row>
    <row r="865" spans="1:16" x14ac:dyDescent="0.25">
      <c r="A865" s="332">
        <v>46283</v>
      </c>
      <c r="B865" s="116" t="s">
        <v>12</v>
      </c>
      <c r="C865" s="157" t="s">
        <v>528</v>
      </c>
      <c r="D865" s="39" t="s">
        <v>528</v>
      </c>
      <c r="E865" s="40" t="s">
        <v>557</v>
      </c>
      <c r="F865" s="455" t="s">
        <v>635</v>
      </c>
      <c r="G865" s="455" t="s">
        <v>635</v>
      </c>
      <c r="H865" s="46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24" t="s">
        <v>547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39">
        <v>38</v>
      </c>
    </row>
    <row r="866" spans="1:16" hidden="1" x14ac:dyDescent="0.25">
      <c r="A866" s="332"/>
      <c r="B866" s="116"/>
      <c r="C866" s="157"/>
      <c r="D866" s="39"/>
      <c r="F866" s="28"/>
      <c r="G866" s="28"/>
      <c r="H866" s="342" t="str">
        <f>IF(Tabla1[[#This Row],[Codigo_actividad]]&lt;&gt;2.5,IF(((Tabla1[[#This Row],[fin]]-Tabla1[[#This Row],[inicio]])/1000)=0,"",((Tabla1[[#This Row],[fin]]-Tabla1[[#This Row],[inicio]])/1000)),"")</f>
        <v/>
      </c>
      <c r="I866" s="34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32">
        <v>46315</v>
      </c>
      <c r="B867" s="201" t="s">
        <v>12</v>
      </c>
      <c r="C867" s="202" t="s">
        <v>13</v>
      </c>
      <c r="D867" s="203" t="s">
        <v>642</v>
      </c>
      <c r="E867" s="348" t="s">
        <v>529</v>
      </c>
      <c r="F867" s="455" t="s">
        <v>635</v>
      </c>
      <c r="G867" s="455" t="s">
        <v>635</v>
      </c>
      <c r="H867" s="46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548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39">
        <v>14</v>
      </c>
      <c r="P867">
        <f>115-SUM(N867:N870)</f>
        <v>101</v>
      </c>
    </row>
    <row r="868" spans="1:16" hidden="1" x14ac:dyDescent="0.25">
      <c r="A868" s="332"/>
      <c r="B868" s="201" t="s">
        <v>29</v>
      </c>
      <c r="C868" s="202" t="s">
        <v>22</v>
      </c>
      <c r="D868" s="203" t="s">
        <v>642</v>
      </c>
      <c r="E868" s="348" t="s">
        <v>529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548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40"/>
    </row>
    <row r="869" spans="1:16" hidden="1" x14ac:dyDescent="0.25">
      <c r="A869" s="332"/>
      <c r="B869" s="201" t="s">
        <v>12</v>
      </c>
      <c r="C869" s="202" t="s">
        <v>13</v>
      </c>
      <c r="D869" s="203" t="s">
        <v>642</v>
      </c>
      <c r="E869" s="348" t="s">
        <v>529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548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40"/>
    </row>
    <row r="870" spans="1:16" hidden="1" x14ac:dyDescent="0.25">
      <c r="A870" s="332"/>
      <c r="B870" s="201" t="s">
        <v>29</v>
      </c>
      <c r="C870" s="202" t="s">
        <v>22</v>
      </c>
      <c r="D870" s="203" t="s">
        <v>642</v>
      </c>
      <c r="E870" s="348" t="s">
        <v>529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548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40"/>
    </row>
    <row r="871" spans="1:16" x14ac:dyDescent="0.25">
      <c r="A871" s="332">
        <v>46314</v>
      </c>
      <c r="B871" s="201" t="s">
        <v>12</v>
      </c>
      <c r="C871" s="202" t="s">
        <v>528</v>
      </c>
      <c r="D871" s="203" t="s">
        <v>528</v>
      </c>
      <c r="E871" s="348" t="s">
        <v>529</v>
      </c>
      <c r="F871" s="455" t="s">
        <v>635</v>
      </c>
      <c r="G871" s="455" t="s">
        <v>635</v>
      </c>
      <c r="H871" s="46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548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39">
        <v>15</v>
      </c>
    </row>
    <row r="872" spans="1:16" x14ac:dyDescent="0.25">
      <c r="A872" s="332">
        <v>46315</v>
      </c>
      <c r="B872" s="201" t="s">
        <v>29</v>
      </c>
      <c r="C872" s="202" t="s">
        <v>528</v>
      </c>
      <c r="D872" s="203" t="s">
        <v>528</v>
      </c>
      <c r="E872" s="348" t="s">
        <v>529</v>
      </c>
      <c r="F872" s="455" t="s">
        <v>635</v>
      </c>
      <c r="G872" s="455" t="s">
        <v>635</v>
      </c>
      <c r="H872" s="46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548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39">
        <v>17</v>
      </c>
    </row>
    <row r="873" spans="1:16" hidden="1" x14ac:dyDescent="0.25">
      <c r="A873" s="332"/>
      <c r="B873" s="116"/>
      <c r="C873" s="157"/>
      <c r="D873" s="39"/>
      <c r="F873" s="28"/>
      <c r="G873" s="28"/>
      <c r="H873" s="34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32">
        <v>46305</v>
      </c>
      <c r="B874" s="201" t="s">
        <v>12</v>
      </c>
      <c r="C874" s="202" t="s">
        <v>13</v>
      </c>
      <c r="D874" s="203" t="s">
        <v>13</v>
      </c>
      <c r="E874" s="348" t="s">
        <v>530</v>
      </c>
      <c r="F874" s="455" t="s">
        <v>635</v>
      </c>
      <c r="G874" s="455" t="s">
        <v>635</v>
      </c>
      <c r="H874" s="46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549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39">
        <v>15</v>
      </c>
    </row>
    <row r="875" spans="1:16" x14ac:dyDescent="0.25">
      <c r="A875" s="332">
        <v>46305</v>
      </c>
      <c r="B875" s="201" t="s">
        <v>29</v>
      </c>
      <c r="C875" s="202" t="s">
        <v>22</v>
      </c>
      <c r="D875" s="203" t="s">
        <v>22</v>
      </c>
      <c r="E875" s="348" t="s">
        <v>530</v>
      </c>
      <c r="F875" s="455" t="s">
        <v>635</v>
      </c>
      <c r="G875" s="455" t="s">
        <v>635</v>
      </c>
      <c r="H875" s="46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549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39">
        <f>41-15</f>
        <v>26</v>
      </c>
    </row>
    <row r="876" spans="1:16" x14ac:dyDescent="0.25">
      <c r="A876" s="332">
        <v>46306</v>
      </c>
      <c r="B876" s="201" t="s">
        <v>12</v>
      </c>
      <c r="C876" s="202" t="s">
        <v>13</v>
      </c>
      <c r="D876" s="203" t="s">
        <v>13</v>
      </c>
      <c r="E876" s="348" t="s">
        <v>530</v>
      </c>
      <c r="F876" s="455" t="s">
        <v>635</v>
      </c>
      <c r="G876" s="455" t="s">
        <v>635</v>
      </c>
      <c r="H876" s="46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549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39">
        <v>20</v>
      </c>
    </row>
    <row r="877" spans="1:16" x14ac:dyDescent="0.25">
      <c r="A877" s="332">
        <v>46306</v>
      </c>
      <c r="B877" s="201" t="s">
        <v>29</v>
      </c>
      <c r="C877" s="202" t="s">
        <v>22</v>
      </c>
      <c r="D877" s="203" t="s">
        <v>22</v>
      </c>
      <c r="E877" s="348" t="s">
        <v>530</v>
      </c>
      <c r="F877" s="455" t="s">
        <v>635</v>
      </c>
      <c r="G877" s="455" t="s">
        <v>635</v>
      </c>
      <c r="H877" s="46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549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39">
        <f>57-20</f>
        <v>37</v>
      </c>
    </row>
    <row r="878" spans="1:16" x14ac:dyDescent="0.25">
      <c r="A878" s="332">
        <v>46305</v>
      </c>
      <c r="B878" s="201" t="s">
        <v>12</v>
      </c>
      <c r="C878" s="202" t="s">
        <v>528</v>
      </c>
      <c r="D878" s="203" t="s">
        <v>528</v>
      </c>
      <c r="E878" s="348" t="s">
        <v>530</v>
      </c>
      <c r="F878" s="455" t="s">
        <v>635</v>
      </c>
      <c r="G878" s="455" t="s">
        <v>635</v>
      </c>
      <c r="H878" s="46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549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39">
        <v>24</v>
      </c>
    </row>
    <row r="879" spans="1:16" x14ac:dyDescent="0.25">
      <c r="A879" s="332">
        <v>46307</v>
      </c>
      <c r="B879" s="201" t="s">
        <v>12</v>
      </c>
      <c r="C879" s="202" t="s">
        <v>13</v>
      </c>
      <c r="D879" s="203" t="s">
        <v>13</v>
      </c>
      <c r="E879" s="348" t="s">
        <v>530</v>
      </c>
      <c r="F879" s="455" t="s">
        <v>635</v>
      </c>
      <c r="G879" s="455" t="s">
        <v>635</v>
      </c>
      <c r="H879" s="46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549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39">
        <f>64-35</f>
        <v>29</v>
      </c>
    </row>
    <row r="880" spans="1:16" x14ac:dyDescent="0.25">
      <c r="A880" s="332">
        <v>46307</v>
      </c>
      <c r="B880" s="201" t="s">
        <v>12</v>
      </c>
      <c r="C880" s="202" t="s">
        <v>22</v>
      </c>
      <c r="D880" s="203" t="s">
        <v>22</v>
      </c>
      <c r="E880" s="348" t="s">
        <v>530</v>
      </c>
      <c r="F880" s="455" t="s">
        <v>635</v>
      </c>
      <c r="G880" s="455" t="s">
        <v>635</v>
      </c>
      <c r="H880" s="46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549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39">
        <f>42-29</f>
        <v>13</v>
      </c>
    </row>
    <row r="881" spans="1:14" x14ac:dyDescent="0.25">
      <c r="A881" s="332">
        <v>46307</v>
      </c>
      <c r="B881" s="201" t="s">
        <v>29</v>
      </c>
      <c r="C881" s="202" t="s">
        <v>528</v>
      </c>
      <c r="D881" s="203" t="s">
        <v>528</v>
      </c>
      <c r="E881" s="348" t="s">
        <v>530</v>
      </c>
      <c r="F881" s="455" t="s">
        <v>635</v>
      </c>
      <c r="G881" s="455" t="s">
        <v>635</v>
      </c>
      <c r="H881" s="464">
        <f>+(Catalogo!$J$57)*Tabla1[[#This Row],[Observaciones]]</f>
        <v>5.5843893378347982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549</v>
      </c>
      <c r="M881" s="263">
        <f>IF(Tabla1[[#This Row],[Avance_km]]&lt;&gt;"",Tabla1[[#This Row],[Avance_km]],Tabla1[[#This Row],[Avance_Med]])*_xlfn.XLOOKUP(Tabla1[[#This Row],[Codigo_actividad]],Catalogo!$B$6:$B$57,Catalogo!$F$6:$F$57,0)</f>
        <v>76485.36</v>
      </c>
      <c r="N881" s="439">
        <v>42</v>
      </c>
    </row>
    <row r="882" spans="1:14" hidden="1" x14ac:dyDescent="0.25">
      <c r="A882" s="332"/>
      <c r="B882" s="116"/>
      <c r="C882" s="157"/>
      <c r="D882" s="39"/>
      <c r="F882" s="28"/>
      <c r="G882" s="28"/>
      <c r="H882" s="34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hidden="1" x14ac:dyDescent="0.25">
      <c r="A883" s="332"/>
      <c r="B883" s="201" t="s">
        <v>12</v>
      </c>
      <c r="C883" s="202" t="s">
        <v>329</v>
      </c>
      <c r="D883" s="203"/>
      <c r="E883" s="348" t="s">
        <v>531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548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40"/>
    </row>
    <row r="884" spans="1:14" hidden="1" x14ac:dyDescent="0.25">
      <c r="A884" s="332"/>
      <c r="B884" s="201" t="s">
        <v>29</v>
      </c>
      <c r="C884" s="202" t="s">
        <v>404</v>
      </c>
      <c r="D884" s="203"/>
      <c r="E884" s="348" t="s">
        <v>531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548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40"/>
    </row>
    <row r="885" spans="1:14" hidden="1" x14ac:dyDescent="0.25">
      <c r="A885" s="332"/>
      <c r="B885" s="201" t="s">
        <v>12</v>
      </c>
      <c r="C885" s="202" t="s">
        <v>329</v>
      </c>
      <c r="D885" s="203"/>
      <c r="E885" s="348" t="s">
        <v>531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548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40"/>
    </row>
    <row r="886" spans="1:14" hidden="1" x14ac:dyDescent="0.25">
      <c r="A886" s="332"/>
      <c r="B886" s="201" t="s">
        <v>29</v>
      </c>
      <c r="C886" s="202" t="s">
        <v>404</v>
      </c>
      <c r="D886" s="203"/>
      <c r="E886" s="348" t="s">
        <v>531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548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40"/>
    </row>
    <row r="887" spans="1:14" hidden="1" x14ac:dyDescent="0.25">
      <c r="A887" s="332"/>
      <c r="B887" s="201" t="s">
        <v>12</v>
      </c>
      <c r="C887" s="202" t="s">
        <v>553</v>
      </c>
      <c r="D887" s="203"/>
      <c r="E887" s="348" t="s">
        <v>531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548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40"/>
    </row>
    <row r="888" spans="1:14" hidden="1" x14ac:dyDescent="0.25">
      <c r="A888" s="332"/>
      <c r="B888" s="201" t="s">
        <v>29</v>
      </c>
      <c r="C888" s="202" t="s">
        <v>553</v>
      </c>
      <c r="D888" s="203"/>
      <c r="E888" s="348" t="s">
        <v>531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548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40"/>
    </row>
    <row r="889" spans="1:14" hidden="1" x14ac:dyDescent="0.25">
      <c r="A889" s="332"/>
      <c r="B889" s="116"/>
      <c r="C889" s="157"/>
      <c r="D889" s="39"/>
      <c r="F889" s="28"/>
      <c r="G889" s="28"/>
      <c r="H889" s="34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hidden="1" x14ac:dyDescent="0.25">
      <c r="A890" s="332"/>
      <c r="B890" s="201" t="s">
        <v>12</v>
      </c>
      <c r="C890" s="202" t="s">
        <v>329</v>
      </c>
      <c r="D890" s="203"/>
      <c r="E890" s="348" t="s">
        <v>532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549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40"/>
    </row>
    <row r="891" spans="1:14" hidden="1" x14ac:dyDescent="0.25">
      <c r="A891" s="332"/>
      <c r="B891" s="201" t="s">
        <v>29</v>
      </c>
      <c r="C891" s="202" t="s">
        <v>404</v>
      </c>
      <c r="D891" s="203"/>
      <c r="E891" s="348" t="s">
        <v>532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549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40"/>
    </row>
    <row r="892" spans="1:14" hidden="1" x14ac:dyDescent="0.25">
      <c r="A892" s="332"/>
      <c r="B892" s="201" t="s">
        <v>12</v>
      </c>
      <c r="C892" s="202" t="s">
        <v>329</v>
      </c>
      <c r="D892" s="203"/>
      <c r="E892" s="348" t="s">
        <v>532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549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40"/>
    </row>
    <row r="893" spans="1:14" hidden="1" x14ac:dyDescent="0.25">
      <c r="A893" s="332"/>
      <c r="B893" s="201" t="s">
        <v>29</v>
      </c>
      <c r="C893" s="202" t="s">
        <v>404</v>
      </c>
      <c r="D893" s="203"/>
      <c r="E893" s="348" t="s">
        <v>532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549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40"/>
    </row>
    <row r="894" spans="1:14" hidden="1" x14ac:dyDescent="0.25">
      <c r="A894" s="332"/>
      <c r="B894" s="201" t="s">
        <v>12</v>
      </c>
      <c r="C894" s="202" t="s">
        <v>553</v>
      </c>
      <c r="D894" s="203"/>
      <c r="E894" s="348" t="s">
        <v>532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549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40"/>
    </row>
    <row r="895" spans="1:14" hidden="1" x14ac:dyDescent="0.25">
      <c r="A895" s="332"/>
      <c r="B895" s="201" t="s">
        <v>29</v>
      </c>
      <c r="C895" s="202" t="s">
        <v>553</v>
      </c>
      <c r="D895" s="203"/>
      <c r="E895" s="348" t="s">
        <v>532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549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40"/>
    </row>
    <row r="896" spans="1:14" hidden="1" x14ac:dyDescent="0.25">
      <c r="A896" s="332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hidden="1" x14ac:dyDescent="0.25">
      <c r="A897" s="334"/>
      <c r="B897" s="265"/>
      <c r="C897" s="266"/>
      <c r="D897" s="267"/>
      <c r="E897" s="349"/>
      <c r="F897" s="268"/>
      <c r="G897" s="268"/>
      <c r="H897" s="477" t="str">
        <f>IF(Tabla1[[#This Row],[Codigo_actividad]]&lt;&gt;2.5,IF(((Tabla1[[#This Row],[fin]]-Tabla1[[#This Row],[inicio]])/1000)=0,"",((Tabla1[[#This Row],[fin]]-Tabla1[[#This Row],[inicio]])/1000)),"")</f>
        <v/>
      </c>
      <c r="I897" s="481"/>
      <c r="J897" s="478"/>
      <c r="K897" s="478" t="str">
        <f>IF(_xlfn.XLOOKUP($J897,Catalogo!$B$7:$B$21,Catalogo!$I$7:$I$21,"",0)=0,"",_xlfn.XLOOKUP($J897,Catalogo!$B$7:$B$21,Catalogo!$I$7:$I$21,"",0))</f>
        <v/>
      </c>
      <c r="L897" s="479"/>
      <c r="M897" s="480">
        <f>IF(Tabla1[[#This Row],[Avance_km]]&lt;&gt;"",Tabla1[[#This Row],[Avance_km]],Tabla1[[#This Row],[Avance_Med]])*_xlfn.XLOOKUP(Tabla1[[#This Row],[Codigo_actividad]],Catalogo!$B$6:$B$51,Catalogo!$F$6:$F$51,0)</f>
        <v>0</v>
      </c>
      <c r="N897" s="481" t="str">
        <f>_xlfn.IFNA(_xlfn.XLOOKUP(Tabla1[[#This Row],[fin]],$P$379:$P$398,$T$379:$T$398),"")</f>
        <v/>
      </c>
    </row>
    <row r="898" spans="1:14" hidden="1" x14ac:dyDescent="0.25">
      <c r="A898" s="332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32">
        <v>46294</v>
      </c>
      <c r="B899" s="116" t="s">
        <v>582</v>
      </c>
      <c r="C899" s="157" t="s">
        <v>13</v>
      </c>
      <c r="D899" s="468" t="s">
        <v>588</v>
      </c>
      <c r="E899" s="40" t="s">
        <v>581</v>
      </c>
      <c r="F899" s="455" t="s">
        <v>171</v>
      </c>
      <c r="G899" s="455" t="s">
        <v>171</v>
      </c>
      <c r="H899" s="46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467">
        <v>1</v>
      </c>
    </row>
    <row r="900" spans="1:14" x14ac:dyDescent="0.25">
      <c r="A900" s="332">
        <v>46294</v>
      </c>
      <c r="B900" s="116" t="s">
        <v>582</v>
      </c>
      <c r="C900" s="157" t="s">
        <v>13</v>
      </c>
      <c r="D900" s="468" t="s">
        <v>42</v>
      </c>
      <c r="E900" s="40" t="s">
        <v>581</v>
      </c>
      <c r="F900" s="455" t="s">
        <v>171</v>
      </c>
      <c r="G900" s="455" t="s">
        <v>171</v>
      </c>
      <c r="H900" s="46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467">
        <v>1</v>
      </c>
    </row>
    <row r="901" spans="1:14" x14ac:dyDescent="0.25">
      <c r="A901" s="332">
        <v>46294</v>
      </c>
      <c r="B901" s="116" t="s">
        <v>582</v>
      </c>
      <c r="C901" s="157" t="s">
        <v>404</v>
      </c>
      <c r="D901" s="468" t="s">
        <v>598</v>
      </c>
      <c r="E901" s="40" t="s">
        <v>581</v>
      </c>
      <c r="F901" s="455" t="s">
        <v>171</v>
      </c>
      <c r="G901" s="455" t="s">
        <v>171</v>
      </c>
      <c r="H901" s="46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467">
        <v>1</v>
      </c>
    </row>
    <row r="902" spans="1:14" x14ac:dyDescent="0.25">
      <c r="A902" s="332">
        <v>46297</v>
      </c>
      <c r="B902" s="116" t="s">
        <v>582</v>
      </c>
      <c r="C902" s="157" t="s">
        <v>329</v>
      </c>
      <c r="D902" s="469" t="s">
        <v>593</v>
      </c>
      <c r="E902" s="40" t="s">
        <v>581</v>
      </c>
      <c r="F902" s="455" t="s">
        <v>171</v>
      </c>
      <c r="G902" s="455" t="s">
        <v>171</v>
      </c>
      <c r="H902" s="46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467">
        <v>1</v>
      </c>
    </row>
    <row r="903" spans="1:14" x14ac:dyDescent="0.25">
      <c r="A903" s="332">
        <v>46296</v>
      </c>
      <c r="B903" s="116" t="s">
        <v>582</v>
      </c>
      <c r="C903" s="157" t="s">
        <v>329</v>
      </c>
      <c r="D903" s="469" t="s">
        <v>596</v>
      </c>
      <c r="E903" s="40" t="s">
        <v>581</v>
      </c>
      <c r="F903" s="455" t="s">
        <v>171</v>
      </c>
      <c r="G903" s="455" t="s">
        <v>171</v>
      </c>
      <c r="H903" s="46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467">
        <v>1</v>
      </c>
    </row>
    <row r="904" spans="1:14" x14ac:dyDescent="0.25">
      <c r="A904" s="332">
        <v>46296</v>
      </c>
      <c r="B904" s="116" t="s">
        <v>582</v>
      </c>
      <c r="C904" s="157" t="s">
        <v>528</v>
      </c>
      <c r="D904" s="469" t="s">
        <v>600</v>
      </c>
      <c r="E904" s="40" t="s">
        <v>581</v>
      </c>
      <c r="F904" s="455" t="s">
        <v>171</v>
      </c>
      <c r="G904" s="455" t="s">
        <v>171</v>
      </c>
      <c r="H904" s="46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467">
        <v>1</v>
      </c>
    </row>
    <row r="905" spans="1:14" x14ac:dyDescent="0.25">
      <c r="A905" s="332">
        <v>46297</v>
      </c>
      <c r="B905" s="116" t="s">
        <v>582</v>
      </c>
      <c r="C905" s="157" t="s">
        <v>528</v>
      </c>
      <c r="D905" s="469" t="s">
        <v>603</v>
      </c>
      <c r="E905" s="40" t="s">
        <v>581</v>
      </c>
      <c r="F905" s="455" t="s">
        <v>171</v>
      </c>
      <c r="G905" s="455" t="s">
        <v>171</v>
      </c>
      <c r="H905" s="46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467">
        <v>1</v>
      </c>
    </row>
    <row r="906" spans="1:14" hidden="1" x14ac:dyDescent="0.25">
      <c r="A906" s="332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hidden="1" x14ac:dyDescent="0.25">
      <c r="A907" s="334"/>
      <c r="B907" s="265"/>
      <c r="C907" s="266"/>
      <c r="D907" s="267"/>
      <c r="E907" s="349"/>
      <c r="F907" s="268"/>
      <c r="G907" s="268"/>
      <c r="H907" s="477" t="str">
        <f>IF(Tabla1[[#This Row],[Codigo_actividad]]&lt;&gt;2.5,IF(((Tabla1[[#This Row],[fin]]-Tabla1[[#This Row],[inicio]])/1000)=0,"",((Tabla1[[#This Row],[fin]]-Tabla1[[#This Row],[inicio]])/1000)),"")</f>
        <v/>
      </c>
      <c r="I907" s="481"/>
      <c r="J907" s="478"/>
      <c r="K907" s="478" t="str">
        <f>IF(_xlfn.XLOOKUP($J907,Catalogo!$B$7:$B$21,Catalogo!$I$7:$I$21,"",0)=0,"",_xlfn.XLOOKUP($J907,Catalogo!$B$7:$B$21,Catalogo!$I$7:$I$21,"",0))</f>
        <v/>
      </c>
      <c r="L907" s="479"/>
      <c r="M907" s="480">
        <f>IF(Tabla1[[#This Row],[Avance_km]]&lt;&gt;"",Tabla1[[#This Row],[Avance_km]],Tabla1[[#This Row],[Avance_Med]])*_xlfn.XLOOKUP(Tabla1[[#This Row],[Codigo_actividad]],Catalogo!$B$6:$B$51,Catalogo!$F$6:$F$51,0)</f>
        <v>0</v>
      </c>
      <c r="N907" s="481" t="str">
        <f>_xlfn.IFNA(_xlfn.XLOOKUP(Tabla1[[#This Row],[fin]],$P$379:$P$398,$T$379:$T$398),"")</f>
        <v/>
      </c>
    </row>
    <row r="908" spans="1:14" hidden="1" x14ac:dyDescent="0.25">
      <c r="A908" s="332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hidden="1" x14ac:dyDescent="0.25">
      <c r="A909" s="332"/>
      <c r="C909" s="157"/>
      <c r="D909" s="39"/>
      <c r="F909" s="28"/>
      <c r="G909" s="28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/>
      <c r="K909" s="55" t="str">
        <f>IF(_xlfn.XLOOKUP($J909,Catalogo!$B$7:$B$210,Catalogo!$I$7:$I$210,"",0)=0,"",_xlfn.XLOOKUP($J909,Catalogo!$B$7:$B$210,Catalogo!$I$7:$I$210,"",0))</f>
        <v/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0" spans="1:14" hidden="1" x14ac:dyDescent="0.25">
      <c r="A910" s="332"/>
      <c r="C910" s="157"/>
      <c r="D910" s="39"/>
      <c r="F910" s="28"/>
      <c r="G910" s="28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/>
      <c r="K910" s="55" t="str">
        <f>IF(_xlfn.XLOOKUP($J910,Catalogo!$B$7:$B$21,Catalogo!$I$7:$I$21,"",0)=0,"",_xlfn.XLOOKUP($J910,Catalogo!$B$7:$B$21,Catalogo!$I$7:$I$21,"",0))</f>
        <v/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  <c r="N910" t="str">
        <f>_xlfn.IFNA(_xlfn.XLOOKUP(Tabla1[[#This Row],[fin]],$P$379:$P$398,$T$379:$T$398),"")</f>
        <v/>
      </c>
    </row>
    <row r="911" spans="1:14" hidden="1" x14ac:dyDescent="0.25">
      <c r="A911" s="332"/>
      <c r="C911" s="157"/>
      <c r="D911" s="39"/>
      <c r="F911" s="28"/>
      <c r="G911" s="28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/>
      <c r="K911" s="55" t="str">
        <f>IF(_xlfn.XLOOKUP($J911,Catalogo!$B$7:$B$21,Catalogo!$I$7:$I$21,"",0)=0,"",_xlfn.XLOOKUP($J911,Catalogo!$B$7:$B$21,Catalogo!$I$7:$I$21,"",0))</f>
        <v/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  <c r="N911" t="str">
        <f>_xlfn.IFNA(_xlfn.XLOOKUP(Tabla1[[#This Row],[fin]],$P$379:$P$398,$T$379:$T$398),"")</f>
        <v/>
      </c>
    </row>
    <row r="912" spans="1:14" hidden="1" x14ac:dyDescent="0.25">
      <c r="A912" s="332"/>
      <c r="C912" s="157"/>
      <c r="D912" s="39"/>
      <c r="F912" s="28"/>
      <c r="G912" s="28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/>
      <c r="K912" s="55" t="str">
        <f>IF(_xlfn.XLOOKUP($J912,Catalogo!$B$7:$B$21,Catalogo!$I$7:$I$21,"",0)=0,"",_xlfn.XLOOKUP($J912,Catalogo!$B$7:$B$21,Catalogo!$I$7:$I$21,"",0))</f>
        <v/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  <c r="N912" t="str">
        <f>_xlfn.IFNA(_xlfn.XLOOKUP(Tabla1[[#This Row],[fin]],$P$379:$P$398,$T$379:$T$398),"")</f>
        <v/>
      </c>
    </row>
    <row r="913" spans="1:14" hidden="1" x14ac:dyDescent="0.25">
      <c r="A913" s="332"/>
      <c r="C913" s="157"/>
      <c r="D913" s="39"/>
      <c r="F913" s="28"/>
      <c r="G913" s="28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/>
      <c r="K913" s="55" t="str">
        <f>IF(_xlfn.XLOOKUP($J913,Catalogo!$B$7:$B$21,Catalogo!$I$7:$I$21,"",0)=0,"",_xlfn.XLOOKUP($J913,Catalogo!$B$7:$B$21,Catalogo!$I$7:$I$21,"",0))</f>
        <v/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hidden="1" x14ac:dyDescent="0.25">
      <c r="A914" s="332"/>
      <c r="C914" s="157"/>
      <c r="D914" s="39"/>
      <c r="F914" s="28"/>
      <c r="G914" s="28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/>
      <c r="K914" s="55" t="str">
        <f>IF(_xlfn.XLOOKUP($J914,Catalogo!$B$7:$B$21,Catalogo!$I$7:$I$21,"",0)=0,"",_xlfn.XLOOKUP($J914,Catalogo!$B$7:$B$21,Catalogo!$I$7:$I$21,"",0))</f>
        <v/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  <c r="N914" t="str">
        <f>_xlfn.IFNA(_xlfn.XLOOKUP(Tabla1[[#This Row],[fin]],$P$379:$P$398,$T$379:$T$398),"")</f>
        <v/>
      </c>
    </row>
    <row r="915" spans="1:14" hidden="1" x14ac:dyDescent="0.25">
      <c r="A915" s="332"/>
      <c r="C915" s="157"/>
      <c r="D915" s="39"/>
      <c r="F915" s="28"/>
      <c r="G915" s="28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/>
      <c r="K915" s="55" t="str">
        <f>IF(_xlfn.XLOOKUP($J915,Catalogo!$B$7:$B$21,Catalogo!$I$7:$I$21,"",0)=0,"",_xlfn.XLOOKUP($J915,Catalogo!$B$7:$B$21,Catalogo!$I$7:$I$21,"",0))</f>
        <v/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0</v>
      </c>
      <c r="N915" t="str">
        <f>_xlfn.IFNA(_xlfn.XLOOKUP(Tabla1[[#This Row],[fin]],$P$379:$P$398,$T$379:$T$398),"")</f>
        <v/>
      </c>
    </row>
    <row r="916" spans="1:14" hidden="1" x14ac:dyDescent="0.25">
      <c r="A916" s="332"/>
      <c r="C916" s="157"/>
      <c r="D916" s="39"/>
      <c r="F916" s="28"/>
      <c r="G916" s="28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/>
      <c r="K916" s="55" t="str">
        <f>IF(_xlfn.XLOOKUP($J916,Catalogo!$B$7:$B$21,Catalogo!$I$7:$I$21,"",0)=0,"",_xlfn.XLOOKUP($J916,Catalogo!$B$7:$B$21,Catalogo!$I$7:$I$21,"",0))</f>
        <v/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0</v>
      </c>
      <c r="N916" t="str">
        <f>_xlfn.IFNA(_xlfn.XLOOKUP(Tabla1[[#This Row],[fin]],$P$379:$P$398,$T$379:$T$398),"")</f>
        <v/>
      </c>
    </row>
    <row r="917" spans="1:14" hidden="1" x14ac:dyDescent="0.25">
      <c r="A917" s="332"/>
      <c r="C917" s="157"/>
      <c r="D917" s="39"/>
      <c r="F917" s="28"/>
      <c r="G917" s="28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/>
      <c r="K917" s="55" t="str">
        <f>IF(_xlfn.XLOOKUP($J917,Catalogo!$B$7:$B$21,Catalogo!$I$7:$I$21,"",0)=0,"",_xlfn.XLOOKUP($J917,Catalogo!$B$7:$B$21,Catalogo!$I$7:$I$21,"",0))</f>
        <v/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0</v>
      </c>
      <c r="N917" t="str">
        <f>_xlfn.IFNA(_xlfn.XLOOKUP(Tabla1[[#This Row],[fin]],$P$379:$P$398,$T$379:$T$398),"")</f>
        <v/>
      </c>
    </row>
    <row r="918" spans="1:14" hidden="1" x14ac:dyDescent="0.25">
      <c r="A918" s="332"/>
      <c r="C918" s="157"/>
      <c r="D918" s="39"/>
      <c r="F918" s="28"/>
      <c r="G918" s="28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/>
      <c r="K918" s="55" t="str">
        <f>IF(_xlfn.XLOOKUP($J918,Catalogo!$B$7:$B$21,Catalogo!$I$7:$I$21,"",0)=0,"",_xlfn.XLOOKUP($J918,Catalogo!$B$7:$B$21,Catalogo!$I$7:$I$21,"",0))</f>
        <v/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0</v>
      </c>
      <c r="N918" t="str">
        <f>_xlfn.IFNA(_xlfn.XLOOKUP(Tabla1[[#This Row],[fin]],$P$379:$P$398,$T$379:$T$398),"")</f>
        <v/>
      </c>
    </row>
    <row r="919" spans="1:14" hidden="1" x14ac:dyDescent="0.25">
      <c r="A919" s="332"/>
      <c r="C919" s="157"/>
      <c r="D919" s="39"/>
      <c r="F919" s="28"/>
      <c r="G919" s="28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/>
      <c r="K919" s="55" t="str">
        <f>IF(_xlfn.XLOOKUP($J919,Catalogo!$B$7:$B$21,Catalogo!$I$7:$I$21,"",0)=0,"",_xlfn.XLOOKUP($J919,Catalogo!$B$7:$B$21,Catalogo!$I$7:$I$21,"",0))</f>
        <v/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0</v>
      </c>
      <c r="N919" t="str">
        <f>_xlfn.IFNA(_xlfn.XLOOKUP(Tabla1[[#This Row],[fin]],$P$379:$P$398,$T$379:$T$398),"")</f>
        <v/>
      </c>
    </row>
    <row r="920" spans="1:14" hidden="1" x14ac:dyDescent="0.25">
      <c r="A920" s="332"/>
      <c r="C920" s="157"/>
      <c r="D920" s="39"/>
      <c r="F920" s="28"/>
      <c r="G920" s="28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/>
      <c r="K920" s="55" t="str">
        <f>IF(_xlfn.XLOOKUP($J920,Catalogo!$B$7:$B$21,Catalogo!$I$7:$I$21,"",0)=0,"",_xlfn.XLOOKUP($J920,Catalogo!$B$7:$B$21,Catalogo!$I$7:$I$21,"",0))</f>
        <v/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0</v>
      </c>
      <c r="N920" t="str">
        <f>_xlfn.IFNA(_xlfn.XLOOKUP(Tabla1[[#This Row],[fin]],$P$379:$P$398,$T$379:$T$398),"")</f>
        <v/>
      </c>
    </row>
    <row r="921" spans="1:14" hidden="1" x14ac:dyDescent="0.25">
      <c r="A921" s="332"/>
      <c r="C921" s="157"/>
      <c r="D921" s="39"/>
      <c r="F921" s="28"/>
      <c r="G921" s="28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/>
      <c r="K921" s="55" t="str">
        <f>IF(_xlfn.XLOOKUP($J921,Catalogo!$B$7:$B$21,Catalogo!$I$7:$I$21,"",0)=0,"",_xlfn.XLOOKUP($J921,Catalogo!$B$7:$B$21,Catalogo!$I$7:$I$21,"",0))</f>
        <v/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0</v>
      </c>
      <c r="N921" t="str">
        <f>_xlfn.IFNA(_xlfn.XLOOKUP(Tabla1[[#This Row],[fin]],$P$379:$P$398,$T$379:$T$398),"")</f>
        <v/>
      </c>
    </row>
    <row r="922" spans="1:14" hidden="1" x14ac:dyDescent="0.25">
      <c r="A922" s="332"/>
      <c r="C922" s="157"/>
      <c r="D922" s="39"/>
      <c r="F922" s="28"/>
      <c r="G922" s="28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/>
      <c r="K922" s="55" t="str">
        <f>IF(_xlfn.XLOOKUP($J922,Catalogo!$B$7:$B$21,Catalogo!$I$7:$I$21,"",0)=0,"",_xlfn.XLOOKUP($J922,Catalogo!$B$7:$B$21,Catalogo!$I$7:$I$21,"",0))</f>
        <v/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0</v>
      </c>
      <c r="N922" t="str">
        <f>_xlfn.IFNA(_xlfn.XLOOKUP(Tabla1[[#This Row],[fin]],$P$379:$P$398,$T$379:$T$398),"")</f>
        <v/>
      </c>
    </row>
    <row r="923" spans="1:14" hidden="1" x14ac:dyDescent="0.25">
      <c r="A923" s="332"/>
      <c r="C923" s="157"/>
      <c r="D923" s="39"/>
      <c r="F923" s="28"/>
      <c r="G923" s="28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/>
      <c r="K923" s="55" t="str">
        <f>IF(_xlfn.XLOOKUP($J923,Catalogo!$B$7:$B$21,Catalogo!$I$7:$I$21,"",0)=0,"",_xlfn.XLOOKUP($J923,Catalogo!$B$7:$B$21,Catalogo!$I$7:$I$21,"",0))</f>
        <v/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0</v>
      </c>
      <c r="N923" t="str">
        <f>_xlfn.IFNA(_xlfn.XLOOKUP(Tabla1[[#This Row],[fin]],$P$379:$P$398,$T$379:$T$398),"")</f>
        <v/>
      </c>
    </row>
    <row r="924" spans="1:14" hidden="1" x14ac:dyDescent="0.25">
      <c r="A924" s="334"/>
      <c r="B924" s="349"/>
      <c r="C924" s="266"/>
      <c r="D924" s="267"/>
      <c r="E924" s="349"/>
      <c r="F924" s="268"/>
      <c r="G924" s="268"/>
      <c r="H924" s="477" t="str">
        <f>IF(Tabla1[[#This Row],[Codigo_actividad]]&lt;&gt;2.5,IF(((Tabla1[[#This Row],[fin]]-Tabla1[[#This Row],[inicio]])/1000)=0,"",((Tabla1[[#This Row],[fin]]-Tabla1[[#This Row],[inicio]])/1000)),"")</f>
        <v/>
      </c>
      <c r="I924" s="478"/>
      <c r="J924" s="478"/>
      <c r="K924" s="481" t="str">
        <f>IF(_xlfn.XLOOKUP($J924,Catalogo!$B$7:$B$21,Catalogo!$I$7:$I$21,"",0)=0,"",_xlfn.XLOOKUP($J924,Catalogo!$B$7:$B$21,Catalogo!$I$7:$I$21,"",0))</f>
        <v/>
      </c>
      <c r="L924" s="479"/>
      <c r="M924" s="480">
        <f>IF(Tabla1[[#This Row],[Avance_km]]&lt;&gt;"",Tabla1[[#This Row],[Avance_km]],Tabla1[[#This Row],[Avance_Med]])*_xlfn.XLOOKUP(Tabla1[[#This Row],[Codigo_actividad]],Catalogo!$B$6:$B$51,Catalogo!$F$6:$F$51,0)</f>
        <v>0</v>
      </c>
      <c r="N924" s="481" t="str">
        <f>_xlfn.IFNA(_xlfn.XLOOKUP(Tabla1[[#This Row],[fin]],$P$379:$P$398,$T$379:$T$398),"")</f>
        <v/>
      </c>
    </row>
    <row r="925" spans="1:14" hidden="1" x14ac:dyDescent="0.25">
      <c r="A925" s="332"/>
      <c r="C925" s="157"/>
      <c r="D925" s="39"/>
      <c r="F925" s="28"/>
      <c r="G925" s="28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/>
      <c r="K925" s="55" t="str">
        <f>IF(_xlfn.XLOOKUP($J925,Catalogo!$B$7:$B$210,Catalogo!$I$7:$I$210,"",0)=0,"",_xlfn.XLOOKUP($J925,Catalogo!$B$7:$B$210,Catalogo!$I$7:$I$210,"",0))</f>
        <v/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26" spans="1:14" x14ac:dyDescent="0.25">
      <c r="A926" s="332">
        <v>46258</v>
      </c>
      <c r="B926" s="40" t="s">
        <v>514</v>
      </c>
      <c r="C926" s="157" t="s">
        <v>13</v>
      </c>
      <c r="D926" s="39" t="s">
        <v>403</v>
      </c>
      <c r="E926" s="40" t="s">
        <v>426</v>
      </c>
      <c r="F926" s="28"/>
      <c r="G926" s="28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24</v>
      </c>
      <c r="J926" s="76">
        <v>4.9000000000000004</v>
      </c>
      <c r="K926" s="66" t="str">
        <f>IF(_xlfn.XLOOKUP($J926,Catalogo!$B$7:$B$210,Catalogo!$I$7:$I$210,"",0)=0,"",_xlfn.XLOOKUP($J926,Catalogo!$B$7:$B$210,Catalogo!$I$7:$I$210,"",0))</f>
        <v>COATING 2-4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26" t="str">
        <f>_xlfn.IFNA(_xlfn.XLOOKUP(Tabla1[[#This Row],[fin]],$P$379:$P$398,$T$379:$T$398),"")</f>
        <v/>
      </c>
    </row>
    <row r="927" spans="1:14" x14ac:dyDescent="0.25">
      <c r="A927" s="332">
        <v>46258</v>
      </c>
      <c r="B927" s="40" t="s">
        <v>514</v>
      </c>
      <c r="C927" s="157" t="s">
        <v>22</v>
      </c>
      <c r="D927" s="39" t="s">
        <v>403</v>
      </c>
      <c r="E927" s="40" t="s">
        <v>427</v>
      </c>
      <c r="F927" s="28"/>
      <c r="G927" s="2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24</v>
      </c>
      <c r="J927" s="399" t="s">
        <v>515</v>
      </c>
      <c r="K927" s="66" t="str">
        <f>IF(_xlfn.XLOOKUP($J927,Catalogo!$B$7:$B$210,Catalogo!$I$7:$I$210,"",0)=0,"",_xlfn.XLOOKUP($J927,Catalogo!$B$7:$B$210,Catalogo!$I$7:$I$210,"",0))</f>
        <v>COATING 6-8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27" t="str">
        <f>_xlfn.IFNA(_xlfn.XLOOKUP(Tabla1[[#This Row],[fin]],$P$379:$P$398,$T$379:$T$398),"")</f>
        <v/>
      </c>
    </row>
    <row r="928" spans="1:14" hidden="1" x14ac:dyDescent="0.25">
      <c r="A928" s="332"/>
      <c r="C928" s="157"/>
      <c r="D928" s="39"/>
      <c r="F928" s="28"/>
      <c r="G928" s="2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/>
      <c r="K928" s="55" t="str">
        <f>IF(_xlfn.XLOOKUP($J928,Catalogo!$B$7:$B$210,Catalogo!$I$7:$I$210,"",0)=0,"",_xlfn.XLOOKUP($J928,Catalogo!$B$7:$B$210,Catalogo!$I$7:$I$210,"",0))</f>
        <v/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29" spans="1:13" x14ac:dyDescent="0.25">
      <c r="A929" s="332"/>
      <c r="C929" s="157"/>
      <c r="D929" s="39"/>
      <c r="F929" s="28"/>
      <c r="G929" s="28"/>
      <c r="H929" s="226">
        <f>SUBTOTAL(109,Tabla1[Avance_km])</f>
        <v>609.88387547129605</v>
      </c>
      <c r="L929" s="36"/>
      <c r="M929" s="270">
        <f>+SUBTOTAL(9,Tabla1[EV])</f>
        <v>8900178.0172999874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28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36" t="s">
        <v>84</v>
      </c>
      <c r="E1" s="537"/>
      <c r="F1" s="537"/>
      <c r="G1" s="537"/>
      <c r="H1" s="537"/>
      <c r="I1" s="537"/>
      <c r="J1" s="537"/>
      <c r="K1" s="537"/>
      <c r="L1" s="2"/>
    </row>
    <row r="2" spans="2:15" ht="42.75" customHeight="1" x14ac:dyDescent="0.25">
      <c r="B2" s="2"/>
      <c r="C2" s="2"/>
      <c r="D2" s="537"/>
      <c r="E2" s="537"/>
      <c r="F2" s="537"/>
      <c r="G2" s="537"/>
      <c r="H2" s="537"/>
      <c r="I2" s="537"/>
      <c r="J2" s="537"/>
      <c r="K2" s="537"/>
      <c r="L2" s="2"/>
    </row>
    <row r="3" spans="2:15" x14ac:dyDescent="0.25">
      <c r="B3" s="529" t="s">
        <v>85</v>
      </c>
      <c r="C3" s="529"/>
      <c r="D3" s="529"/>
      <c r="E3" s="529"/>
      <c r="F3" s="529"/>
      <c r="G3" s="529" t="s">
        <v>86</v>
      </c>
      <c r="H3" s="529"/>
      <c r="I3" s="529"/>
      <c r="J3" s="529"/>
      <c r="K3" s="529"/>
      <c r="L3" s="3"/>
    </row>
    <row r="4" spans="2:15" x14ac:dyDescent="0.25">
      <c r="B4" s="538"/>
      <c r="C4" s="538"/>
      <c r="D4" s="538"/>
      <c r="E4" s="538"/>
      <c r="F4" s="538"/>
      <c r="G4" s="539" t="s">
        <v>87</v>
      </c>
      <c r="H4" s="539"/>
      <c r="I4" s="539"/>
      <c r="J4" s="539"/>
      <c r="K4" s="539"/>
      <c r="L4" s="3"/>
    </row>
    <row r="5" spans="2:15" ht="27" x14ac:dyDescent="0.25">
      <c r="B5" s="154" t="s">
        <v>88</v>
      </c>
      <c r="C5" s="529" t="s">
        <v>89</v>
      </c>
      <c r="D5" s="530"/>
      <c r="E5" s="530"/>
      <c r="F5" s="53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32" t="s">
        <v>95</v>
      </c>
      <c r="D6" s="532"/>
      <c r="E6" s="532"/>
      <c r="F6" s="53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28" t="s">
        <v>96</v>
      </c>
      <c r="D7" s="528"/>
      <c r="E7" s="528"/>
      <c r="F7" s="52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28" t="s">
        <v>99</v>
      </c>
      <c r="D8" s="528"/>
      <c r="E8" s="528"/>
      <c r="F8" s="52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28" t="s">
        <v>100</v>
      </c>
      <c r="D9" s="528"/>
      <c r="E9" s="528"/>
      <c r="F9" s="52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35" t="s">
        <v>102</v>
      </c>
      <c r="D10" s="535"/>
      <c r="E10" s="535"/>
      <c r="F10" s="53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28" t="s">
        <v>103</v>
      </c>
      <c r="D11" s="528"/>
      <c r="E11" s="528"/>
      <c r="F11" s="52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28" t="s">
        <v>104</v>
      </c>
      <c r="D12" s="528"/>
      <c r="E12" s="528"/>
      <c r="F12" s="52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32" t="s">
        <v>105</v>
      </c>
      <c r="D13" s="532"/>
      <c r="E13" s="532"/>
      <c r="F13" s="53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28" t="s">
        <v>107</v>
      </c>
      <c r="D14" s="528"/>
      <c r="E14" s="528"/>
      <c r="F14" s="52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28" t="s">
        <v>109</v>
      </c>
      <c r="D15" s="528"/>
      <c r="E15" s="528"/>
      <c r="F15" s="52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28" t="s">
        <v>110</v>
      </c>
      <c r="D16" s="528"/>
      <c r="E16" s="528"/>
      <c r="F16" s="52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34" t="s">
        <v>111</v>
      </c>
      <c r="D17" s="534"/>
      <c r="E17" s="534"/>
      <c r="F17" s="53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28" t="s">
        <v>112</v>
      </c>
      <c r="D18" s="528"/>
      <c r="E18" s="528"/>
      <c r="F18" s="52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28" t="s">
        <v>114</v>
      </c>
      <c r="D19" s="528"/>
      <c r="E19" s="528"/>
      <c r="F19" s="52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28" t="s">
        <v>115</v>
      </c>
      <c r="D20" s="528"/>
      <c r="E20" s="528"/>
      <c r="F20" s="52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28" t="s">
        <v>104</v>
      </c>
      <c r="D21" s="528"/>
      <c r="E21" s="528"/>
      <c r="F21" s="52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32" t="s">
        <v>116</v>
      </c>
      <c r="D22" s="532"/>
      <c r="E22" s="532"/>
      <c r="F22" s="53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28" t="s">
        <v>117</v>
      </c>
      <c r="D23" s="528"/>
      <c r="E23" s="528"/>
      <c r="F23" s="52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28" t="s">
        <v>119</v>
      </c>
      <c r="D24" s="528"/>
      <c r="E24" s="528"/>
      <c r="F24" s="52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33" t="s">
        <v>121</v>
      </c>
      <c r="D25" s="533"/>
      <c r="E25" s="533"/>
      <c r="F25" s="53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28" t="s">
        <v>123</v>
      </c>
      <c r="D26" s="528"/>
      <c r="E26" s="528"/>
      <c r="F26" s="52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28" t="s">
        <v>125</v>
      </c>
      <c r="D27" s="528"/>
      <c r="E27" s="528"/>
      <c r="F27" s="52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28" t="s">
        <v>128</v>
      </c>
      <c r="D28" s="528"/>
      <c r="E28" s="528"/>
      <c r="F28" s="52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28" t="s">
        <v>130</v>
      </c>
      <c r="D29" s="528"/>
      <c r="E29" s="528"/>
      <c r="F29" s="52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28" t="s">
        <v>132</v>
      </c>
      <c r="D30" s="528"/>
      <c r="E30" s="528"/>
      <c r="F30" s="52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28" t="s">
        <v>134</v>
      </c>
      <c r="D31" s="528"/>
      <c r="E31" s="528"/>
      <c r="F31" s="52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28" t="s">
        <v>136</v>
      </c>
      <c r="D32" s="528"/>
      <c r="E32" s="528"/>
      <c r="F32" s="52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28" t="s">
        <v>138</v>
      </c>
      <c r="D33" s="528"/>
      <c r="E33" s="528"/>
      <c r="F33" s="52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28" t="s">
        <v>140</v>
      </c>
      <c r="D34" s="528"/>
      <c r="E34" s="528"/>
      <c r="F34" s="52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28" t="s">
        <v>141</v>
      </c>
      <c r="D35" s="528"/>
      <c r="E35" s="528"/>
      <c r="F35" s="52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32" t="s">
        <v>142</v>
      </c>
      <c r="D36" s="532"/>
      <c r="E36" s="532"/>
      <c r="F36" s="53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28" t="s">
        <v>143</v>
      </c>
      <c r="D37" s="528"/>
      <c r="E37" s="528"/>
      <c r="F37" s="52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28" t="s">
        <v>144</v>
      </c>
      <c r="D38" s="528"/>
      <c r="E38" s="528"/>
      <c r="F38" s="52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28" t="s">
        <v>145</v>
      </c>
      <c r="D39" s="528"/>
      <c r="E39" s="528"/>
      <c r="F39" s="52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28" t="s">
        <v>146</v>
      </c>
      <c r="D40" s="528"/>
      <c r="E40" s="528"/>
      <c r="F40" s="52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28" t="s">
        <v>147</v>
      </c>
      <c r="D41" s="528"/>
      <c r="E41" s="528"/>
      <c r="F41" s="52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28" t="s">
        <v>148</v>
      </c>
      <c r="D42" s="528"/>
      <c r="E42" s="528"/>
      <c r="F42" s="52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28" t="s">
        <v>149</v>
      </c>
      <c r="D43" s="528"/>
      <c r="E43" s="528"/>
      <c r="F43" s="52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28" t="s">
        <v>150</v>
      </c>
      <c r="D44" s="528"/>
      <c r="E44" s="528"/>
      <c r="F44" s="52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28" t="s">
        <v>151</v>
      </c>
      <c r="D45" s="528"/>
      <c r="E45" s="528"/>
      <c r="F45" s="52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28" t="s">
        <v>153</v>
      </c>
      <c r="D46" s="528"/>
      <c r="E46" s="528"/>
      <c r="F46" s="52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28" t="s">
        <v>154</v>
      </c>
      <c r="D47" s="528"/>
      <c r="E47" s="528"/>
      <c r="F47" s="52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28" t="s">
        <v>155</v>
      </c>
      <c r="D48" s="528"/>
      <c r="E48" s="528"/>
      <c r="F48" s="52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32" t="s">
        <v>156</v>
      </c>
      <c r="D49" s="532"/>
      <c r="E49" s="532"/>
      <c r="F49" s="53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28" t="s">
        <v>157</v>
      </c>
      <c r="D50" s="528"/>
      <c r="E50" s="528"/>
      <c r="F50" s="52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28" t="s">
        <v>159</v>
      </c>
      <c r="D51" s="528"/>
      <c r="E51" s="528"/>
      <c r="F51" s="52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31"/>
      <c r="C56" s="531"/>
      <c r="D56" s="531"/>
      <c r="E56" s="531"/>
      <c r="F56" s="531"/>
      <c r="G56" s="531"/>
      <c r="H56" s="531"/>
      <c r="I56" s="531"/>
      <c r="J56" s="531"/>
      <c r="K56" s="531"/>
      <c r="L56" s="3"/>
    </row>
    <row r="57" spans="2:12" ht="20.100000000000001" customHeight="1" x14ac:dyDescent="0.25">
      <c r="B57" s="531"/>
      <c r="C57" s="531"/>
      <c r="D57" s="531"/>
      <c r="E57" s="531"/>
      <c r="F57" s="531"/>
      <c r="G57" s="531"/>
      <c r="H57" s="531"/>
      <c r="I57" s="531"/>
      <c r="J57" s="531"/>
      <c r="K57" s="531"/>
      <c r="L57" s="3"/>
    </row>
    <row r="58" spans="2:12" ht="20.100000000000001" customHeight="1" x14ac:dyDescent="0.25">
      <c r="B58" s="531"/>
      <c r="C58" s="531"/>
      <c r="D58" s="531"/>
      <c r="E58" s="531"/>
      <c r="F58" s="531"/>
      <c r="G58" s="531"/>
      <c r="H58" s="531"/>
      <c r="I58" s="531"/>
      <c r="J58" s="531"/>
      <c r="K58" s="53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31"/>
      <c r="C61" s="531"/>
      <c r="D61" s="531"/>
      <c r="E61" s="531"/>
      <c r="F61" s="531"/>
      <c r="G61" s="531"/>
      <c r="H61" s="531"/>
      <c r="I61" s="531"/>
      <c r="J61" s="531"/>
      <c r="K61" s="531"/>
      <c r="L61" s="3"/>
    </row>
    <row r="62" spans="2:12" ht="20.100000000000001" customHeight="1" x14ac:dyDescent="0.25">
      <c r="B62" s="531"/>
      <c r="C62" s="531"/>
      <c r="D62" s="531"/>
      <c r="E62" s="531"/>
      <c r="F62" s="531"/>
      <c r="G62" s="531"/>
      <c r="H62" s="531"/>
      <c r="I62" s="531"/>
      <c r="J62" s="531"/>
      <c r="K62" s="531"/>
      <c r="L62" s="3"/>
    </row>
    <row r="63" spans="2:12" ht="20.100000000000001" customHeight="1" x14ac:dyDescent="0.25">
      <c r="B63" s="531"/>
      <c r="C63" s="531"/>
      <c r="D63" s="531"/>
      <c r="E63" s="531"/>
      <c r="F63" s="531"/>
      <c r="G63" s="531"/>
      <c r="H63" s="531"/>
      <c r="I63" s="531"/>
      <c r="J63" s="531"/>
      <c r="K63" s="53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29" t="s">
        <v>163</v>
      </c>
      <c r="D66" s="530"/>
      <c r="E66" s="530"/>
      <c r="F66" s="530"/>
    </row>
    <row r="67" spans="2:12" x14ac:dyDescent="0.25">
      <c r="B67" s="5">
        <v>6.1</v>
      </c>
      <c r="C67" s="528" t="s">
        <v>164</v>
      </c>
      <c r="D67" s="528"/>
      <c r="E67" s="528"/>
      <c r="F67" s="528"/>
    </row>
    <row r="68" spans="2:12" x14ac:dyDescent="0.25">
      <c r="B68" s="5">
        <v>6.2</v>
      </c>
      <c r="C68" s="528" t="s">
        <v>165</v>
      </c>
      <c r="D68" s="528"/>
      <c r="E68" s="528"/>
      <c r="F68" s="528"/>
    </row>
    <row r="69" spans="2:12" x14ac:dyDescent="0.25">
      <c r="B69" s="5">
        <v>6.3</v>
      </c>
      <c r="C69" s="528" t="s">
        <v>166</v>
      </c>
      <c r="D69" s="528"/>
      <c r="E69" s="528"/>
      <c r="F69" s="528"/>
    </row>
    <row r="70" spans="2:12" x14ac:dyDescent="0.25">
      <c r="B70" s="5">
        <v>6.4</v>
      </c>
      <c r="C70" s="528" t="s">
        <v>167</v>
      </c>
      <c r="D70" s="528"/>
      <c r="E70" s="528"/>
      <c r="F70" s="528"/>
    </row>
    <row r="71" spans="2:12" x14ac:dyDescent="0.25">
      <c r="B71" s="5">
        <v>6.5</v>
      </c>
      <c r="C71" s="528" t="s">
        <v>168</v>
      </c>
      <c r="D71" s="528"/>
      <c r="E71" s="528"/>
      <c r="F71" s="528"/>
    </row>
    <row r="72" spans="2:12" x14ac:dyDescent="0.25">
      <c r="B72" s="5">
        <v>6.6</v>
      </c>
      <c r="C72" s="528" t="s">
        <v>169</v>
      </c>
      <c r="D72" s="528"/>
      <c r="E72" s="528"/>
      <c r="F72" s="52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293">
        <v>1.1000000000000001</v>
      </c>
      <c r="C2" s="293">
        <v>1.2</v>
      </c>
      <c r="D2" s="293">
        <v>1.3</v>
      </c>
      <c r="E2" s="293">
        <v>1.4</v>
      </c>
      <c r="F2" s="293">
        <v>1.5</v>
      </c>
      <c r="G2" s="293">
        <v>1.6</v>
      </c>
      <c r="H2" s="295">
        <v>2.1</v>
      </c>
      <c r="I2" s="296">
        <v>2.2000000000000002</v>
      </c>
      <c r="J2" s="295">
        <v>2.2999999999999998</v>
      </c>
      <c r="K2" s="296">
        <v>2.4</v>
      </c>
      <c r="L2" s="297">
        <v>2.5</v>
      </c>
      <c r="M2" s="295">
        <v>2.6</v>
      </c>
      <c r="N2" s="295">
        <v>2.7</v>
      </c>
      <c r="O2" s="295">
        <v>2.8</v>
      </c>
      <c r="P2" s="295">
        <v>3.1</v>
      </c>
    </row>
    <row r="3" spans="1:19" s="1" customFormat="1" x14ac:dyDescent="0.25">
      <c r="B3" s="540" t="s">
        <v>398</v>
      </c>
      <c r="C3" s="540"/>
      <c r="D3" s="540"/>
      <c r="E3" s="540"/>
      <c r="F3" s="540"/>
      <c r="G3" s="54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405</v>
      </c>
      <c r="Q3" s="1" t="s">
        <v>396</v>
      </c>
      <c r="R3" s="1" t="s">
        <v>343</v>
      </c>
    </row>
    <row r="4" spans="1:19" x14ac:dyDescent="0.25">
      <c r="A4" s="228" t="s">
        <v>397</v>
      </c>
      <c r="B4" s="294"/>
      <c r="C4" s="294"/>
      <c r="D4" s="294"/>
      <c r="E4" s="294"/>
      <c r="F4" s="294"/>
      <c r="G4" s="294"/>
      <c r="H4" s="294"/>
      <c r="I4" s="294"/>
      <c r="J4" s="294"/>
      <c r="K4" s="294"/>
      <c r="L4" s="294"/>
      <c r="M4" s="298"/>
      <c r="N4" s="294"/>
      <c r="O4" s="294"/>
      <c r="P4" s="294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59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41" t="s">
        <v>84</v>
      </c>
      <c r="D1" s="541"/>
      <c r="E1" s="541"/>
      <c r="F1" s="541"/>
      <c r="G1" s="541"/>
      <c r="H1" s="54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29" t="s">
        <v>85</v>
      </c>
      <c r="C3" s="529"/>
      <c r="D3" s="529" t="s">
        <v>86</v>
      </c>
      <c r="E3" s="529"/>
      <c r="F3" s="529"/>
      <c r="G3" s="529"/>
      <c r="H3" s="529"/>
    </row>
    <row r="4" spans="1:21" x14ac:dyDescent="0.25">
      <c r="B4" s="538"/>
      <c r="C4" s="538"/>
      <c r="D4" s="539" t="s">
        <v>87</v>
      </c>
      <c r="E4" s="539"/>
      <c r="F4" s="539"/>
      <c r="G4" s="539"/>
      <c r="H4" s="53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283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283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283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283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283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283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407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376"/>
      <c r="B25" s="374">
        <v>3.3</v>
      </c>
      <c r="C25" s="37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408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415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409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416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414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410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417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412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411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413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418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419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420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421</v>
      </c>
      <c r="K40" t="s">
        <v>13</v>
      </c>
      <c r="L40" t="s">
        <v>22</v>
      </c>
      <c r="M40" t="s">
        <v>329</v>
      </c>
      <c r="N40" t="s">
        <v>404</v>
      </c>
      <c r="O40" t="s">
        <v>528</v>
      </c>
      <c r="P40" t="s">
        <v>553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422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423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424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425</v>
      </c>
      <c r="U44" s="61"/>
      <c r="V44" s="61"/>
      <c r="W44" s="39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426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390">
        <f>+F45*U45</f>
        <v>173864.40000000002</v>
      </c>
      <c r="W45" s="392">
        <v>638.5</v>
      </c>
      <c r="X45" s="39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396" t="s">
        <v>515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427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390">
        <f>+F46*U46</f>
        <v>167470.32</v>
      </c>
      <c r="W46" s="392">
        <v>1210.95</v>
      </c>
      <c r="X46" s="39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428</v>
      </c>
      <c r="U47" s="61"/>
      <c r="V47" s="61"/>
      <c r="W47" s="61"/>
      <c r="X47" s="39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429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39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555</v>
      </c>
      <c r="B55" s="5" t="s">
        <v>578</v>
      </c>
      <c r="C55" s="29" t="s">
        <v>540</v>
      </c>
      <c r="D55" s="6">
        <v>357</v>
      </c>
      <c r="E55" s="6" t="s">
        <v>554</v>
      </c>
      <c r="F55" s="8">
        <v>1913.01</v>
      </c>
      <c r="G55" s="9">
        <f>+D55*F55</f>
        <v>682944.57</v>
      </c>
      <c r="H55" s="10" t="s">
        <v>98</v>
      </c>
      <c r="I55" s="26" t="s">
        <v>547</v>
      </c>
      <c r="J55" s="435">
        <f>F55/$F$17</f>
        <v>0.13967369241867134</v>
      </c>
      <c r="K55" s="26">
        <f>+J55*F17</f>
        <v>1913.01</v>
      </c>
    </row>
    <row r="56" spans="1:11" x14ac:dyDescent="0.25">
      <c r="A56" s="1" t="s">
        <v>555</v>
      </c>
      <c r="B56" s="5" t="s">
        <v>579</v>
      </c>
      <c r="C56" s="29" t="s">
        <v>542</v>
      </c>
      <c r="D56" s="6">
        <v>252</v>
      </c>
      <c r="E56" s="6" t="s">
        <v>554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548</v>
      </c>
      <c r="J56" s="435">
        <f t="shared" ref="J56:J58" si="12">F56/$F$17</f>
        <v>0.22119874885735394</v>
      </c>
    </row>
    <row r="57" spans="1:11" x14ac:dyDescent="0.25">
      <c r="A57" s="1" t="s">
        <v>555</v>
      </c>
      <c r="B57" s="5" t="s">
        <v>580</v>
      </c>
      <c r="C57" s="29" t="s">
        <v>543</v>
      </c>
      <c r="D57" s="6">
        <v>372</v>
      </c>
      <c r="E57" s="6" t="s">
        <v>554</v>
      </c>
      <c r="F57" s="8">
        <v>1821.08</v>
      </c>
      <c r="G57" s="9">
        <f t="shared" si="11"/>
        <v>677441.76</v>
      </c>
      <c r="H57" s="10" t="s">
        <v>98</v>
      </c>
      <c r="I57" t="s">
        <v>549</v>
      </c>
      <c r="J57" s="435">
        <f t="shared" si="12"/>
        <v>0.13296165090082854</v>
      </c>
    </row>
    <row r="58" spans="1:11" x14ac:dyDescent="0.25">
      <c r="B58" s="5"/>
      <c r="C58" s="29" t="s">
        <v>583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581</v>
      </c>
      <c r="J58" s="435">
        <f t="shared" si="12"/>
        <v>1.4028035349744601</v>
      </c>
    </row>
    <row r="65" spans="2:12" ht="15.75" thickBot="1" x14ac:dyDescent="0.3">
      <c r="C65" s="413">
        <v>46258</v>
      </c>
      <c r="E65" s="427">
        <f>+$E$67*$J$67</f>
        <v>55735</v>
      </c>
      <c r="F65" s="427">
        <f>+$F$67*$J$67</f>
        <v>71000</v>
      </c>
      <c r="G65" s="427">
        <f>+$G$68*$J$68+$G$69*$J$69</f>
        <v>215000</v>
      </c>
      <c r="H65" s="427">
        <f>+$H$68*$J$68+$H$69*$J$69</f>
        <v>272740</v>
      </c>
    </row>
    <row r="66" spans="2:12" ht="16.5" thickBot="1" x14ac:dyDescent="0.3">
      <c r="C66" s="415" t="s">
        <v>533</v>
      </c>
      <c r="D66" s="417" t="s">
        <v>534</v>
      </c>
      <c r="E66" s="417" t="s">
        <v>535</v>
      </c>
      <c r="F66" s="417" t="s">
        <v>536</v>
      </c>
      <c r="G66" s="417" t="s">
        <v>537</v>
      </c>
      <c r="H66" s="417" t="s">
        <v>538</v>
      </c>
      <c r="I66" s="417" t="s">
        <v>93</v>
      </c>
      <c r="J66" s="417" t="s">
        <v>539</v>
      </c>
      <c r="K66" s="417" t="s">
        <v>93</v>
      </c>
    </row>
    <row r="67" spans="2:12" ht="16.5" thickBot="1" x14ac:dyDescent="0.3">
      <c r="B67" s="76" t="s">
        <v>544</v>
      </c>
      <c r="C67" s="416" t="s">
        <v>540</v>
      </c>
      <c r="D67" s="418" t="s">
        <v>541</v>
      </c>
      <c r="E67" s="422">
        <v>157</v>
      </c>
      <c r="F67" s="422">
        <v>200</v>
      </c>
      <c r="G67" s="418"/>
      <c r="H67" s="418"/>
      <c r="I67" s="419">
        <v>357</v>
      </c>
      <c r="J67" s="421">
        <v>355</v>
      </c>
      <c r="K67" s="420">
        <f>+J67*I67</f>
        <v>126735</v>
      </c>
      <c r="L67" t="s">
        <v>547</v>
      </c>
    </row>
    <row r="68" spans="2:12" ht="16.5" thickBot="1" x14ac:dyDescent="0.3">
      <c r="B68" s="76" t="s">
        <v>545</v>
      </c>
      <c r="C68" s="416" t="s">
        <v>542</v>
      </c>
      <c r="D68" s="418" t="s">
        <v>541</v>
      </c>
      <c r="E68" s="418"/>
      <c r="F68" s="418"/>
      <c r="G68" s="418">
        <v>104</v>
      </c>
      <c r="H68" s="418">
        <v>148</v>
      </c>
      <c r="I68" s="419">
        <v>252</v>
      </c>
      <c r="J68" s="421">
        <v>1500</v>
      </c>
      <c r="K68" s="420">
        <f t="shared" ref="K68:K69" si="13">+J68*I68</f>
        <v>378000</v>
      </c>
      <c r="L68" t="s">
        <v>548</v>
      </c>
    </row>
    <row r="69" spans="2:12" ht="16.5" thickBot="1" x14ac:dyDescent="0.3">
      <c r="B69" s="76" t="s">
        <v>546</v>
      </c>
      <c r="C69" s="416" t="s">
        <v>543</v>
      </c>
      <c r="D69" s="418" t="s">
        <v>541</v>
      </c>
      <c r="E69" s="418"/>
      <c r="F69" s="418"/>
      <c r="G69" s="422">
        <v>200</v>
      </c>
      <c r="H69" s="418">
        <v>172</v>
      </c>
      <c r="I69" s="419">
        <v>372</v>
      </c>
      <c r="J69" s="421">
        <v>295</v>
      </c>
      <c r="K69" s="420">
        <f t="shared" si="13"/>
        <v>109740</v>
      </c>
      <c r="L69" t="s">
        <v>549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39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64" t="s">
        <v>502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371">
        <f>IFERROR(SUMIFS(Tabla1[Avance_km],Tabla1[Ducto],'R (s03)'!$B7,Tabla1[nombre_actividad],D$1,Tabla1[Sistema],"HUIMILPAN")/$C7,0)</f>
        <v>0</v>
      </c>
      <c r="E7" s="371">
        <f>IFERROR(SUMIFS(Tabla1[Avance_km],Tabla1[Ducto],'R (s03)'!$B7,Tabla1[nombre_actividad],E$1,Tabla1[Sistema],"HUIMILPAN")/$C7,0)</f>
        <v>0</v>
      </c>
      <c r="F7" s="37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63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371">
        <f>IFERROR(SUMIFS(Tabla1[Avance_km],Tabla1[Ducto],'R (s03)'!$B11,Tabla1[nombre_actividad],D$1,Tabla1[Sistema],"HUIMILPAN")/$C11,0)</f>
        <v>0</v>
      </c>
      <c r="E11" s="371">
        <f>IFERROR(SUMIFS(Tabla1[Avance_km],Tabla1[Ducto],'R (s03)'!$B11,Tabla1[nombre_actividad],E$1,Tabla1[Sistema],"HUIMILPAN")/$C11,0)</f>
        <v>0</v>
      </c>
      <c r="F11" s="37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63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52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63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52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371">
        <f>IFERROR(SUMIFS(Tabla1[Avance_km],Tabla1[Ducto],'R (s03)'!$B23,Tabla1[nombre_actividad],D$1,Tabla1[Sistema],"HUIMILPAN")/$C23,0)</f>
        <v>0</v>
      </c>
      <c r="E23" s="371">
        <f>IFERROR(SUMIFS(Tabla1[Avance_km],Tabla1[Ducto],'R (s03)'!$B23,Tabla1[nombre_actividad],E$1,Tabla1[Sistema],"HUIMILPAN")/$C23,0)</f>
        <v>0</v>
      </c>
      <c r="F23" s="37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63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52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380" t="s">
        <v>329</v>
      </c>
      <c r="B32" s="381" t="s">
        <v>246</v>
      </c>
      <c r="C32" s="382">
        <v>0</v>
      </c>
      <c r="D32" s="383">
        <f>IFERROR(SUMIFS(Tabla1[Avance_km],Tabla1[Ducto],'R (s03)'!$B32,Tabla1[nombre_actividad],D$1,Tabla1[Sistema],"HUIMILPAN")/$C32,0)</f>
        <v>0</v>
      </c>
      <c r="E32" s="383">
        <f>IFERROR(SUMIFS(Tabla1[Avance_km],Tabla1[Ducto],'R (s03)'!$B32,Tabla1[nombre_actividad],E$1,Tabla1[Sistema],"HUIMILPAN")/$C32,0)</f>
        <v>0</v>
      </c>
      <c r="F32" s="383">
        <f>IFERROR(SUMIFS(Tabla1[Avance_km],Tabla1[Ducto],'R (s03)'!$B32,Tabla1[nombre_actividad],F$1,Tabla1[Sistema],"HUIMILPAN")/$C32,0)</f>
        <v>0</v>
      </c>
      <c r="G32" s="38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512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526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380" t="s">
        <v>329</v>
      </c>
      <c r="B43" s="380" t="s">
        <v>494</v>
      </c>
      <c r="C43" s="382">
        <v>0</v>
      </c>
      <c r="D43" s="383">
        <f>IFERROR(SUMIFS(Tabla1[Avance_km],Tabla1[Ducto],'R (s03)'!$B43,Tabla1[nombre_actividad],D$1,Tabla1[Sistema],"HUIMILPAN")/$C43,0)</f>
        <v>0</v>
      </c>
      <c r="E43" s="383">
        <f>IFERROR(SUMIFS(Tabla1[Avance_km],Tabla1[Ducto],'R (s03)'!$B43,Tabla1[nombre_actividad],E$1,Tabla1[Sistema],"HUIMILPAN")/$C43,0)</f>
        <v>0</v>
      </c>
      <c r="F43" s="383">
        <f>IFERROR(SUMIFS(Tabla1[Avance_km],Tabla1[Ducto],'R (s03)'!$B43,Tabla1[nombre_actividad],F$1,Tabla1[Sistema],"HUIMILPAN")/$C43,0)</f>
        <v>0</v>
      </c>
      <c r="G43" s="354" t="s">
        <v>498</v>
      </c>
      <c r="H43" s="79"/>
      <c r="I43" s="79"/>
      <c r="J43" s="144"/>
      <c r="K43" s="24" t="s">
        <v>527</v>
      </c>
      <c r="L43"/>
      <c r="M43" s="91" t="s">
        <v>494</v>
      </c>
      <c r="N43" s="26"/>
    </row>
    <row r="44" spans="1:14" s="1" customFormat="1" ht="27" thickBot="1" x14ac:dyDescent="0.35">
      <c r="A44" s="34" t="s">
        <v>329</v>
      </c>
      <c r="B44" s="179" t="s">
        <v>496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54"/>
      <c r="H44" s="79"/>
      <c r="I44" s="79"/>
      <c r="J44" s="144"/>
      <c r="L44"/>
      <c r="M44" s="91" t="s">
        <v>496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60" t="s">
        <v>501</v>
      </c>
      <c r="D49" s="361">
        <f>1000*(SUM(C2:C45)-SUMPRODUCT(C2:C45,D2:D45))</f>
        <v>6.9999999999978968</v>
      </c>
      <c r="E49" s="361">
        <f>1000*(SUM(C2:C45)-SUMPRODUCT(C2:C45,E2:E45))</f>
        <v>562.99999999998818</v>
      </c>
      <c r="F49" s="361">
        <f>1000*(SUM(C2:C45)-SUMPRODUCT(C2:C45,F2:F45))</f>
        <v>745.99999999999511</v>
      </c>
    </row>
    <row r="50" spans="3:12" x14ac:dyDescent="0.25">
      <c r="K50" s="387" t="s">
        <v>510</v>
      </c>
    </row>
    <row r="51" spans="3:12" x14ac:dyDescent="0.25">
      <c r="J51" s="386">
        <v>46241</v>
      </c>
      <c r="K51" s="1" t="s">
        <v>496</v>
      </c>
      <c r="L51" t="s">
        <v>511</v>
      </c>
    </row>
    <row r="52" spans="3:12" x14ac:dyDescent="0.25">
      <c r="J52" s="386">
        <v>46241</v>
      </c>
      <c r="K52" s="1" t="s">
        <v>225</v>
      </c>
      <c r="L52" t="s">
        <v>513</v>
      </c>
    </row>
    <row r="53" spans="3:12" x14ac:dyDescent="0.25">
      <c r="D53" s="26" t="s">
        <v>28</v>
      </c>
      <c r="E53" s="26"/>
      <c r="J53" s="386"/>
    </row>
    <row r="54" spans="3:12" x14ac:dyDescent="0.25">
      <c r="D54" s="26" t="s">
        <v>212</v>
      </c>
      <c r="E54" s="26"/>
    </row>
    <row r="55" spans="3:12" x14ac:dyDescent="0.25">
      <c r="D55" s="413" cm="1">
        <f t="array" ref="D55:F77">_xlfn._xlws.SORT(_xlfn._xlws.FILTER(_xlfn._xlws.FILTER(Tabla1[],(Tabla1[Ducto]=D54)*(Tabla1[Actividades]=D53),),{1,0,0,0,0,1,1,0,0,0,0,0,0,0}),2,1)</f>
        <v>46157</v>
      </c>
      <c r="E55" s="330">
        <v>0</v>
      </c>
      <c r="F55" s="330">
        <v>2410</v>
      </c>
      <c r="G55" t="str">
        <f>+IF(F55=E56,"OK","rev")</f>
        <v>OK</v>
      </c>
    </row>
    <row r="56" spans="3:12" x14ac:dyDescent="0.25">
      <c r="D56" s="413">
        <v>46158</v>
      </c>
      <c r="E56" s="330">
        <v>2410</v>
      </c>
      <c r="F56" s="330">
        <v>4336</v>
      </c>
      <c r="G56" t="str">
        <f t="shared" ref="G56:G77" si="0">+IF(F56=E57,"OK","rev")</f>
        <v>OK</v>
      </c>
      <c r="J56" s="386"/>
    </row>
    <row r="57" spans="3:12" x14ac:dyDescent="0.25">
      <c r="D57" s="413">
        <v>46163</v>
      </c>
      <c r="E57" s="330">
        <v>4336</v>
      </c>
      <c r="F57" s="330">
        <v>6908</v>
      </c>
      <c r="G57" t="str">
        <f t="shared" si="0"/>
        <v>OK</v>
      </c>
      <c r="J57" s="386"/>
    </row>
    <row r="58" spans="3:12" x14ac:dyDescent="0.25">
      <c r="D58" s="413">
        <v>46164</v>
      </c>
      <c r="E58" s="330">
        <v>6908</v>
      </c>
      <c r="F58" s="330">
        <v>9461</v>
      </c>
      <c r="G58" t="str">
        <f t="shared" si="0"/>
        <v>OK</v>
      </c>
    </row>
    <row r="59" spans="3:12" x14ac:dyDescent="0.25">
      <c r="D59" s="413">
        <v>46165</v>
      </c>
      <c r="E59" s="330">
        <v>9461</v>
      </c>
      <c r="F59" s="330">
        <v>11253</v>
      </c>
      <c r="G59" t="str">
        <f t="shared" si="0"/>
        <v>OK</v>
      </c>
    </row>
    <row r="60" spans="3:12" x14ac:dyDescent="0.25">
      <c r="D60" s="413">
        <v>46174</v>
      </c>
      <c r="E60" s="330">
        <v>11253</v>
      </c>
      <c r="F60" s="330">
        <v>13245</v>
      </c>
      <c r="G60" t="str">
        <f t="shared" si="0"/>
        <v>OK</v>
      </c>
    </row>
    <row r="61" spans="3:12" x14ac:dyDescent="0.25">
      <c r="D61" s="413">
        <v>46175</v>
      </c>
      <c r="E61" s="330">
        <v>13245</v>
      </c>
      <c r="F61" s="330">
        <v>15238</v>
      </c>
      <c r="G61" t="str">
        <f t="shared" si="0"/>
        <v>OK</v>
      </c>
    </row>
    <row r="62" spans="3:12" x14ac:dyDescent="0.25">
      <c r="D62" s="413">
        <v>46176</v>
      </c>
      <c r="E62" s="330">
        <v>15238</v>
      </c>
      <c r="F62" s="330">
        <v>15605</v>
      </c>
      <c r="G62" t="str">
        <f t="shared" si="0"/>
        <v>OK</v>
      </c>
    </row>
    <row r="63" spans="3:12" x14ac:dyDescent="0.25">
      <c r="D63" s="413">
        <v>46191</v>
      </c>
      <c r="E63" s="330">
        <v>15605</v>
      </c>
      <c r="F63" s="330">
        <v>16617</v>
      </c>
      <c r="G63" t="str">
        <f t="shared" si="0"/>
        <v>OK</v>
      </c>
    </row>
    <row r="64" spans="3:12" x14ac:dyDescent="0.25">
      <c r="D64" s="413">
        <v>46177</v>
      </c>
      <c r="E64" s="330">
        <v>16617</v>
      </c>
      <c r="F64" s="330">
        <v>17605</v>
      </c>
      <c r="G64" t="str">
        <f t="shared" si="0"/>
        <v>OK</v>
      </c>
    </row>
    <row r="65" spans="4:7" x14ac:dyDescent="0.25">
      <c r="D65" s="413">
        <v>46176</v>
      </c>
      <c r="E65" s="330">
        <v>17605</v>
      </c>
      <c r="F65" s="330">
        <v>17932</v>
      </c>
      <c r="G65" t="str">
        <f t="shared" si="0"/>
        <v>OK</v>
      </c>
    </row>
    <row r="66" spans="4:7" x14ac:dyDescent="0.25">
      <c r="D66" s="413">
        <v>46177</v>
      </c>
      <c r="E66" s="330">
        <v>17932</v>
      </c>
      <c r="F66" s="330">
        <v>18406</v>
      </c>
      <c r="G66" t="str">
        <f t="shared" si="0"/>
        <v>OK</v>
      </c>
    </row>
    <row r="67" spans="4:7" x14ac:dyDescent="0.25">
      <c r="D67" s="413">
        <v>46188</v>
      </c>
      <c r="E67" s="330">
        <v>18406</v>
      </c>
      <c r="F67" s="330">
        <v>18873</v>
      </c>
      <c r="G67" t="str">
        <f t="shared" si="0"/>
        <v>OK</v>
      </c>
    </row>
    <row r="68" spans="4:7" x14ac:dyDescent="0.25">
      <c r="D68" s="413">
        <v>46189</v>
      </c>
      <c r="E68" s="330">
        <v>18873</v>
      </c>
      <c r="F68" s="330">
        <v>19571</v>
      </c>
      <c r="G68" t="str">
        <f t="shared" si="0"/>
        <v>OK</v>
      </c>
    </row>
    <row r="69" spans="4:7" x14ac:dyDescent="0.25">
      <c r="D69" s="413">
        <v>46191</v>
      </c>
      <c r="E69" s="330">
        <v>19571</v>
      </c>
      <c r="F69" s="330">
        <v>19731</v>
      </c>
      <c r="G69" t="str">
        <f t="shared" si="0"/>
        <v>OK</v>
      </c>
    </row>
    <row r="70" spans="4:7" x14ac:dyDescent="0.25">
      <c r="D70" s="413">
        <v>46190</v>
      </c>
      <c r="E70" s="330">
        <v>19731</v>
      </c>
      <c r="F70" s="330">
        <v>20170</v>
      </c>
      <c r="G70" t="str">
        <f t="shared" si="0"/>
        <v>OK</v>
      </c>
    </row>
    <row r="71" spans="4:7" x14ac:dyDescent="0.25">
      <c r="D71" s="413">
        <v>46183</v>
      </c>
      <c r="E71" s="330">
        <v>20170</v>
      </c>
      <c r="F71" s="330">
        <v>20312</v>
      </c>
      <c r="G71" t="str">
        <f t="shared" si="0"/>
        <v>OK</v>
      </c>
    </row>
    <row r="72" spans="4:7" x14ac:dyDescent="0.25">
      <c r="D72" s="413">
        <v>46185</v>
      </c>
      <c r="E72" s="330">
        <v>20312</v>
      </c>
      <c r="F72" s="330">
        <v>21184</v>
      </c>
      <c r="G72" t="str">
        <f t="shared" si="0"/>
        <v>OK</v>
      </c>
    </row>
    <row r="73" spans="4:7" x14ac:dyDescent="0.25">
      <c r="D73" s="413">
        <v>46183</v>
      </c>
      <c r="E73" s="330">
        <v>21184</v>
      </c>
      <c r="F73" s="330">
        <v>21466</v>
      </c>
      <c r="G73" t="str">
        <f t="shared" si="0"/>
        <v>OK</v>
      </c>
    </row>
    <row r="74" spans="4:7" x14ac:dyDescent="0.25">
      <c r="D74" s="413">
        <v>46182</v>
      </c>
      <c r="E74" s="330">
        <v>21466</v>
      </c>
      <c r="F74" s="330">
        <v>22255</v>
      </c>
      <c r="G74" t="str">
        <f t="shared" si="0"/>
        <v>OK</v>
      </c>
    </row>
    <row r="75" spans="4:7" x14ac:dyDescent="0.25">
      <c r="D75" s="413">
        <v>46183</v>
      </c>
      <c r="E75" s="330">
        <v>22255</v>
      </c>
      <c r="F75" s="330">
        <v>22858</v>
      </c>
      <c r="G75" t="str">
        <f t="shared" si="0"/>
        <v>OK</v>
      </c>
    </row>
    <row r="76" spans="4:7" x14ac:dyDescent="0.25">
      <c r="D76" s="413">
        <v>46181</v>
      </c>
      <c r="E76" s="330">
        <v>22858</v>
      </c>
      <c r="F76" s="330">
        <v>24240</v>
      </c>
      <c r="G76" t="str">
        <f t="shared" si="0"/>
        <v>OK</v>
      </c>
    </row>
    <row r="77" spans="4:7" x14ac:dyDescent="0.25">
      <c r="D77" s="413">
        <v>46182</v>
      </c>
      <c r="E77" s="330">
        <v>24240</v>
      </c>
      <c r="F77" s="330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384" t="s">
        <v>498</v>
      </c>
      <c r="G6" s="384" t="s">
        <v>498</v>
      </c>
      <c r="H6" s="79"/>
      <c r="I6" s="79"/>
      <c r="J6" s="144"/>
      <c r="K6" s="1">
        <f>+E6*C6*1000</f>
        <v>31253</v>
      </c>
    </row>
    <row r="8" spans="1:19" x14ac:dyDescent="0.25">
      <c r="D8" s="76" t="s">
        <v>639</v>
      </c>
      <c r="E8" s="76" t="s">
        <v>639</v>
      </c>
    </row>
    <row r="9" spans="1:19" x14ac:dyDescent="0.25">
      <c r="D9" s="526">
        <f>+C6*(1-D6)</f>
        <v>15.377499999999996</v>
      </c>
      <c r="E9" s="526">
        <f>+C6*(1-E6)</f>
        <v>16.343499999999999</v>
      </c>
    </row>
    <row r="10" spans="1:19" ht="15.75" thickBot="1" x14ac:dyDescent="0.3">
      <c r="E10" s="52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385"/>
      <c r="K11" s="33" t="s">
        <v>2</v>
      </c>
      <c r="L11" s="388" t="s">
        <v>520</v>
      </c>
      <c r="M11" s="412"/>
      <c r="N11" s="542" t="s">
        <v>525</v>
      </c>
      <c r="O11" s="543"/>
      <c r="P11" s="54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57" t="s">
        <v>211</v>
      </c>
      <c r="K12" s="429" t="s">
        <v>524</v>
      </c>
      <c r="L12" s="429" t="s">
        <v>496</v>
      </c>
      <c r="M12" s="430">
        <v>1</v>
      </c>
      <c r="N12" s="456" t="s">
        <v>518</v>
      </c>
      <c r="O12" s="433"/>
      <c r="P12" s="434"/>
      <c r="Q12" s="330">
        <v>0</v>
      </c>
    </row>
    <row r="13" spans="1:19" x14ac:dyDescent="0.25">
      <c r="A13" s="413" cm="1">
        <f t="array" ref="A13:C30">_xlfn._xlws.SORT(_xlfn._xlws.FILTER(_xlfn._xlws.FILTER(Tabla1[],(Tabla1[Ducto]=A12)*(Tabla1[Actividades]=A11),),{1,0,0,0,0,1,1,0,0,0,0,0,0,0}),2,1)</f>
        <v>46249</v>
      </c>
      <c r="B13" s="330">
        <v>0</v>
      </c>
      <c r="C13" s="330">
        <v>845</v>
      </c>
      <c r="D13" t="str">
        <f>+IF(C12=B13,"OK","rev")</f>
        <v>OK</v>
      </c>
      <c r="E13" s="413" cm="1">
        <f t="array" ref="E13:G34">_xlfn._xlws.SORT(_xlfn._xlws.FILTER(_xlfn._xlws.FILTER(Tabla1[],(Tabla1[Ducto]=E12)*(Tabla1[Actividades]=E11),),{1,0,0,0,0,1,1,0,0,0,0,0,0,0}),2,1)</f>
        <v>46252</v>
      </c>
      <c r="F13" s="330">
        <v>0</v>
      </c>
      <c r="G13" s="330">
        <v>2981</v>
      </c>
      <c r="H13" t="str">
        <f t="shared" ref="H13:H34" si="0">+IF(G12=F13,"OK","rev")</f>
        <v>OK</v>
      </c>
      <c r="J13" s="457" t="s">
        <v>352</v>
      </c>
      <c r="K13" s="429" t="s">
        <v>351</v>
      </c>
      <c r="L13" s="429" t="s">
        <v>359</v>
      </c>
      <c r="M13" s="430">
        <v>3</v>
      </c>
      <c r="N13" s="431" t="s">
        <v>518</v>
      </c>
      <c r="O13" s="429" t="s">
        <v>519</v>
      </c>
      <c r="P13" s="432" t="s">
        <v>517</v>
      </c>
      <c r="Q13" s="330">
        <v>0</v>
      </c>
      <c r="R13" s="330">
        <v>400</v>
      </c>
      <c r="S13" s="330">
        <v>875</v>
      </c>
    </row>
    <row r="14" spans="1:19" x14ac:dyDescent="0.25">
      <c r="A14" s="413">
        <v>46250</v>
      </c>
      <c r="B14" s="330">
        <v>845</v>
      </c>
      <c r="C14" s="330">
        <v>1920</v>
      </c>
      <c r="D14" t="str">
        <f t="shared" ref="D14:D30" si="1">+IF(C13=B14,"OK","rev")</f>
        <v>OK</v>
      </c>
      <c r="E14" s="413">
        <v>46254</v>
      </c>
      <c r="F14" s="330">
        <v>2981</v>
      </c>
      <c r="G14" s="330">
        <v>4939</v>
      </c>
      <c r="H14" t="str">
        <f t="shared" si="0"/>
        <v>OK</v>
      </c>
      <c r="J14" s="457" t="s">
        <v>352</v>
      </c>
      <c r="K14" s="429" t="s">
        <v>351</v>
      </c>
      <c r="L14" s="429" t="s">
        <v>360</v>
      </c>
      <c r="M14" s="430">
        <v>1</v>
      </c>
      <c r="N14" s="431" t="s">
        <v>517</v>
      </c>
      <c r="O14" s="433"/>
      <c r="P14" s="434"/>
      <c r="Q14" s="330">
        <v>160</v>
      </c>
      <c r="R14" s="330"/>
      <c r="S14" s="330"/>
    </row>
    <row r="15" spans="1:19" x14ac:dyDescent="0.25">
      <c r="A15" s="413">
        <v>46251</v>
      </c>
      <c r="B15" s="330">
        <v>1920</v>
      </c>
      <c r="C15" s="330">
        <v>4300</v>
      </c>
      <c r="D15" t="str">
        <f t="shared" si="1"/>
        <v>OK</v>
      </c>
      <c r="E15" s="413">
        <v>46255</v>
      </c>
      <c r="F15" s="330">
        <v>4939</v>
      </c>
      <c r="G15" s="330">
        <v>7540</v>
      </c>
      <c r="H15" t="str">
        <f t="shared" si="0"/>
        <v>OK</v>
      </c>
      <c r="J15" s="457" t="s">
        <v>352</v>
      </c>
      <c r="K15" s="429" t="s">
        <v>351</v>
      </c>
      <c r="L15" s="429" t="s">
        <v>361</v>
      </c>
      <c r="M15" s="430">
        <v>1</v>
      </c>
      <c r="N15" s="431" t="s">
        <v>518</v>
      </c>
      <c r="O15" s="433"/>
      <c r="P15" s="434"/>
      <c r="Q15" s="330">
        <v>6</v>
      </c>
      <c r="R15" s="330"/>
      <c r="S15" s="330"/>
    </row>
    <row r="16" spans="1:19" x14ac:dyDescent="0.25">
      <c r="A16" s="413">
        <v>46253</v>
      </c>
      <c r="B16" s="330">
        <v>4300</v>
      </c>
      <c r="C16" s="330">
        <v>5320</v>
      </c>
      <c r="D16" t="str">
        <f t="shared" si="1"/>
        <v>OK</v>
      </c>
      <c r="E16" s="413">
        <v>46267</v>
      </c>
      <c r="F16" s="330">
        <v>7540</v>
      </c>
      <c r="G16" s="330">
        <v>9340</v>
      </c>
      <c r="H16" t="str">
        <f t="shared" si="0"/>
        <v>OK</v>
      </c>
      <c r="J16" s="428" t="s">
        <v>380</v>
      </c>
      <c r="K16" s="429" t="s">
        <v>379</v>
      </c>
      <c r="L16" s="429" t="s">
        <v>367</v>
      </c>
      <c r="M16" s="430">
        <v>1</v>
      </c>
      <c r="N16" s="431" t="s">
        <v>518</v>
      </c>
      <c r="O16" s="433"/>
      <c r="P16" s="434"/>
      <c r="Q16" s="330">
        <v>0</v>
      </c>
      <c r="R16" s="330"/>
      <c r="S16" s="330"/>
    </row>
    <row r="17" spans="1:19" x14ac:dyDescent="0.25">
      <c r="A17" s="413">
        <v>46255</v>
      </c>
      <c r="B17" s="330">
        <v>5320</v>
      </c>
      <c r="C17" s="330">
        <v>5930</v>
      </c>
      <c r="D17" t="str">
        <f t="shared" si="1"/>
        <v>OK</v>
      </c>
      <c r="E17" s="413">
        <v>46268</v>
      </c>
      <c r="F17" s="330">
        <v>9340</v>
      </c>
      <c r="G17" s="330">
        <v>10693</v>
      </c>
      <c r="H17" t="str">
        <f t="shared" si="0"/>
        <v>OK</v>
      </c>
      <c r="J17" s="428" t="s">
        <v>380</v>
      </c>
      <c r="K17" s="429" t="s">
        <v>379</v>
      </c>
      <c r="L17" s="429" t="s">
        <v>368</v>
      </c>
      <c r="M17" s="430">
        <v>1</v>
      </c>
      <c r="N17" s="431" t="s">
        <v>518</v>
      </c>
      <c r="O17" s="433"/>
      <c r="P17" s="434"/>
      <c r="Q17" s="330">
        <v>0</v>
      </c>
      <c r="R17" s="330"/>
      <c r="S17" s="330"/>
    </row>
    <row r="18" spans="1:19" x14ac:dyDescent="0.25">
      <c r="A18" s="413">
        <v>46253</v>
      </c>
      <c r="B18" s="330">
        <v>5930</v>
      </c>
      <c r="C18" s="330">
        <v>7540</v>
      </c>
      <c r="D18" t="str">
        <f t="shared" si="1"/>
        <v>OK</v>
      </c>
      <c r="E18" s="413">
        <v>46272</v>
      </c>
      <c r="F18" s="330">
        <v>10693</v>
      </c>
      <c r="G18" s="330">
        <v>11425</v>
      </c>
      <c r="H18" t="str">
        <f t="shared" si="0"/>
        <v>OK</v>
      </c>
      <c r="J18" s="428" t="s">
        <v>380</v>
      </c>
      <c r="K18" s="429" t="s">
        <v>379</v>
      </c>
      <c r="L18" s="429" t="s">
        <v>369</v>
      </c>
      <c r="M18" s="430">
        <v>1</v>
      </c>
      <c r="N18" s="431" t="s">
        <v>518</v>
      </c>
      <c r="O18" s="433"/>
      <c r="P18" s="434"/>
      <c r="Q18" s="330">
        <v>0</v>
      </c>
      <c r="R18" s="330"/>
      <c r="S18" s="330"/>
    </row>
    <row r="19" spans="1:19" x14ac:dyDescent="0.25">
      <c r="A19" s="413">
        <v>46256</v>
      </c>
      <c r="B19" s="330">
        <v>7540</v>
      </c>
      <c r="C19" s="330">
        <v>8040</v>
      </c>
      <c r="D19" t="str">
        <f t="shared" si="1"/>
        <v>OK</v>
      </c>
      <c r="E19" s="413">
        <v>46274</v>
      </c>
      <c r="F19" s="330">
        <v>11425</v>
      </c>
      <c r="G19" s="330">
        <v>12133</v>
      </c>
      <c r="H19" t="str">
        <f t="shared" si="0"/>
        <v>OK</v>
      </c>
      <c r="J19" s="428" t="s">
        <v>380</v>
      </c>
      <c r="K19" s="429" t="s">
        <v>379</v>
      </c>
      <c r="L19" s="429" t="s">
        <v>370</v>
      </c>
      <c r="M19" s="430">
        <v>1</v>
      </c>
      <c r="N19" s="431" t="s">
        <v>518</v>
      </c>
      <c r="O19" s="433"/>
      <c r="P19" s="434"/>
      <c r="Q19" s="330">
        <v>0</v>
      </c>
      <c r="R19" s="330"/>
      <c r="S19" s="330"/>
    </row>
    <row r="20" spans="1:19" x14ac:dyDescent="0.25">
      <c r="A20" s="413">
        <v>46258</v>
      </c>
      <c r="B20" s="330">
        <v>8040</v>
      </c>
      <c r="C20" s="330">
        <v>8720</v>
      </c>
      <c r="D20" t="str">
        <f t="shared" si="1"/>
        <v>OK</v>
      </c>
      <c r="E20" s="413">
        <v>46273</v>
      </c>
      <c r="F20" s="330">
        <v>12133</v>
      </c>
      <c r="G20" s="330">
        <v>14014</v>
      </c>
      <c r="H20" t="str">
        <f t="shared" si="0"/>
        <v>OK</v>
      </c>
      <c r="J20" s="428" t="s">
        <v>380</v>
      </c>
      <c r="K20" s="429" t="s">
        <v>379</v>
      </c>
      <c r="L20" s="429" t="s">
        <v>371</v>
      </c>
      <c r="M20" s="430">
        <v>1</v>
      </c>
      <c r="N20" s="431" t="s">
        <v>518</v>
      </c>
      <c r="O20" s="433"/>
      <c r="P20" s="434"/>
      <c r="Q20" s="330">
        <v>0</v>
      </c>
      <c r="R20" s="330"/>
      <c r="S20" s="330"/>
    </row>
    <row r="21" spans="1:19" x14ac:dyDescent="0.25">
      <c r="A21" s="413">
        <v>46256</v>
      </c>
      <c r="B21" s="330">
        <v>8720</v>
      </c>
      <c r="C21" s="330">
        <v>9070</v>
      </c>
      <c r="D21" t="str">
        <f t="shared" si="1"/>
        <v>OK</v>
      </c>
      <c r="E21" s="413">
        <v>46274</v>
      </c>
      <c r="F21" s="330">
        <v>14014</v>
      </c>
      <c r="G21" s="330">
        <v>14439</v>
      </c>
      <c r="H21" t="str">
        <f t="shared" si="0"/>
        <v>OK</v>
      </c>
      <c r="J21" s="428" t="s">
        <v>380</v>
      </c>
      <c r="K21" s="429" t="s">
        <v>379</v>
      </c>
      <c r="L21" s="429" t="s">
        <v>372</v>
      </c>
      <c r="M21" s="430">
        <v>1</v>
      </c>
      <c r="N21" s="431" t="s">
        <v>518</v>
      </c>
      <c r="O21" s="433"/>
      <c r="P21" s="434"/>
      <c r="Q21" s="330">
        <v>0</v>
      </c>
      <c r="R21" s="330"/>
      <c r="S21" s="330"/>
    </row>
    <row r="22" spans="1:19" x14ac:dyDescent="0.25">
      <c r="A22" s="413">
        <v>46258</v>
      </c>
      <c r="B22" s="330">
        <v>9070</v>
      </c>
      <c r="C22" s="330">
        <v>10000</v>
      </c>
      <c r="D22" t="str">
        <f t="shared" si="1"/>
        <v>OK</v>
      </c>
      <c r="E22" s="413">
        <v>46279</v>
      </c>
      <c r="F22" s="330">
        <v>14439</v>
      </c>
      <c r="G22" s="330">
        <v>15132</v>
      </c>
      <c r="H22" t="str">
        <f t="shared" si="0"/>
        <v>OK</v>
      </c>
      <c r="J22" s="428" t="s">
        <v>380</v>
      </c>
      <c r="K22" s="429" t="s">
        <v>379</v>
      </c>
      <c r="L22" s="429" t="s">
        <v>373</v>
      </c>
      <c r="M22" s="430">
        <v>1</v>
      </c>
      <c r="N22" s="431" t="s">
        <v>518</v>
      </c>
      <c r="O22" s="433"/>
      <c r="P22" s="434"/>
      <c r="Q22" s="330">
        <v>0</v>
      </c>
      <c r="R22" s="330"/>
      <c r="S22" s="330"/>
    </row>
    <row r="23" spans="1:19" x14ac:dyDescent="0.25">
      <c r="A23" s="413">
        <v>46265</v>
      </c>
      <c r="B23" s="330">
        <v>10000</v>
      </c>
      <c r="C23" s="330">
        <v>10800</v>
      </c>
      <c r="D23" t="str">
        <f t="shared" si="1"/>
        <v>OK</v>
      </c>
      <c r="E23" s="413">
        <v>46276</v>
      </c>
      <c r="F23" s="330">
        <v>15132</v>
      </c>
      <c r="G23" s="330">
        <v>15700</v>
      </c>
      <c r="H23" t="str">
        <f t="shared" si="0"/>
        <v>OK</v>
      </c>
      <c r="J23" s="428" t="s">
        <v>380</v>
      </c>
      <c r="K23" s="429" t="s">
        <v>379</v>
      </c>
      <c r="L23" s="429" t="s">
        <v>374</v>
      </c>
      <c r="M23" s="430">
        <v>2</v>
      </c>
      <c r="N23" s="431" t="s">
        <v>518</v>
      </c>
      <c r="O23" s="429" t="s">
        <v>517</v>
      </c>
      <c r="P23" s="434"/>
      <c r="Q23" s="330">
        <v>0</v>
      </c>
      <c r="R23" s="330">
        <v>608</v>
      </c>
      <c r="S23" s="330"/>
    </row>
    <row r="24" spans="1:19" x14ac:dyDescent="0.25">
      <c r="A24" s="413">
        <v>46262</v>
      </c>
      <c r="B24" s="330">
        <v>10800</v>
      </c>
      <c r="C24" s="330">
        <v>12149</v>
      </c>
      <c r="D24" t="str">
        <f t="shared" si="1"/>
        <v>OK</v>
      </c>
      <c r="E24" s="413">
        <v>46276</v>
      </c>
      <c r="F24" s="330">
        <v>15700</v>
      </c>
      <c r="G24" s="330">
        <v>16914</v>
      </c>
      <c r="H24" t="str">
        <f t="shared" si="0"/>
        <v>OK</v>
      </c>
      <c r="J24" s="428" t="s">
        <v>380</v>
      </c>
      <c r="K24" s="429" t="s">
        <v>379</v>
      </c>
      <c r="L24" s="429" t="s">
        <v>375</v>
      </c>
      <c r="M24" s="430">
        <v>1</v>
      </c>
      <c r="N24" s="431" t="s">
        <v>518</v>
      </c>
      <c r="O24" s="433"/>
      <c r="P24" s="434"/>
      <c r="Q24" s="330">
        <v>0</v>
      </c>
      <c r="R24" s="330"/>
      <c r="S24" s="330"/>
    </row>
    <row r="25" spans="1:19" x14ac:dyDescent="0.25">
      <c r="A25" s="413">
        <v>46266</v>
      </c>
      <c r="B25" s="330">
        <v>12149</v>
      </c>
      <c r="C25" s="330">
        <v>16914</v>
      </c>
      <c r="D25" t="str">
        <f t="shared" si="1"/>
        <v>OK</v>
      </c>
      <c r="E25" s="413">
        <v>46277</v>
      </c>
      <c r="F25" s="330">
        <v>16914</v>
      </c>
      <c r="G25" s="330">
        <v>18260</v>
      </c>
      <c r="H25" t="str">
        <f t="shared" si="0"/>
        <v>OK</v>
      </c>
      <c r="J25" s="428" t="s">
        <v>380</v>
      </c>
      <c r="K25" s="429" t="s">
        <v>379</v>
      </c>
      <c r="L25" s="429" t="s">
        <v>376</v>
      </c>
      <c r="M25" s="430">
        <v>1</v>
      </c>
      <c r="N25" s="431" t="s">
        <v>518</v>
      </c>
      <c r="O25" s="433"/>
      <c r="P25" s="434"/>
      <c r="Q25" s="330">
        <v>0</v>
      </c>
      <c r="R25" s="330"/>
      <c r="S25" s="330"/>
    </row>
    <row r="26" spans="1:19" x14ac:dyDescent="0.25">
      <c r="A26" s="413">
        <v>46275</v>
      </c>
      <c r="B26" s="330">
        <v>16914</v>
      </c>
      <c r="C26" s="330">
        <v>18260</v>
      </c>
      <c r="D26" t="str">
        <f t="shared" si="1"/>
        <v>OK</v>
      </c>
      <c r="E26" s="413">
        <v>46296</v>
      </c>
      <c r="F26" s="330">
        <v>18260</v>
      </c>
      <c r="G26" s="330">
        <v>19823</v>
      </c>
      <c r="H26" t="str">
        <f t="shared" si="0"/>
        <v>OK</v>
      </c>
      <c r="J26" s="428" t="s">
        <v>380</v>
      </c>
      <c r="K26" s="429" t="s">
        <v>379</v>
      </c>
      <c r="L26" s="429" t="s">
        <v>377</v>
      </c>
      <c r="M26" s="430">
        <v>2</v>
      </c>
      <c r="N26" s="431" t="s">
        <v>518</v>
      </c>
      <c r="O26" s="429" t="s">
        <v>517</v>
      </c>
      <c r="P26" s="434"/>
      <c r="Q26" s="330">
        <v>0</v>
      </c>
      <c r="R26" s="330">
        <v>623</v>
      </c>
      <c r="S26" s="330"/>
    </row>
    <row r="27" spans="1:19" ht="15.75" thickBot="1" x14ac:dyDescent="0.3">
      <c r="A27" s="413">
        <v>46280</v>
      </c>
      <c r="B27" s="330">
        <v>18260</v>
      </c>
      <c r="C27" s="330">
        <v>22600</v>
      </c>
      <c r="D27" t="str">
        <f t="shared" si="1"/>
        <v>OK</v>
      </c>
      <c r="E27" s="413">
        <v>46297</v>
      </c>
      <c r="F27" s="330">
        <v>19823</v>
      </c>
      <c r="G27" s="330">
        <v>22225</v>
      </c>
      <c r="H27" t="str">
        <f t="shared" si="0"/>
        <v>OK</v>
      </c>
      <c r="J27" s="428" t="s">
        <v>380</v>
      </c>
      <c r="K27" s="429" t="s">
        <v>379</v>
      </c>
      <c r="L27" s="429" t="s">
        <v>378</v>
      </c>
      <c r="M27" s="430">
        <v>1</v>
      </c>
      <c r="N27" s="452" t="s">
        <v>518</v>
      </c>
      <c r="O27" s="453"/>
      <c r="P27" s="454"/>
      <c r="Q27" s="330">
        <v>0</v>
      </c>
      <c r="R27" s="330"/>
      <c r="S27" s="330"/>
    </row>
    <row r="28" spans="1:19" x14ac:dyDescent="0.25">
      <c r="A28" s="413">
        <v>46293</v>
      </c>
      <c r="B28" s="330">
        <v>22600</v>
      </c>
      <c r="C28" s="330">
        <v>25600</v>
      </c>
      <c r="D28" t="str">
        <f t="shared" si="1"/>
        <v>OK</v>
      </c>
      <c r="E28" s="413">
        <v>46300</v>
      </c>
      <c r="F28" s="330">
        <v>22225</v>
      </c>
      <c r="G28" s="330">
        <v>23139</v>
      </c>
      <c r="H28" t="str">
        <f t="shared" si="0"/>
        <v>OK</v>
      </c>
      <c r="M28" s="389">
        <f>SUM(M12:M27)</f>
        <v>20</v>
      </c>
    </row>
    <row r="29" spans="1:19" x14ac:dyDescent="0.25">
      <c r="A29" s="413">
        <v>46294</v>
      </c>
      <c r="B29" s="330">
        <v>25600</v>
      </c>
      <c r="C29" s="330">
        <v>30250</v>
      </c>
      <c r="D29" t="str">
        <f t="shared" si="1"/>
        <v>OK</v>
      </c>
      <c r="E29" s="413">
        <v>46309</v>
      </c>
      <c r="F29" s="330">
        <v>23139</v>
      </c>
      <c r="G29" s="330">
        <v>23379</v>
      </c>
      <c r="H29" t="str">
        <f t="shared" si="0"/>
        <v>OK</v>
      </c>
      <c r="J29" s="26"/>
      <c r="K29" s="26"/>
      <c r="M29"/>
    </row>
    <row r="30" spans="1:19" x14ac:dyDescent="0.25">
      <c r="A30" s="413">
        <v>46295</v>
      </c>
      <c r="B30" s="330">
        <v>30250</v>
      </c>
      <c r="C30" s="330">
        <v>32219</v>
      </c>
      <c r="D30" t="str">
        <f t="shared" si="1"/>
        <v>OK</v>
      </c>
      <c r="E30" s="413">
        <v>46312</v>
      </c>
      <c r="F30" s="330">
        <v>23379</v>
      </c>
      <c r="G30" s="330">
        <v>24265</v>
      </c>
      <c r="H30" t="str">
        <f t="shared" si="0"/>
        <v>OK</v>
      </c>
      <c r="J30" s="26"/>
      <c r="K30" s="26"/>
      <c r="M30"/>
    </row>
    <row r="31" spans="1:19" x14ac:dyDescent="0.25">
      <c r="E31" s="413">
        <v>46309</v>
      </c>
      <c r="F31" s="330">
        <v>24265</v>
      </c>
      <c r="G31" s="330">
        <v>25250</v>
      </c>
      <c r="H31" t="str">
        <f t="shared" si="0"/>
        <v>OK</v>
      </c>
      <c r="J31" s="413"/>
      <c r="K31" s="330"/>
      <c r="L31" s="330"/>
      <c r="M31"/>
    </row>
    <row r="32" spans="1:19" x14ac:dyDescent="0.25">
      <c r="E32" s="413">
        <v>46310</v>
      </c>
      <c r="F32" s="330">
        <v>25250</v>
      </c>
      <c r="G32" s="330">
        <v>27936</v>
      </c>
      <c r="H32" t="str">
        <f t="shared" si="0"/>
        <v>OK</v>
      </c>
      <c r="J32" s="413"/>
      <c r="K32" s="330"/>
      <c r="L32" s="330"/>
      <c r="M32"/>
    </row>
    <row r="33" spans="4:13" x14ac:dyDescent="0.25">
      <c r="E33" s="413">
        <v>46311</v>
      </c>
      <c r="F33" s="330">
        <v>27936</v>
      </c>
      <c r="G33" s="330">
        <v>30728</v>
      </c>
      <c r="H33" t="str">
        <f t="shared" si="0"/>
        <v>OK</v>
      </c>
      <c r="J33" s="413"/>
      <c r="K33" s="330"/>
      <c r="L33" s="330"/>
      <c r="M33"/>
    </row>
    <row r="34" spans="4:13" x14ac:dyDescent="0.25">
      <c r="E34" s="413">
        <v>46312</v>
      </c>
      <c r="F34" s="330">
        <v>30728</v>
      </c>
      <c r="G34" s="330">
        <v>31253</v>
      </c>
      <c r="H34" t="str">
        <f t="shared" si="0"/>
        <v>OK</v>
      </c>
      <c r="J34" s="413"/>
      <c r="K34" s="330"/>
      <c r="L34" s="330"/>
      <c r="M34"/>
    </row>
    <row r="35" spans="4:13" x14ac:dyDescent="0.25">
      <c r="J35" s="413"/>
      <c r="K35" s="330"/>
      <c r="L35" s="330"/>
      <c r="M35"/>
    </row>
    <row r="36" spans="4:13" x14ac:dyDescent="0.25">
      <c r="J36" s="413"/>
      <c r="K36" s="330"/>
      <c r="L36" s="330"/>
      <c r="M36"/>
    </row>
    <row r="37" spans="4:13" x14ac:dyDescent="0.25">
      <c r="J37" s="413"/>
      <c r="K37" s="330"/>
      <c r="L37" s="330"/>
      <c r="M37"/>
    </row>
    <row r="38" spans="4:13" x14ac:dyDescent="0.25">
      <c r="J38" s="413"/>
      <c r="K38" s="330"/>
      <c r="L38" s="330"/>
      <c r="M38"/>
    </row>
    <row r="39" spans="4:13" x14ac:dyDescent="0.25">
      <c r="J39" s="413"/>
      <c r="K39" s="330"/>
      <c r="L39" s="330"/>
      <c r="M39"/>
    </row>
    <row r="40" spans="4:13" x14ac:dyDescent="0.25">
      <c r="J40" s="413"/>
      <c r="K40" s="330"/>
      <c r="L40" s="330"/>
      <c r="M40"/>
    </row>
    <row r="41" spans="4:13" x14ac:dyDescent="0.25">
      <c r="D41" s="26"/>
      <c r="E41" s="26"/>
      <c r="J41" s="413"/>
      <c r="K41" s="330"/>
      <c r="L41" s="330"/>
      <c r="M41"/>
    </row>
    <row r="42" spans="4:13" x14ac:dyDescent="0.25">
      <c r="D42" s="26"/>
      <c r="E42" s="26"/>
      <c r="J42" s="413"/>
      <c r="K42" s="330"/>
      <c r="L42" s="330"/>
      <c r="M42"/>
    </row>
    <row r="43" spans="4:13" x14ac:dyDescent="0.25">
      <c r="D43" s="413"/>
      <c r="E43" s="330"/>
      <c r="F43" s="330"/>
      <c r="J43" s="413"/>
      <c r="K43" s="330"/>
      <c r="L43" s="330"/>
      <c r="M43"/>
    </row>
    <row r="44" spans="4:13" x14ac:dyDescent="0.25">
      <c r="D44" s="413"/>
      <c r="E44" s="330"/>
      <c r="F44" s="330"/>
      <c r="J44" s="413"/>
      <c r="K44" s="330"/>
      <c r="L44" s="330"/>
      <c r="M44"/>
    </row>
    <row r="45" spans="4:13" x14ac:dyDescent="0.25">
      <c r="D45" s="413"/>
      <c r="E45" s="330"/>
      <c r="F45" s="330"/>
      <c r="J45" s="413"/>
      <c r="K45" s="330"/>
      <c r="L45" s="330"/>
      <c r="M45"/>
    </row>
    <row r="46" spans="4:13" x14ac:dyDescent="0.25">
      <c r="D46" s="413"/>
      <c r="E46" s="330"/>
      <c r="F46" s="330"/>
      <c r="J46" s="413"/>
      <c r="K46" s="330"/>
      <c r="L46" s="330"/>
      <c r="M46"/>
    </row>
    <row r="47" spans="4:13" x14ac:dyDescent="0.25">
      <c r="D47" s="413"/>
      <c r="E47" s="330"/>
      <c r="F47" s="330"/>
      <c r="J47" s="413"/>
      <c r="K47" s="330"/>
      <c r="L47" s="330"/>
      <c r="M47"/>
    </row>
    <row r="48" spans="4:13" x14ac:dyDescent="0.25">
      <c r="D48" s="413"/>
      <c r="E48" s="330"/>
      <c r="F48" s="330"/>
      <c r="J48" s="413"/>
      <c r="K48" s="330"/>
      <c r="L48" s="330"/>
      <c r="M48"/>
    </row>
    <row r="49" spans="4:6" x14ac:dyDescent="0.25">
      <c r="D49" s="413"/>
      <c r="E49" s="330"/>
      <c r="F49" s="330"/>
    </row>
    <row r="50" spans="4:6" x14ac:dyDescent="0.25">
      <c r="D50" s="413"/>
      <c r="E50" s="330"/>
      <c r="F50" s="330"/>
    </row>
    <row r="51" spans="4:6" x14ac:dyDescent="0.25">
      <c r="D51" s="413"/>
      <c r="E51" s="330"/>
      <c r="F51" s="330"/>
    </row>
    <row r="52" spans="4:6" x14ac:dyDescent="0.25">
      <c r="D52" s="413"/>
      <c r="E52" s="330"/>
      <c r="F52" s="330"/>
    </row>
    <row r="53" spans="4:6" x14ac:dyDescent="0.25">
      <c r="D53" s="413"/>
      <c r="E53" s="330"/>
      <c r="F53" s="330"/>
    </row>
    <row r="54" spans="4:6" x14ac:dyDescent="0.25">
      <c r="D54" s="413"/>
      <c r="E54" s="330"/>
      <c r="F54" s="330"/>
    </row>
    <row r="55" spans="4:6" x14ac:dyDescent="0.25">
      <c r="D55" s="413"/>
      <c r="E55" s="330"/>
      <c r="F55" s="330"/>
    </row>
    <row r="56" spans="4:6" x14ac:dyDescent="0.25">
      <c r="D56" s="413"/>
      <c r="E56" s="330"/>
      <c r="F56" s="330"/>
    </row>
    <row r="57" spans="4:6" x14ac:dyDescent="0.25">
      <c r="D57" s="413"/>
      <c r="E57" s="330"/>
      <c r="F57" s="330"/>
    </row>
    <row r="58" spans="4:6" x14ac:dyDescent="0.25">
      <c r="D58" s="413"/>
      <c r="E58" s="330"/>
      <c r="F58" s="330"/>
    </row>
    <row r="59" spans="4:6" x14ac:dyDescent="0.25">
      <c r="D59" s="413"/>
      <c r="E59" s="330"/>
      <c r="F59" s="330"/>
    </row>
    <row r="60" spans="4:6" x14ac:dyDescent="0.25">
      <c r="D60" s="413"/>
      <c r="E60" s="330"/>
      <c r="F60" s="330"/>
    </row>
    <row r="61" spans="4:6" x14ac:dyDescent="0.25">
      <c r="D61" s="413"/>
      <c r="E61" s="330"/>
      <c r="F61" s="330"/>
    </row>
    <row r="62" spans="4:6" x14ac:dyDescent="0.25">
      <c r="D62" s="413"/>
      <c r="E62" s="330"/>
      <c r="F62" s="330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2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2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2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2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2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2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2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2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2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2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2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2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609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471"/>
      <c r="N12" s="519"/>
      <c r="O12" s="471"/>
    </row>
    <row r="13" spans="1:15" x14ac:dyDescent="0.25">
      <c r="L13" s="237" t="s">
        <v>272</v>
      </c>
      <c r="M13" s="471">
        <f>+SUM('R (s07)'!C2:C4)</f>
        <v>1.726</v>
      </c>
      <c r="N13" s="471">
        <v>1.726</v>
      </c>
      <c r="O13" s="471">
        <v>1.726</v>
      </c>
    </row>
    <row r="14" spans="1:15" x14ac:dyDescent="0.25">
      <c r="L14" s="237" t="s">
        <v>273</v>
      </c>
      <c r="M14" s="471">
        <f>+SUM(C2:C3)</f>
        <v>4.3119999999999994</v>
      </c>
      <c r="N14" s="471">
        <v>4.3119999999999994</v>
      </c>
      <c r="O14" s="471">
        <v>4.3119999999999994</v>
      </c>
    </row>
    <row r="15" spans="1:15" x14ac:dyDescent="0.25">
      <c r="M15" s="472">
        <f>+SUM(M12:M14)</f>
        <v>6.0379999999999994</v>
      </c>
      <c r="N15" s="472">
        <f>+SUM(N12:N14)</f>
        <v>6.0379999999999994</v>
      </c>
      <c r="O15" s="472">
        <f>+SUM(O12:O14)</f>
        <v>6.0379999999999994</v>
      </c>
    </row>
    <row r="17" spans="12:14" x14ac:dyDescent="0.25">
      <c r="L17" t="s">
        <v>607</v>
      </c>
    </row>
    <row r="18" spans="12:14" x14ac:dyDescent="0.25">
      <c r="L18" t="s">
        <v>608</v>
      </c>
      <c r="N18" s="47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13"/>
    <col min="13" max="13" width="13.140625" bestFit="1" customWidth="1"/>
  </cols>
  <sheetData>
    <row r="2" spans="1:20" ht="140.25" customHeight="1" x14ac:dyDescent="0.25">
      <c r="B2" s="483" t="s">
        <v>627</v>
      </c>
      <c r="C2" s="483" t="s">
        <v>628</v>
      </c>
      <c r="D2" s="483" t="s">
        <v>629</v>
      </c>
      <c r="E2" s="483" t="s">
        <v>630</v>
      </c>
      <c r="F2" s="483" t="s">
        <v>132</v>
      </c>
      <c r="G2" s="483" t="s">
        <v>631</v>
      </c>
      <c r="H2" s="483" t="s">
        <v>632</v>
      </c>
      <c r="I2" s="483" t="s">
        <v>633</v>
      </c>
      <c r="J2" s="483" t="s">
        <v>634</v>
      </c>
      <c r="L2" s="482"/>
      <c r="M2" s="483" t="s">
        <v>640</v>
      </c>
      <c r="N2" s="482"/>
      <c r="O2" s="482"/>
      <c r="P2" s="482"/>
      <c r="Q2" s="482"/>
      <c r="R2" s="482"/>
      <c r="S2" s="482"/>
      <c r="T2" s="482"/>
    </row>
    <row r="3" spans="1:20" x14ac:dyDescent="0.25">
      <c r="A3" t="s">
        <v>612</v>
      </c>
      <c r="B3" s="33" t="s">
        <v>636</v>
      </c>
      <c r="C3" s="33" t="s">
        <v>636</v>
      </c>
      <c r="D3" s="33" t="s">
        <v>636</v>
      </c>
      <c r="E3" s="33"/>
      <c r="F3" s="33" t="s">
        <v>636</v>
      </c>
      <c r="G3" s="33"/>
      <c r="H3" s="33"/>
      <c r="I3" s="33" t="s">
        <v>636</v>
      </c>
      <c r="J3" s="33" t="s">
        <v>636</v>
      </c>
      <c r="K3" s="413">
        <v>46280</v>
      </c>
      <c r="M3" s="518">
        <f>COUNTA(A3:A17)/NETWORKDAYS(MIN(K3:K17),MAX(K3:K17))</f>
        <v>0.41666666666666669</v>
      </c>
    </row>
    <row r="4" spans="1:20" x14ac:dyDescent="0.25">
      <c r="A4" t="s">
        <v>613</v>
      </c>
      <c r="B4" s="33" t="s">
        <v>636</v>
      </c>
      <c r="C4" s="33" t="s">
        <v>636</v>
      </c>
      <c r="D4" s="33" t="s">
        <v>636</v>
      </c>
      <c r="E4" s="33"/>
      <c r="F4" s="33" t="s">
        <v>636</v>
      </c>
      <c r="G4" s="33"/>
      <c r="H4" s="33"/>
      <c r="I4" s="33" t="s">
        <v>636</v>
      </c>
      <c r="J4" s="33" t="s">
        <v>636</v>
      </c>
      <c r="K4" s="413">
        <v>46259</v>
      </c>
    </row>
    <row r="5" spans="1:20" x14ac:dyDescent="0.25">
      <c r="A5" t="s">
        <v>614</v>
      </c>
      <c r="B5" s="33" t="s">
        <v>636</v>
      </c>
      <c r="C5" s="33" t="s">
        <v>636</v>
      </c>
      <c r="D5" s="33" t="s">
        <v>636</v>
      </c>
      <c r="E5" s="33"/>
      <c r="F5" s="33" t="s">
        <v>636</v>
      </c>
      <c r="G5" s="33"/>
      <c r="H5" s="33"/>
      <c r="I5" s="33" t="s">
        <v>636</v>
      </c>
      <c r="J5" s="33" t="s">
        <v>636</v>
      </c>
      <c r="K5" s="413">
        <v>46282</v>
      </c>
    </row>
    <row r="6" spans="1:20" x14ac:dyDescent="0.25">
      <c r="A6" t="s">
        <v>615</v>
      </c>
      <c r="B6" s="33" t="s">
        <v>636</v>
      </c>
      <c r="C6" s="33" t="s">
        <v>636</v>
      </c>
      <c r="D6" s="33" t="s">
        <v>636</v>
      </c>
      <c r="E6" s="33"/>
      <c r="F6" s="33" t="s">
        <v>636</v>
      </c>
      <c r="G6" s="33"/>
      <c r="H6" s="33"/>
      <c r="I6" s="33" t="s">
        <v>636</v>
      </c>
      <c r="J6" s="33" t="s">
        <v>636</v>
      </c>
      <c r="K6" s="413">
        <v>46261</v>
      </c>
    </row>
    <row r="7" spans="1:20" x14ac:dyDescent="0.25">
      <c r="A7" t="s">
        <v>616</v>
      </c>
      <c r="B7" s="33" t="s">
        <v>636</v>
      </c>
      <c r="C7" s="33" t="s">
        <v>636</v>
      </c>
      <c r="D7" s="33" t="s">
        <v>636</v>
      </c>
      <c r="E7" s="33"/>
      <c r="F7" s="33"/>
      <c r="G7" s="33"/>
      <c r="H7" s="33"/>
      <c r="I7" s="33" t="s">
        <v>636</v>
      </c>
      <c r="J7" s="33" t="s">
        <v>636</v>
      </c>
      <c r="K7" s="413">
        <v>46296</v>
      </c>
    </row>
    <row r="8" spans="1:20" x14ac:dyDescent="0.25">
      <c r="A8" s="138" t="s">
        <v>617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618</v>
      </c>
      <c r="B9" s="33" t="s">
        <v>636</v>
      </c>
      <c r="C9" s="33" t="s">
        <v>636</v>
      </c>
      <c r="D9" s="33" t="s">
        <v>636</v>
      </c>
      <c r="E9" s="33"/>
      <c r="F9" s="33" t="s">
        <v>636</v>
      </c>
      <c r="G9" s="33"/>
      <c r="H9" s="33"/>
      <c r="I9" s="33" t="s">
        <v>636</v>
      </c>
      <c r="J9" s="33" t="s">
        <v>636</v>
      </c>
      <c r="K9" s="413">
        <v>46308</v>
      </c>
    </row>
    <row r="10" spans="1:20" x14ac:dyDescent="0.25">
      <c r="A10" t="s">
        <v>619</v>
      </c>
      <c r="B10" s="33" t="s">
        <v>636</v>
      </c>
      <c r="C10" s="33" t="s">
        <v>636</v>
      </c>
      <c r="D10" s="33" t="s">
        <v>636</v>
      </c>
      <c r="E10" s="33"/>
      <c r="F10" s="33" t="s">
        <v>636</v>
      </c>
      <c r="G10" s="33"/>
      <c r="H10" s="33"/>
      <c r="I10" s="33" t="s">
        <v>636</v>
      </c>
      <c r="J10" s="33" t="s">
        <v>636</v>
      </c>
      <c r="K10" s="413">
        <v>46307</v>
      </c>
    </row>
    <row r="11" spans="1:20" x14ac:dyDescent="0.25">
      <c r="A11" t="s">
        <v>626</v>
      </c>
      <c r="B11" s="33" t="s">
        <v>636</v>
      </c>
      <c r="C11" s="33" t="s">
        <v>636</v>
      </c>
      <c r="D11" s="33" t="s">
        <v>636</v>
      </c>
      <c r="E11" s="33"/>
      <c r="F11" s="33" t="s">
        <v>636</v>
      </c>
      <c r="G11" s="33"/>
      <c r="H11" s="33"/>
      <c r="I11" s="33" t="s">
        <v>636</v>
      </c>
      <c r="J11" s="33" t="s">
        <v>636</v>
      </c>
      <c r="K11" s="413">
        <v>46294</v>
      </c>
    </row>
    <row r="12" spans="1:20" x14ac:dyDescent="0.25">
      <c r="A12" t="s">
        <v>620</v>
      </c>
      <c r="B12" s="33" t="s">
        <v>636</v>
      </c>
      <c r="C12" s="33" t="s">
        <v>636</v>
      </c>
      <c r="D12" s="33" t="s">
        <v>636</v>
      </c>
      <c r="E12" s="33"/>
      <c r="F12" s="33" t="s">
        <v>636</v>
      </c>
      <c r="G12" s="33"/>
      <c r="H12" s="33"/>
      <c r="I12" s="33" t="s">
        <v>636</v>
      </c>
      <c r="J12" s="33" t="s">
        <v>636</v>
      </c>
      <c r="K12" s="413">
        <v>46274</v>
      </c>
    </row>
    <row r="13" spans="1:20" x14ac:dyDescent="0.25">
      <c r="A13" t="s">
        <v>621</v>
      </c>
      <c r="B13" s="33" t="s">
        <v>636</v>
      </c>
      <c r="C13" s="33" t="s">
        <v>636</v>
      </c>
      <c r="D13" s="33" t="s">
        <v>636</v>
      </c>
      <c r="E13" s="33"/>
      <c r="F13" s="33" t="s">
        <v>636</v>
      </c>
      <c r="G13" s="33"/>
      <c r="H13" s="33"/>
      <c r="I13" s="33" t="s">
        <v>636</v>
      </c>
      <c r="J13" s="33" t="s">
        <v>636</v>
      </c>
      <c r="K13" s="413">
        <v>46297</v>
      </c>
    </row>
    <row r="14" spans="1:20" x14ac:dyDescent="0.25">
      <c r="A14" t="s">
        <v>622</v>
      </c>
      <c r="B14" s="33" t="s">
        <v>636</v>
      </c>
      <c r="C14" s="33" t="s">
        <v>636</v>
      </c>
      <c r="D14" s="33" t="s">
        <v>636</v>
      </c>
      <c r="E14" s="33"/>
      <c r="F14" s="33" t="s">
        <v>636</v>
      </c>
      <c r="G14" s="33"/>
      <c r="H14" s="33"/>
      <c r="I14" s="33" t="s">
        <v>636</v>
      </c>
      <c r="J14" s="33" t="s">
        <v>636</v>
      </c>
      <c r="K14" s="413">
        <v>46282</v>
      </c>
    </row>
    <row r="15" spans="1:20" x14ac:dyDescent="0.25">
      <c r="A15" t="s">
        <v>623</v>
      </c>
      <c r="B15" s="33" t="s">
        <v>636</v>
      </c>
      <c r="C15" s="33" t="s">
        <v>636</v>
      </c>
      <c r="D15" s="33" t="s">
        <v>636</v>
      </c>
      <c r="E15" s="33" t="s">
        <v>636</v>
      </c>
      <c r="F15" s="33" t="s">
        <v>636</v>
      </c>
      <c r="G15" s="33" t="s">
        <v>636</v>
      </c>
      <c r="H15" s="33" t="s">
        <v>636</v>
      </c>
      <c r="I15" s="33" t="s">
        <v>636</v>
      </c>
      <c r="J15" s="33" t="s">
        <v>636</v>
      </c>
      <c r="K15" s="413">
        <v>46269</v>
      </c>
    </row>
    <row r="16" spans="1:20" x14ac:dyDescent="0.25">
      <c r="A16" t="s">
        <v>624</v>
      </c>
      <c r="B16" s="33" t="s">
        <v>636</v>
      </c>
      <c r="C16" s="33" t="s">
        <v>636</v>
      </c>
      <c r="D16" s="33" t="s">
        <v>636</v>
      </c>
      <c r="E16" s="33"/>
      <c r="F16" s="33" t="s">
        <v>636</v>
      </c>
      <c r="G16" s="33"/>
      <c r="H16" s="33"/>
      <c r="I16" s="33" t="s">
        <v>636</v>
      </c>
      <c r="J16" s="33" t="s">
        <v>636</v>
      </c>
      <c r="K16" s="413">
        <v>46272</v>
      </c>
    </row>
    <row r="17" spans="1:11" x14ac:dyDescent="0.25">
      <c r="A17" t="s">
        <v>625</v>
      </c>
      <c r="B17" s="33" t="s">
        <v>636</v>
      </c>
      <c r="C17" s="33" t="s">
        <v>636</v>
      </c>
      <c r="D17" s="33" t="s">
        <v>636</v>
      </c>
      <c r="E17" s="33" t="s">
        <v>636</v>
      </c>
      <c r="F17" s="33" t="s">
        <v>636</v>
      </c>
      <c r="G17" s="33" t="s">
        <v>636</v>
      </c>
      <c r="H17" s="33" t="s">
        <v>636</v>
      </c>
      <c r="I17" s="33" t="s">
        <v>636</v>
      </c>
      <c r="J17" s="33" t="s">
        <v>636</v>
      </c>
      <c r="K17" s="41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404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553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36" t="s">
        <v>453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3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36" t="s">
        <v>447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38" t="s">
        <v>448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38" t="s">
        <v>449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38" t="s">
        <v>450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38" t="s">
        <v>451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38" t="s">
        <v>452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53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51">
        <v>3.08</v>
      </c>
      <c r="D67" s="352" t="s">
        <v>220</v>
      </c>
      <c r="E67" s="353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51" t="s">
        <v>228</v>
      </c>
      <c r="D74" s="352" t="s">
        <v>229</v>
      </c>
      <c r="E74" s="353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53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51">
        <v>3.14</v>
      </c>
      <c r="D80" s="352" t="s">
        <v>240</v>
      </c>
      <c r="E80" s="353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50" t="s">
        <v>497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53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50" t="s">
        <v>492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50" t="s">
        <v>493</v>
      </c>
      <c r="D97" s="91" t="s">
        <v>494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50" t="s">
        <v>495</v>
      </c>
      <c r="D98" s="91" t="s">
        <v>496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50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370" t="s">
        <v>505</v>
      </c>
      <c r="D105" s="209" t="s">
        <v>351</v>
      </c>
      <c r="E105" s="353">
        <v>47596.5</v>
      </c>
      <c r="H105">
        <f>+'R (s04)'!G28</f>
        <v>23139</v>
      </c>
      <c r="I105" s="205">
        <f>+E105-H105</f>
        <v>24457.5</v>
      </c>
      <c r="K105" s="37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30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30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30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30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437</v>
      </c>
      <c r="C1" s="33" t="s">
        <v>435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366">
        <f ca="1">+O35/1000</f>
        <v>-36.385499999999972</v>
      </c>
      <c r="R35" s="224">
        <f ca="1">+$Q$35*Catalogo!J19</f>
        <v>-58216.799999999952</v>
      </c>
      <c r="S35" s="115"/>
      <c r="T35"/>
      <c r="U35" s="36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366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6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66">
        <f t="shared" ca="1" si="2"/>
        <v>-3.4245000000000583</v>
      </c>
      <c r="R37" s="224">
        <f ca="1">+$Q$37*Catalogo!J16</f>
        <v>-28080.900000000478</v>
      </c>
      <c r="S37"/>
      <c r="T37"/>
      <c r="U37" s="36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97.248375471295901</v>
      </c>
      <c r="M40" s="61" t="s">
        <v>175</v>
      </c>
      <c r="N40" s="74">
        <f ca="1">+$L$40*Catalogo!F17</f>
        <v>1331940.9800000007</v>
      </c>
      <c r="P40" s="74">
        <f ca="1">+$L$40*Catalogo!J17</f>
        <v>659343.98569538619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8244876.9072999991</v>
      </c>
      <c r="P41" s="215">
        <f ca="1">SUM(P35:P40)</f>
        <v>3578860.5856953859</v>
      </c>
      <c r="Q41" s="140"/>
      <c r="R41" s="176" t="str">
        <f ca="1">"Ejecutdo SPIN al "&amp;TEXT(TODAY(),"mmm-aaaa")</f>
        <v>Ejecutdo SPIN al oct-2026</v>
      </c>
      <c r="S41" s="245">
        <f ca="1">+P41</f>
        <v>3578860.5856953859</v>
      </c>
      <c r="T41" s="247">
        <f ca="1">+P41+R38-1500000</f>
        <v>1720143.9856953863</v>
      </c>
      <c r="U41"/>
      <c r="V41"/>
      <c r="W41" s="301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4666016.3216046132</v>
      </c>
      <c r="P43"/>
      <c r="Q43"/>
      <c r="R43" s="176" t="str">
        <f ca="1">"Por Pagar a "&amp;TEXT(TODAY(),"mmm-aaaa")</f>
        <v>Por Pagar a oct-2026</v>
      </c>
      <c r="S43" s="245">
        <f ca="1">+S41+S42</f>
        <v>2078860.5856953859</v>
      </c>
      <c r="T43"/>
      <c r="U43"/>
      <c r="V43" s="356"/>
      <c r="AA43" s="269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56"/>
      <c r="AA44" s="269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56"/>
      <c r="AA45" s="269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87.073233023857625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87.073233023857625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87.073233023857625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87.073233023857625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87.073233023857625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87.073233023857625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87.073233023857625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90.391214256717944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97.248375471295901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97.248375471295901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436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3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558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558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558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559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558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0.4862418773564795</v>
      </c>
      <c r="L40" s="61" t="s">
        <v>558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0.43536616511928811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0.43536616511928811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0.43536616511928811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0.43536616511928811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0.43536616511928811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0.43536616511928811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0.43536616511928811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0.45195607128358972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0.4862418773564795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0.4862418773564795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406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22">
        <f ca="1">100*AC35/12000000</f>
        <v>74.16815014416656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397">
        <f ca="1">+_xlfn.XLOOKUP(TODAY(),A:A,J:J)</f>
        <v>8900178.0172999874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97.248375471295901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41" t="s">
        <v>560</v>
      </c>
      <c r="M46" t="s">
        <v>577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562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42" t="s">
        <v>575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42" t="s">
        <v>576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563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42" t="s">
        <v>565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42" t="s">
        <v>566</v>
      </c>
      <c r="M52" s="229">
        <v>4782002.5607600007</v>
      </c>
      <c r="N52"/>
    </row>
    <row r="53" spans="1:97" x14ac:dyDescent="0.25">
      <c r="A53" s="62">
        <f t="shared" si="0"/>
        <v>46013</v>
      </c>
      <c r="B53" s="304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42" t="s">
        <v>567</v>
      </c>
      <c r="M53" s="229">
        <v>6294812.4527599998</v>
      </c>
      <c r="N53"/>
    </row>
    <row r="54" spans="1:97" x14ac:dyDescent="0.25">
      <c r="A54" s="62">
        <f t="shared" si="0"/>
        <v>46014</v>
      </c>
      <c r="B54" s="304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42" t="s">
        <v>568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04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42" t="s">
        <v>569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04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42" t="s">
        <v>570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04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42" t="s">
        <v>571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04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42" t="s">
        <v>572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04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42" t="s">
        <v>573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04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42" t="s">
        <v>574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04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42" t="s">
        <v>575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04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42" t="s">
        <v>576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04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564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04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561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04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04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04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04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04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04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04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04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04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04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04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04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04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04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04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04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04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04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69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04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04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04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04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04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04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04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04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04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04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04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04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04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04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04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04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04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04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04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04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04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04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04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04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04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04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04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04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04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04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69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69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6717328.5067199981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6881603.6067199977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6971515.0767199975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7059269.7767199967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7062315.036299997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7062315.036299997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7062315.036299997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7064120.9722999968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7074877.5785999969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7101016.1165999966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7120663.5843299963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7320035.6043299949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7415686.1043299949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7415686.1043299949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7474316.2464499939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7501631.018659994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7540973.7161899935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7544012.2035099939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7569889.3561299946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7589435.1739899945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7589435.1739899945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7599498.5111199943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7630095.063919994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7648727.063919994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7732411.983919993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7805106.3639199929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7809764.3639199929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7809764.3639199929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7823738.3639199929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7837712.3639199929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7847028.3639199929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7856344.3639199929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7874976.3639199929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7879634.3639199929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7879634.3639199929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7886406.6239199927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7975342.5469199931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7979787.4068999933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8061710.1007299935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8163697.6175499931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8163697.6175499931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8163697.6175499931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8176970.1862899931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8179848.3967899922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8180418.3953399928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8202658.4860149929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8213317.2009549933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8331687.4009549934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8435488.9609549921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8609259.0309549924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87.073233023857625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8642888.0466899928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87.073233023857625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8660778.4238099921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87.073233023857625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8699782.9310699925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87.073233023857625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8740326.7077899929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87.073233023857625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8760816.4172999915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87.073233023857625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8760816.4172999915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87.073233023857625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8806260.4172999896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90.391214256717944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8900178.0172999874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97.248375471295901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8900178.0172999874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72" customFormat="1" ht="129.75" x14ac:dyDescent="0.25">
      <c r="B1" s="273" t="s">
        <v>276</v>
      </c>
      <c r="C1" s="273" t="s">
        <v>278</v>
      </c>
      <c r="D1" s="273" t="s">
        <v>280</v>
      </c>
      <c r="E1" s="273" t="s">
        <v>282</v>
      </c>
      <c r="F1" s="273" t="s">
        <v>284</v>
      </c>
      <c r="G1" s="273" t="s">
        <v>286</v>
      </c>
      <c r="H1" s="275" t="s">
        <v>79</v>
      </c>
      <c r="I1" s="275" t="s">
        <v>82</v>
      </c>
      <c r="J1" s="275" t="s">
        <v>80</v>
      </c>
      <c r="K1" s="275" t="s">
        <v>83</v>
      </c>
      <c r="L1" s="423" t="s">
        <v>81</v>
      </c>
      <c r="M1" s="275" t="s">
        <v>78</v>
      </c>
      <c r="N1" s="275" t="s">
        <v>294</v>
      </c>
      <c r="O1" s="275" t="s">
        <v>296</v>
      </c>
      <c r="P1" s="277" t="s">
        <v>298</v>
      </c>
      <c r="Q1" s="277" t="s">
        <v>407</v>
      </c>
      <c r="R1" s="277" t="s">
        <v>408</v>
      </c>
      <c r="S1" s="277" t="s">
        <v>415</v>
      </c>
      <c r="T1" s="277" t="s">
        <v>409</v>
      </c>
      <c r="U1" s="277" t="s">
        <v>416</v>
      </c>
      <c r="V1" s="277" t="s">
        <v>414</v>
      </c>
      <c r="W1" s="277" t="s">
        <v>410</v>
      </c>
      <c r="X1" s="277" t="s">
        <v>417</v>
      </c>
      <c r="Y1" s="277" t="s">
        <v>412</v>
      </c>
      <c r="Z1" s="277" t="s">
        <v>411</v>
      </c>
      <c r="AA1" s="277" t="s">
        <v>413</v>
      </c>
      <c r="AB1" s="279" t="s">
        <v>418</v>
      </c>
      <c r="AC1" s="279" t="s">
        <v>419</v>
      </c>
      <c r="AD1" s="279" t="s">
        <v>420</v>
      </c>
      <c r="AE1" s="279" t="s">
        <v>421</v>
      </c>
      <c r="AF1" s="279" t="s">
        <v>422</v>
      </c>
      <c r="AG1" s="279" t="s">
        <v>423</v>
      </c>
      <c r="AH1" s="279" t="s">
        <v>424</v>
      </c>
      <c r="AI1" s="279" t="s">
        <v>425</v>
      </c>
      <c r="AJ1" s="279" t="s">
        <v>426</v>
      </c>
      <c r="AK1" s="279" t="s">
        <v>427</v>
      </c>
      <c r="AL1" s="279" t="s">
        <v>428</v>
      </c>
      <c r="AM1" s="279" t="s">
        <v>429</v>
      </c>
      <c r="AN1" s="281" t="s">
        <v>432</v>
      </c>
      <c r="AQ1"/>
      <c r="AR1"/>
      <c r="AS1"/>
    </row>
    <row r="2" spans="1:50" s="76" customFormat="1" x14ac:dyDescent="0.25">
      <c r="B2" s="274" t="s">
        <v>97</v>
      </c>
      <c r="C2" s="274" t="s">
        <v>97</v>
      </c>
      <c r="D2" s="274" t="s">
        <v>97</v>
      </c>
      <c r="E2" s="274" t="s">
        <v>97</v>
      </c>
      <c r="F2" s="274" t="s">
        <v>97</v>
      </c>
      <c r="G2" s="274" t="s">
        <v>97</v>
      </c>
      <c r="H2" s="276" t="s">
        <v>108</v>
      </c>
      <c r="I2" s="276" t="s">
        <v>108</v>
      </c>
      <c r="J2" s="276" t="s">
        <v>108</v>
      </c>
      <c r="K2" s="276" t="s">
        <v>108</v>
      </c>
      <c r="L2" s="276" t="s">
        <v>113</v>
      </c>
      <c r="M2" s="276" t="s">
        <v>108</v>
      </c>
      <c r="N2" s="276" t="s">
        <v>97</v>
      </c>
      <c r="O2" s="276" t="s">
        <v>97</v>
      </c>
      <c r="P2" s="278" t="s">
        <v>118</v>
      </c>
      <c r="Q2" s="278" t="s">
        <v>431</v>
      </c>
      <c r="R2" s="278" t="s">
        <v>431</v>
      </c>
      <c r="S2" s="278" t="s">
        <v>126</v>
      </c>
      <c r="T2" s="278" t="s">
        <v>126</v>
      </c>
      <c r="U2" s="278" t="s">
        <v>126</v>
      </c>
      <c r="V2" s="278" t="s">
        <v>126</v>
      </c>
      <c r="W2" s="278" t="s">
        <v>126</v>
      </c>
      <c r="X2" s="278" t="s">
        <v>126</v>
      </c>
      <c r="Y2" s="278" t="s">
        <v>126</v>
      </c>
      <c r="Z2" s="278" t="s">
        <v>126</v>
      </c>
      <c r="AA2" s="278" t="s">
        <v>97</v>
      </c>
      <c r="AB2" s="280" t="s">
        <v>97</v>
      </c>
      <c r="AC2" s="280" t="s">
        <v>97</v>
      </c>
      <c r="AD2" s="280" t="s">
        <v>97</v>
      </c>
      <c r="AE2" s="280" t="s">
        <v>97</v>
      </c>
      <c r="AF2" s="280" t="s">
        <v>97</v>
      </c>
      <c r="AG2" s="280" t="s">
        <v>97</v>
      </c>
      <c r="AH2" s="280" t="s">
        <v>97</v>
      </c>
      <c r="AI2" s="280" t="s">
        <v>97</v>
      </c>
      <c r="AJ2" s="280" t="s">
        <v>430</v>
      </c>
      <c r="AK2" s="280" t="s">
        <v>430</v>
      </c>
      <c r="AL2" s="280" t="s">
        <v>430</v>
      </c>
      <c r="AM2" s="280" t="s">
        <v>97</v>
      </c>
      <c r="AQ2"/>
      <c r="AR2"/>
      <c r="AS2"/>
    </row>
    <row r="3" spans="1:50" x14ac:dyDescent="0.25">
      <c r="A3"/>
      <c r="B3" s="270">
        <v>2532.81</v>
      </c>
      <c r="C3" s="270">
        <v>3250.01</v>
      </c>
      <c r="D3" s="270">
        <v>985.32</v>
      </c>
      <c r="E3" s="270">
        <v>1062.92</v>
      </c>
      <c r="F3" s="270">
        <v>1337.25</v>
      </c>
      <c r="G3" s="270">
        <v>1581.21</v>
      </c>
      <c r="H3" s="400">
        <v>14521.41</v>
      </c>
      <c r="I3" s="300">
        <v>13555.63</v>
      </c>
      <c r="J3" s="402">
        <v>13555.63</v>
      </c>
      <c r="K3" s="263">
        <v>13696.28</v>
      </c>
      <c r="L3" s="263">
        <v>4658</v>
      </c>
      <c r="M3" s="40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01">
        <v>2.1</v>
      </c>
      <c r="I4" s="284">
        <v>2.2000000000000002</v>
      </c>
      <c r="J4" s="401">
        <v>2.2999999999999998</v>
      </c>
      <c r="K4" s="76">
        <v>2.4</v>
      </c>
      <c r="L4" s="76">
        <v>2.5</v>
      </c>
      <c r="M4" s="40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398" t="s">
        <v>515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433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286">
        <v>-11162921.84</v>
      </c>
      <c r="AO5" s="286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292">
        <f>+SUMIFS(Tabla1[Avance_Med],Tabla1[Fecha],"&gt;="&amp;$A6,Tabla1[Fecha],"&lt;="&amp;EOMONTH($A6,0),Tabla1[Codigo_actividad],B$4)*B$3</f>
        <v>0</v>
      </c>
      <c r="C6" s="292">
        <f>+SUMIFS(Tabla1[Avance_Med],Tabla1[Fecha],"&gt;="&amp;$A6,Tabla1[Fecha],"&lt;="&amp;EOMONTH($A6,0),Tabla1[Codigo_actividad],C$4)*C$3</f>
        <v>0</v>
      </c>
      <c r="D6" s="292">
        <f>+SUMIFS(Tabla1[Avance_Med],Tabla1[Fecha],"&gt;="&amp;$A6,Tabla1[Fecha],"&lt;="&amp;EOMONTH($A6,0),Tabla1[Codigo_actividad],D$4)*D$3</f>
        <v>0</v>
      </c>
      <c r="E6" s="292">
        <f>+SUMIFS(Tabla1[Avance_Med],Tabla1[Fecha],"&gt;="&amp;$A6,Tabla1[Fecha],"&lt;="&amp;EOMONTH($A6,0),Tabla1[Codigo_actividad],E$4)*E$3</f>
        <v>0</v>
      </c>
      <c r="F6" s="292">
        <f>+SUMIFS(Tabla1[Avance_Med],Tabla1[Fecha],"&gt;="&amp;$A6,Tabla1[Fecha],"&lt;="&amp;EOMONTH($A6,0),Tabla1[Codigo_actividad],F$4)*F$3</f>
        <v>0</v>
      </c>
      <c r="G6" s="292">
        <f>+SUMIFS(Tabla1[Avance_Med],Tabla1[Fecha],"&gt;="&amp;$A6,Tabla1[Fecha],"&lt;="&amp;EOMONTH($A6,0),Tabla1[Codigo_actividad],G$4)*G$3</f>
        <v>0</v>
      </c>
      <c r="H6" s="292">
        <f>+SUMIFS(Tabla1[Avance_km],Tabla1[Fecha],"&gt;="&amp;$A6,Tabla1[Fecha],"&lt;="&amp;EOMONTH($A6,0),Tabla1[Codigo_actividad],H$4)*H$3</f>
        <v>458135.96408999996</v>
      </c>
      <c r="I6" s="292"/>
      <c r="J6" s="292">
        <f>+SUMIFS(Tabla1[Avance_km],Tabla1[Fecha],"&gt;="&amp;$A6,Tabla1[Fecha],"&lt;="&amp;EOMONTH($A6,0),Tabla1[Codigo_actividad],J$4,Tabla1[Avance_km],"&gt;0")*J$3</f>
        <v>719112.61586999998</v>
      </c>
      <c r="K6" s="292">
        <f>SUMIFS(Tabla1[Avance_km],Tabla1[Fecha],"&gt;="&amp;$A6,Tabla1[Fecha],"&lt;="&amp;EOMONTH($A6,0),Tabla1[Codigo_actividad],K$4,Tabla1[Avance_km],"&gt;0")*K$3</f>
        <v>0</v>
      </c>
      <c r="L6" s="292">
        <f>+SUMIFS(Tabla1[Avance_Med],Tabla1[Fecha],"&gt;="&amp;$A6,Tabla1[Fecha],"&lt;="&amp;EOMONTH($A6,0),Tabla1[Codigo_actividad],L$4)*L$3</f>
        <v>456484</v>
      </c>
      <c r="M6" s="292">
        <f>+SUMIFS(Tabla1[Avance_km],Tabla1[Fecha],"&gt;="&amp;$A6,Tabla1[Fecha],"&lt;="&amp;EOMONTH($A6,0),Tabla1[Codigo_actividad],M$4)*M$3</f>
        <v>162583.90324000004</v>
      </c>
      <c r="N6" s="292">
        <f>+SUMIFS(Tabla1[Avance_Med],Tabla1[Fecha],"&gt;="&amp;$A6,Tabla1[Fecha],"&lt;="&amp;EOMONTH($A6,0),Tabla1[Codigo_actividad],N$4)*N$3</f>
        <v>0</v>
      </c>
      <c r="O6" s="292">
        <f>+SUMIFS(Tabla1[Avance_Med],Tabla1[Fecha],"&gt;="&amp;$A6,Tabla1[Fecha],"&lt;="&amp;EOMONTH($A6,0),Tabla1[Codigo_actividad],O$4)*O$3</f>
        <v>0</v>
      </c>
      <c r="P6" s="292">
        <f>+SUMIFS(Tabla1[Avance_Med],Tabla1[Fecha],"&gt;="&amp;$A6,Tabla1[Fecha],"&lt;="&amp;EOMONTH($A6,0),Tabla1[Codigo_actividad],P$4)*P$3</f>
        <v>0</v>
      </c>
      <c r="Q6" s="292">
        <f>+SUMIFS(Tabla1[Avance_Med],Tabla1[Fecha],"&gt;="&amp;$A6,Tabla1[Fecha],"&lt;="&amp;EOMONTH($A6,0),Tabla1[Codigo_actividad],Q$4)*Q$3</f>
        <v>0</v>
      </c>
      <c r="R6" s="292">
        <f>+SUMIFS(Tabla1[Avance_Med],Tabla1[Fecha],"&gt;="&amp;$A6,Tabla1[Fecha],"&lt;="&amp;EOMONTH($A6,0),Tabla1[Codigo_actividad],R$4)*R$3</f>
        <v>0</v>
      </c>
      <c r="S6" s="292">
        <f>+SUMIFS(Tabla1[Avance_Med],Tabla1[Fecha],"&gt;="&amp;$A6,Tabla1[Fecha],"&lt;="&amp;EOMONTH($A6,0),Tabla1[Codigo_actividad],S$4)*S$3</f>
        <v>0</v>
      </c>
      <c r="T6" s="292">
        <f>+SUMIFS(Tabla1[Avance_Med],Tabla1[Fecha],"&gt;="&amp;$A6,Tabla1[Fecha],"&lt;="&amp;EOMONTH($A6,0),Tabla1[Codigo_actividad],T$4)*T$3</f>
        <v>0</v>
      </c>
      <c r="U6" s="292">
        <f>+SUMIFS(Tabla1[Avance_Med],Tabla1[Fecha],"&gt;="&amp;$A6,Tabla1[Fecha],"&lt;="&amp;EOMONTH($A6,0),Tabla1[Codigo_actividad],U$4)*U$3</f>
        <v>0</v>
      </c>
      <c r="V6" s="292">
        <f>+SUMIFS(Tabla1[Avance_Med],Tabla1[Fecha],"&gt;="&amp;$A6,Tabla1[Fecha],"&lt;="&amp;EOMONTH($A6,0),Tabla1[Codigo_actividad],V$4)*V$3</f>
        <v>0</v>
      </c>
      <c r="W6" s="292">
        <f>+SUMIFS(Tabla1[Avance_Med],Tabla1[Fecha],"&gt;="&amp;$A6,Tabla1[Fecha],"&lt;="&amp;EOMONTH($A6,0),Tabla1[Codigo_actividad],W$4)*W$3</f>
        <v>0</v>
      </c>
      <c r="X6" s="292">
        <f>+SUMIFS(Tabla1[Avance_Med],Tabla1[Fecha],"&gt;="&amp;$A6,Tabla1[Fecha],"&lt;="&amp;EOMONTH($A6,0),Tabla1[Codigo_actividad],X$4)*X$3</f>
        <v>0</v>
      </c>
      <c r="Y6" s="292">
        <f>+SUMIFS(Tabla1[Avance_Med],Tabla1[Fecha],"&gt;="&amp;$A6,Tabla1[Fecha],"&lt;="&amp;EOMONTH($A6,0),Tabla1[Codigo_actividad],Y$4)*Y$3</f>
        <v>0</v>
      </c>
      <c r="Z6" s="292">
        <f>+SUMIFS(Tabla1[Avance_Med],Tabla1[Fecha],"&gt;="&amp;$A6,Tabla1[Fecha],"&lt;="&amp;EOMONTH($A6,0),Tabla1[Codigo_actividad],Z$4)*Z$3</f>
        <v>0</v>
      </c>
      <c r="AA6" s="292">
        <f>+SUMIFS(Tabla1[Avance_Med],Tabla1[Fecha],"&gt;="&amp;$A6,Tabla1[Fecha],"&lt;="&amp;EOMONTH($A6,0),Tabla1[Codigo_actividad],AA$4)*AA$3</f>
        <v>0</v>
      </c>
      <c r="AB6" s="292">
        <f>+SUMIFS(Tabla1[Avance_Med],Tabla1[Fecha],"&gt;="&amp;$A6,Tabla1[Fecha],"&lt;="&amp;EOMONTH($A6,0),Tabla1[Codigo_actividad],AB$4)*AB$3</f>
        <v>0</v>
      </c>
      <c r="AC6" s="292">
        <f>+SUMIFS(Tabla1[Avance_Med],Tabla1[Fecha],"&gt;="&amp;$A6,Tabla1[Fecha],"&lt;="&amp;EOMONTH($A6,0),Tabla1[Codigo_actividad],AC$4)*AC$3</f>
        <v>0</v>
      </c>
      <c r="AD6" s="292">
        <f>+SUMIFS(Tabla1[Avance_Med],Tabla1[Fecha],"&gt;="&amp;$A6,Tabla1[Fecha],"&lt;="&amp;EOMONTH($A6,0),Tabla1[Codigo_actividad],AD$4)*AD$3</f>
        <v>0</v>
      </c>
      <c r="AE6" s="292">
        <f>+SUMIFS(Tabla1[Avance_Med],Tabla1[Fecha],"&gt;="&amp;$A6,Tabla1[Fecha],"&lt;="&amp;EOMONTH($A6,0),Tabla1[Codigo_actividad],AE$4)*AE$3</f>
        <v>0</v>
      </c>
      <c r="AF6" s="292">
        <f>+SUMIFS(Tabla1[Avance_Med],Tabla1[Fecha],"&gt;="&amp;$A6,Tabla1[Fecha],"&lt;="&amp;EOMONTH($A6,0),Tabla1[Codigo_actividad],AF$4)*AF$3</f>
        <v>0</v>
      </c>
      <c r="AG6" s="292">
        <f>+SUMIFS(Tabla1[Avance_Med],Tabla1[Fecha],"&gt;="&amp;$A6,Tabla1[Fecha],"&lt;="&amp;EOMONTH($A6,0),Tabla1[Codigo_actividad],AG$4)*AG$3</f>
        <v>0</v>
      </c>
      <c r="AH6" s="292">
        <f>+SUMIFS(Tabla1[Avance_Med],Tabla1[Fecha],"&gt;="&amp;$A6,Tabla1[Fecha],"&lt;="&amp;EOMONTH($A6,0),Tabla1[Codigo_actividad],AH$4)*AH$3</f>
        <v>0</v>
      </c>
      <c r="AI6" s="292">
        <f>+SUMIFS(Tabla1[Avance_Med],Tabla1[Fecha],"&gt;="&amp;$A6,Tabla1[Fecha],"&lt;="&amp;EOMONTH($A6,0),Tabla1[Codigo_actividad],AI$4)*AI$3</f>
        <v>0</v>
      </c>
      <c r="AJ6" s="292">
        <f>+SUMIFS(Tabla1[Avance_Med],Tabla1[Fecha],"&gt;="&amp;$A6,Tabla1[Fecha],"&lt;="&amp;EOMONTH($A6,0),Tabla1[Codigo_actividad],AJ$4)*AJ$3</f>
        <v>0</v>
      </c>
      <c r="AK6" s="292">
        <f>+SUMIFS(Tabla1[Avance_Med],Tabla1[Fecha],"&gt;="&amp;$A6,Tabla1[Fecha],"&lt;="&amp;EOMONTH($A6,0),Tabla1[Codigo_actividad],AK$4)*AK$3</f>
        <v>0</v>
      </c>
      <c r="AL6" s="292">
        <f>+SUMIFS(Tabla1[Avance_km],Tabla1[Fecha],"&gt;="&amp;$A6,Tabla1[Fecha],"&lt;="&amp;EOMONTH($A6,0),Tabla1[Codigo_actividad],AL$4)*AL$3</f>
        <v>0</v>
      </c>
      <c r="AM6" s="292">
        <f>+SUMIFS(Tabla1[Avance_Med],Tabla1[Fecha],"&gt;="&amp;$A6,Tabla1[Fecha],"&lt;="&amp;EOMONTH($A6,0),Tabla1[Codigo_actividad],AM$4)*AM$3</f>
        <v>0</v>
      </c>
      <c r="AN6" s="291"/>
      <c r="AO6" s="286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292">
        <f>+SUMIFS(Tabla1[Avance_Med],Tabla1[Fecha],"&gt;="&amp;$A7,Tabla1[Fecha],"&lt;="&amp;EOMONTH($A7,0),Tabla1[Codigo_actividad],B$4)*B$3</f>
        <v>0</v>
      </c>
      <c r="C7" s="292">
        <f>+SUMIFS(Tabla1[Avance_Med],Tabla1[Fecha],"&gt;="&amp;$A7,Tabla1[Fecha],"&lt;="&amp;EOMONTH($A7,0),Tabla1[Codigo_actividad],C$4)*C$3</f>
        <v>0</v>
      </c>
      <c r="D7" s="292">
        <f>+SUMIFS(Tabla1[Avance_Med],Tabla1[Fecha],"&gt;="&amp;$A7,Tabla1[Fecha],"&lt;="&amp;EOMONTH($A7,0),Tabla1[Codigo_actividad],D$4)*D$3</f>
        <v>0</v>
      </c>
      <c r="E7" s="292">
        <f>+SUMIFS(Tabla1[Avance_Med],Tabla1[Fecha],"&gt;="&amp;$A7,Tabla1[Fecha],"&lt;="&amp;EOMONTH($A7,0),Tabla1[Codigo_actividad],E$4)*E$3</f>
        <v>0</v>
      </c>
      <c r="F7" s="292">
        <f>+SUMIFS(Tabla1[Avance_Med],Tabla1[Fecha],"&gt;="&amp;$A7,Tabla1[Fecha],"&lt;="&amp;EOMONTH($A7,0),Tabla1[Codigo_actividad],F$4)*F$3</f>
        <v>0</v>
      </c>
      <c r="G7" s="292">
        <f>+SUMIFS(Tabla1[Avance_Med],Tabla1[Fecha],"&gt;="&amp;$A7,Tabla1[Fecha],"&lt;="&amp;EOMONTH($A7,0),Tabla1[Codigo_actividad],G$4)*G$3</f>
        <v>0</v>
      </c>
      <c r="H7" s="292">
        <f>+SUMIFS(Tabla1[Avance_km],Tabla1[Fecha],"&gt;="&amp;$A7,Tabla1[Fecha],"&lt;="&amp;EOMONTH($A7,0),Tabla1[Codigo_actividad],H$4)*H$3</f>
        <v>457671.27897000004</v>
      </c>
      <c r="I7" s="292"/>
      <c r="J7" s="292">
        <f>+SUMIFS(Tabla1[Avance_km],Tabla1[Fecha],"&gt;="&amp;$A7,Tabla1[Fecha],"&lt;="&amp;EOMONTH($A7,0),Tabla1[Codigo_actividad],J$4,Tabla1[Avance_km],"&gt;0")*J$3</f>
        <v>427598.79271999991</v>
      </c>
      <c r="K7" s="292">
        <f>SUMIFS(Tabla1[Avance_km],Tabla1[Fecha],"&gt;="&amp;$A7,Tabla1[Fecha],"&lt;="&amp;EOMONTH($A7,0),Tabla1[Codigo_actividad],K$4,Tabla1[Avance_km],"&gt;0")*K$3</f>
        <v>0</v>
      </c>
      <c r="L7" s="292">
        <f>+SUMIFS(Tabla1[Avance_Med],Tabla1[Fecha],"&gt;="&amp;$A7,Tabla1[Fecha],"&lt;="&amp;EOMONTH($A7,0),Tabla1[Codigo_actividad],L$4)*L$3</f>
        <v>605540</v>
      </c>
      <c r="M7" s="292">
        <f>+SUMIFS(Tabla1[Avance_km],Tabla1[Fecha],"&gt;="&amp;$A7,Tabla1[Fecha],"&lt;="&amp;EOMONTH($A7,0),Tabla1[Codigo_actividad],M$4)*M$3</f>
        <v>47818.927860000003</v>
      </c>
      <c r="N7" s="292">
        <f>+SUMIFS(Tabla1[Avance_Med],Tabla1[Fecha],"&gt;="&amp;$A7,Tabla1[Fecha],"&lt;="&amp;EOMONTH($A7,0),Tabla1[Codigo_actividad],N$4)*N$3</f>
        <v>0</v>
      </c>
      <c r="O7" s="292">
        <f>+SUMIFS(Tabla1[Avance_Med],Tabla1[Fecha],"&gt;="&amp;$A7,Tabla1[Fecha],"&lt;="&amp;EOMONTH($A7,0),Tabla1[Codigo_actividad],O$4)*O$3</f>
        <v>0</v>
      </c>
      <c r="P7" s="292">
        <f>+SUMIFS(Tabla1[Avance_Med],Tabla1[Fecha],"&gt;="&amp;$A7,Tabla1[Fecha],"&lt;="&amp;EOMONTH($A7,0),Tabla1[Codigo_actividad],P$4)*P$3</f>
        <v>0</v>
      </c>
      <c r="Q7" s="292">
        <f>+SUMIFS(Tabla1[Avance_Med],Tabla1[Fecha],"&gt;="&amp;$A7,Tabla1[Fecha],"&lt;="&amp;EOMONTH($A7,0),Tabla1[Codigo_actividad],Q$4)*Q$3</f>
        <v>0</v>
      </c>
      <c r="R7" s="292">
        <f>+SUMIFS(Tabla1[Avance_Med],Tabla1[Fecha],"&gt;="&amp;$A7,Tabla1[Fecha],"&lt;="&amp;EOMONTH($A7,0),Tabla1[Codigo_actividad],R$4)*R$3</f>
        <v>0</v>
      </c>
      <c r="S7" s="292">
        <f>+SUMIFS(Tabla1[Avance_Med],Tabla1[Fecha],"&gt;="&amp;$A7,Tabla1[Fecha],"&lt;="&amp;EOMONTH($A7,0),Tabla1[Codigo_actividad],S$4)*S$3</f>
        <v>0</v>
      </c>
      <c r="T7" s="292">
        <f>+SUMIFS(Tabla1[Avance_Med],Tabla1[Fecha],"&gt;="&amp;$A7,Tabla1[Fecha],"&lt;="&amp;EOMONTH($A7,0),Tabla1[Codigo_actividad],T$4)*T$3</f>
        <v>0</v>
      </c>
      <c r="U7" s="292">
        <f>+SUMIFS(Tabla1[Avance_Med],Tabla1[Fecha],"&gt;="&amp;$A7,Tabla1[Fecha],"&lt;="&amp;EOMONTH($A7,0),Tabla1[Codigo_actividad],U$4)*U$3</f>
        <v>0</v>
      </c>
      <c r="V7" s="292">
        <f>+SUMIFS(Tabla1[Avance_Med],Tabla1[Fecha],"&gt;="&amp;$A7,Tabla1[Fecha],"&lt;="&amp;EOMONTH($A7,0),Tabla1[Codigo_actividad],V$4)*V$3</f>
        <v>0</v>
      </c>
      <c r="W7" s="292">
        <f>+SUMIFS(Tabla1[Avance_Med],Tabla1[Fecha],"&gt;="&amp;$A7,Tabla1[Fecha],"&lt;="&amp;EOMONTH($A7,0),Tabla1[Codigo_actividad],W$4)*W$3</f>
        <v>0</v>
      </c>
      <c r="X7" s="292">
        <f>+SUMIFS(Tabla1[Avance_Med],Tabla1[Fecha],"&gt;="&amp;$A7,Tabla1[Fecha],"&lt;="&amp;EOMONTH($A7,0),Tabla1[Codigo_actividad],X$4)*X$3</f>
        <v>0</v>
      </c>
      <c r="Y7" s="292">
        <f>+SUMIFS(Tabla1[Avance_Med],Tabla1[Fecha],"&gt;="&amp;$A7,Tabla1[Fecha],"&lt;="&amp;EOMONTH($A7,0),Tabla1[Codigo_actividad],Y$4)*Y$3</f>
        <v>0</v>
      </c>
      <c r="Z7" s="292">
        <f>+SUMIFS(Tabla1[Avance_Med],Tabla1[Fecha],"&gt;="&amp;$A7,Tabla1[Fecha],"&lt;="&amp;EOMONTH($A7,0),Tabla1[Codigo_actividad],Z$4)*Z$3</f>
        <v>0</v>
      </c>
      <c r="AA7" s="292">
        <f>+SUMIFS(Tabla1[Avance_Med],Tabla1[Fecha],"&gt;="&amp;$A7,Tabla1[Fecha],"&lt;="&amp;EOMONTH($A7,0),Tabla1[Codigo_actividad],AA$4)*AA$3</f>
        <v>0</v>
      </c>
      <c r="AB7" s="292">
        <f>+SUMIFS(Tabla1[Avance_Med],Tabla1[Fecha],"&gt;="&amp;$A7,Tabla1[Fecha],"&lt;="&amp;EOMONTH($A7,0),Tabla1[Codigo_actividad],AB$4)*AB$3</f>
        <v>0</v>
      </c>
      <c r="AC7" s="292">
        <f>+SUMIFS(Tabla1[Avance_Med],Tabla1[Fecha],"&gt;="&amp;$A7,Tabla1[Fecha],"&lt;="&amp;EOMONTH($A7,0),Tabla1[Codigo_actividad],AC$4)*AC$3</f>
        <v>0</v>
      </c>
      <c r="AD7" s="292">
        <f>+SUMIFS(Tabla1[Avance_Med],Tabla1[Fecha],"&gt;="&amp;$A7,Tabla1[Fecha],"&lt;="&amp;EOMONTH($A7,0),Tabla1[Codigo_actividad],AD$4)*AD$3</f>
        <v>0</v>
      </c>
      <c r="AE7" s="292">
        <f>+SUMIFS(Tabla1[Avance_Med],Tabla1[Fecha],"&gt;="&amp;$A7,Tabla1[Fecha],"&lt;="&amp;EOMONTH($A7,0),Tabla1[Codigo_actividad],AE$4)*AE$3</f>
        <v>0</v>
      </c>
      <c r="AF7" s="292">
        <f>+SUMIFS(Tabla1[Avance_Med],Tabla1[Fecha],"&gt;="&amp;$A7,Tabla1[Fecha],"&lt;="&amp;EOMONTH($A7,0),Tabla1[Codigo_actividad],AF$4)*AF$3</f>
        <v>0</v>
      </c>
      <c r="AG7" s="292">
        <f>+SUMIFS(Tabla1[Avance_Med],Tabla1[Fecha],"&gt;="&amp;$A7,Tabla1[Fecha],"&lt;="&amp;EOMONTH($A7,0),Tabla1[Codigo_actividad],AG$4)*AG$3</f>
        <v>0</v>
      </c>
      <c r="AH7" s="292">
        <f>+SUMIFS(Tabla1[Avance_Med],Tabla1[Fecha],"&gt;="&amp;$A7,Tabla1[Fecha],"&lt;="&amp;EOMONTH($A7,0),Tabla1[Codigo_actividad],AH$4)*AH$3</f>
        <v>0</v>
      </c>
      <c r="AI7" s="292">
        <f>+SUMIFS(Tabla1[Avance_Med],Tabla1[Fecha],"&gt;="&amp;$A7,Tabla1[Fecha],"&lt;="&amp;EOMONTH($A7,0),Tabla1[Codigo_actividad],AI$4)*AI$3</f>
        <v>0</v>
      </c>
      <c r="AJ7" s="292">
        <f>+SUMIFS(Tabla1[Avance_Med],Tabla1[Fecha],"&gt;="&amp;$A7,Tabla1[Fecha],"&lt;="&amp;EOMONTH($A7,0),Tabla1[Codigo_actividad],AJ$4)*AJ$3</f>
        <v>0</v>
      </c>
      <c r="AK7" s="292">
        <f>+SUMIFS(Tabla1[Avance_Med],Tabla1[Fecha],"&gt;="&amp;$A7,Tabla1[Fecha],"&lt;="&amp;EOMONTH($A7,0),Tabla1[Codigo_actividad],AK$4)*AK$3</f>
        <v>0</v>
      </c>
      <c r="AL7" s="292">
        <f>+SUMIFS(Tabla1[Avance_km],Tabla1[Fecha],"&gt;="&amp;$A7,Tabla1[Fecha],"&lt;="&amp;EOMONTH($A7,0),Tabla1[Codigo_actividad],AL$4)*AL$3</f>
        <v>0</v>
      </c>
      <c r="AM7" s="292">
        <f>+SUMIFS(Tabla1[Avance_Med],Tabla1[Fecha],"&gt;="&amp;$A7,Tabla1[Fecha],"&lt;="&amp;EOMONTH($A7,0),Tabla1[Codigo_actividad],AM$4)*AM$3</f>
        <v>0</v>
      </c>
      <c r="AN7" s="291"/>
      <c r="AO7" s="286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292">
        <f>+SUMIFS(Tabla1[Avance_Med],Tabla1[Fecha],"&gt;="&amp;$A8,Tabla1[Fecha],"&lt;="&amp;EOMONTH($A8,0),Tabla1[Codigo_actividad],B$4)*B$3</f>
        <v>0</v>
      </c>
      <c r="C8" s="292">
        <f>+SUMIFS(Tabla1[Avance_Med],Tabla1[Fecha],"&gt;="&amp;$A8,Tabla1[Fecha],"&lt;="&amp;EOMONTH($A8,0),Tabla1[Codigo_actividad],C$4)*C$3</f>
        <v>0</v>
      </c>
      <c r="D8" s="292">
        <f>+SUMIFS(Tabla1[Avance_Med],Tabla1[Fecha],"&gt;="&amp;$A8,Tabla1[Fecha],"&lt;="&amp;EOMONTH($A8,0),Tabla1[Codigo_actividad],D$4)*D$3</f>
        <v>0</v>
      </c>
      <c r="E8" s="292">
        <f>+SUMIFS(Tabla1[Avance_Med],Tabla1[Fecha],"&gt;="&amp;$A8,Tabla1[Fecha],"&lt;="&amp;EOMONTH($A8,0),Tabla1[Codigo_actividad],E$4)*E$3</f>
        <v>0</v>
      </c>
      <c r="F8" s="292">
        <f>+SUMIFS(Tabla1[Avance_Med],Tabla1[Fecha],"&gt;="&amp;$A8,Tabla1[Fecha],"&lt;="&amp;EOMONTH($A8,0),Tabla1[Codigo_actividad],F$4)*F$3</f>
        <v>0</v>
      </c>
      <c r="G8" s="292">
        <f>+SUMIFS(Tabla1[Avance_Med],Tabla1[Fecha],"&gt;="&amp;$A8,Tabla1[Fecha],"&lt;="&amp;EOMONTH($A8,0),Tabla1[Codigo_actividad],G$4)*G$3</f>
        <v>0</v>
      </c>
      <c r="H8" s="292">
        <f>+SUMIFS(Tabla1[Avance_km],Tabla1[Fecha],"&gt;="&amp;$A8,Tabla1[Fecha],"&lt;="&amp;EOMONTH($A8,0),Tabla1[Codigo_actividad],H$4)*H$3</f>
        <v>534968.7444000002</v>
      </c>
      <c r="I8" s="292"/>
      <c r="J8" s="292">
        <f>+SUMIFS(Tabla1[Avance_km],Tabla1[Fecha],"&gt;="&amp;$A8,Tabla1[Fecha],"&lt;="&amp;EOMONTH($A8,0),Tabla1[Codigo_actividad],J$4,Tabla1[Avance_km],"&gt;0")*J$3</f>
        <v>207577.36219000004</v>
      </c>
      <c r="K8" s="292">
        <f>SUMIFS(Tabla1[Avance_km],Tabla1[Fecha],"&gt;="&amp;$A8,Tabla1[Fecha],"&lt;="&amp;EOMONTH($A8,0),Tabla1[Codigo_actividad],K$4,Tabla1[Avance_km],"&gt;0")*K$3</f>
        <v>0</v>
      </c>
      <c r="L8" s="292">
        <f>+SUMIFS(Tabla1[Avance_Med],Tabla1[Fecha],"&gt;="&amp;$A8,Tabla1[Fecha],"&lt;="&amp;EOMONTH($A8,0),Tabla1[Codigo_actividad],L$4)*L$3</f>
        <v>605540</v>
      </c>
      <c r="M8" s="292">
        <f>+SUMIFS(Tabla1[Avance_km],Tabla1[Fecha],"&gt;="&amp;$A8,Tabla1[Fecha],"&lt;="&amp;EOMONTH($A8,0),Tabla1[Codigo_actividad],M$4)*M$3</f>
        <v>15126.97142</v>
      </c>
      <c r="N8" s="292">
        <f>+SUMIFS(Tabla1[Avance_Med],Tabla1[Fecha],"&gt;="&amp;$A8,Tabla1[Fecha],"&lt;="&amp;EOMONTH($A8,0),Tabla1[Codigo_actividad],N$4)*N$3</f>
        <v>0</v>
      </c>
      <c r="O8" s="292">
        <f>+SUMIFS(Tabla1[Avance_Med],Tabla1[Fecha],"&gt;="&amp;$A8,Tabla1[Fecha],"&lt;="&amp;EOMONTH($A8,0),Tabla1[Codigo_actividad],O$4)*O$3</f>
        <v>0</v>
      </c>
      <c r="P8" s="292">
        <f>+SUMIFS(Tabla1[Avance_Med],Tabla1[Fecha],"&gt;="&amp;$A8,Tabla1[Fecha],"&lt;="&amp;EOMONTH($A8,0),Tabla1[Codigo_actividad],P$4)*P$3</f>
        <v>0</v>
      </c>
      <c r="Q8" s="292">
        <f>+SUMIFS(Tabla1[Avance_Med],Tabla1[Fecha],"&gt;="&amp;$A8,Tabla1[Fecha],"&lt;="&amp;EOMONTH($A8,0),Tabla1[Codigo_actividad],Q$4)*Q$3</f>
        <v>0</v>
      </c>
      <c r="R8" s="292">
        <f>+SUMIFS(Tabla1[Avance_Med],Tabla1[Fecha],"&gt;="&amp;$A8,Tabla1[Fecha],"&lt;="&amp;EOMONTH($A8,0),Tabla1[Codigo_actividad],R$4)*R$3</f>
        <v>0</v>
      </c>
      <c r="S8" s="292">
        <f>+SUMIFS(Tabla1[Avance_Med],Tabla1[Fecha],"&gt;="&amp;$A8,Tabla1[Fecha],"&lt;="&amp;EOMONTH($A8,0),Tabla1[Codigo_actividad],S$4)*S$3</f>
        <v>0</v>
      </c>
      <c r="T8" s="292">
        <f>+SUMIFS(Tabla1[Avance_Med],Tabla1[Fecha],"&gt;="&amp;$A8,Tabla1[Fecha],"&lt;="&amp;EOMONTH($A8,0),Tabla1[Codigo_actividad],T$4)*T$3</f>
        <v>0</v>
      </c>
      <c r="U8" s="292">
        <f>+SUMIFS(Tabla1[Avance_Med],Tabla1[Fecha],"&gt;="&amp;$A8,Tabla1[Fecha],"&lt;="&amp;EOMONTH($A8,0),Tabla1[Codigo_actividad],U$4)*U$3</f>
        <v>0</v>
      </c>
      <c r="V8" s="292">
        <f>+SUMIFS(Tabla1[Avance_Med],Tabla1[Fecha],"&gt;="&amp;$A8,Tabla1[Fecha],"&lt;="&amp;EOMONTH($A8,0),Tabla1[Codigo_actividad],V$4)*V$3</f>
        <v>0</v>
      </c>
      <c r="W8" s="292">
        <f>+SUMIFS(Tabla1[Avance_Med],Tabla1[Fecha],"&gt;="&amp;$A8,Tabla1[Fecha],"&lt;="&amp;EOMONTH($A8,0),Tabla1[Codigo_actividad],W$4)*W$3</f>
        <v>0</v>
      </c>
      <c r="X8" s="292">
        <f>+SUMIFS(Tabla1[Avance_Med],Tabla1[Fecha],"&gt;="&amp;$A8,Tabla1[Fecha],"&lt;="&amp;EOMONTH($A8,0),Tabla1[Codigo_actividad],X$4)*X$3</f>
        <v>0</v>
      </c>
      <c r="Y8" s="292">
        <f>+SUMIFS(Tabla1[Avance_Med],Tabla1[Fecha],"&gt;="&amp;$A8,Tabla1[Fecha],"&lt;="&amp;EOMONTH($A8,0),Tabla1[Codigo_actividad],Y$4)*Y$3</f>
        <v>0</v>
      </c>
      <c r="Z8" s="292">
        <f>+SUMIFS(Tabla1[Avance_Med],Tabla1[Fecha],"&gt;="&amp;$A8,Tabla1[Fecha],"&lt;="&amp;EOMONTH($A8,0),Tabla1[Codigo_actividad],Z$4)*Z$3</f>
        <v>0</v>
      </c>
      <c r="AA8" s="292">
        <f>+SUMIFS(Tabla1[Avance_Med],Tabla1[Fecha],"&gt;="&amp;$A8,Tabla1[Fecha],"&lt;="&amp;EOMONTH($A8,0),Tabla1[Codigo_actividad],AA$4)*AA$3</f>
        <v>0</v>
      </c>
      <c r="AB8" s="292">
        <f>+SUMIFS(Tabla1[Avance_Med],Tabla1[Fecha],"&gt;="&amp;$A8,Tabla1[Fecha],"&lt;="&amp;EOMONTH($A8,0),Tabla1[Codigo_actividad],AB$4)*AB$3</f>
        <v>0</v>
      </c>
      <c r="AC8" s="292">
        <f>+SUMIFS(Tabla1[Avance_Med],Tabla1[Fecha],"&gt;="&amp;$A8,Tabla1[Fecha],"&lt;="&amp;EOMONTH($A8,0),Tabla1[Codigo_actividad],AC$4)*AC$3</f>
        <v>0</v>
      </c>
      <c r="AD8" s="292">
        <f>+SUMIFS(Tabla1[Avance_Med],Tabla1[Fecha],"&gt;="&amp;$A8,Tabla1[Fecha],"&lt;="&amp;EOMONTH($A8,0),Tabla1[Codigo_actividad],AD$4)*AD$3</f>
        <v>0</v>
      </c>
      <c r="AE8" s="292">
        <f>+SUMIFS(Tabla1[Avance_Med],Tabla1[Fecha],"&gt;="&amp;$A8,Tabla1[Fecha],"&lt;="&amp;EOMONTH($A8,0),Tabla1[Codigo_actividad],AE$4)*AE$3</f>
        <v>0</v>
      </c>
      <c r="AF8" s="292">
        <f>+SUMIFS(Tabla1[Avance_Med],Tabla1[Fecha],"&gt;="&amp;$A8,Tabla1[Fecha],"&lt;="&amp;EOMONTH($A8,0),Tabla1[Codigo_actividad],AF$4)*AF$3</f>
        <v>0</v>
      </c>
      <c r="AG8" s="292">
        <f>+SUMIFS(Tabla1[Avance_Med],Tabla1[Fecha],"&gt;="&amp;$A8,Tabla1[Fecha],"&lt;="&amp;EOMONTH($A8,0),Tabla1[Codigo_actividad],AG$4)*AG$3</f>
        <v>0</v>
      </c>
      <c r="AH8" s="292">
        <f>+SUMIFS(Tabla1[Avance_Med],Tabla1[Fecha],"&gt;="&amp;$A8,Tabla1[Fecha],"&lt;="&amp;EOMONTH($A8,0),Tabla1[Codigo_actividad],AH$4)*AH$3</f>
        <v>0</v>
      </c>
      <c r="AI8" s="292">
        <f>+SUMIFS(Tabla1[Avance_Med],Tabla1[Fecha],"&gt;="&amp;$A8,Tabla1[Fecha],"&lt;="&amp;EOMONTH($A8,0),Tabla1[Codigo_actividad],AI$4)*AI$3</f>
        <v>0</v>
      </c>
      <c r="AJ8" s="292">
        <f>+SUMIFS(Tabla1[Avance_Med],Tabla1[Fecha],"&gt;="&amp;$A8,Tabla1[Fecha],"&lt;="&amp;EOMONTH($A8,0),Tabla1[Codigo_actividad],AJ$4)*AJ$3</f>
        <v>0</v>
      </c>
      <c r="AK8" s="292">
        <f>+SUMIFS(Tabla1[Avance_Med],Tabla1[Fecha],"&gt;="&amp;$A8,Tabla1[Fecha],"&lt;="&amp;EOMONTH($A8,0),Tabla1[Codigo_actividad],AK$4)*AK$3</f>
        <v>0</v>
      </c>
      <c r="AL8" s="292">
        <f>+SUMIFS(Tabla1[Avance_km],Tabla1[Fecha],"&gt;="&amp;$A8,Tabla1[Fecha],"&lt;="&amp;EOMONTH($A8,0),Tabla1[Codigo_actividad],AL$4)*AL$3</f>
        <v>0</v>
      </c>
      <c r="AM8" s="292">
        <f>+SUMIFS(Tabla1[Avance_Med],Tabla1[Fecha],"&gt;="&amp;$A8,Tabla1[Fecha],"&lt;="&amp;EOMONTH($A8,0),Tabla1[Codigo_actividad],AM$4)*AM$3</f>
        <v>0</v>
      </c>
      <c r="AN8" s="291"/>
      <c r="AO8" s="286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292">
        <f>+SUMIFS(Tabla1[Avance_Med],Tabla1[Fecha],"&gt;="&amp;$A9,Tabla1[Fecha],"&lt;="&amp;EOMONTH($A9,0),Tabla1[Codigo_actividad],B$4)*B$3</f>
        <v>0</v>
      </c>
      <c r="C9" s="292">
        <f>+SUMIFS(Tabla1[Avance_Med],Tabla1[Fecha],"&gt;="&amp;$A9,Tabla1[Fecha],"&lt;="&amp;EOMONTH($A9,0),Tabla1[Codigo_actividad],C$4)*C$3</f>
        <v>0</v>
      </c>
      <c r="D9" s="292">
        <f>+SUMIFS(Tabla1[Avance_Med],Tabla1[Fecha],"&gt;="&amp;$A9,Tabla1[Fecha],"&lt;="&amp;EOMONTH($A9,0),Tabla1[Codigo_actividad],D$4)*D$3</f>
        <v>0</v>
      </c>
      <c r="E9" s="292">
        <f>+SUMIFS(Tabla1[Avance_Med],Tabla1[Fecha],"&gt;="&amp;$A9,Tabla1[Fecha],"&lt;="&amp;EOMONTH($A9,0),Tabla1[Codigo_actividad],E$4)*E$3</f>
        <v>0</v>
      </c>
      <c r="F9" s="292">
        <f>+SUMIFS(Tabla1[Avance_Med],Tabla1[Fecha],"&gt;="&amp;$A9,Tabla1[Fecha],"&lt;="&amp;EOMONTH($A9,0),Tabla1[Codigo_actividad],F$4)*F$3</f>
        <v>0</v>
      </c>
      <c r="G9" s="292">
        <f>+SUMIFS(Tabla1[Avance_Med],Tabla1[Fecha],"&gt;="&amp;$A9,Tabla1[Fecha],"&lt;="&amp;EOMONTH($A9,0),Tabla1[Codigo_actividad],G$4)*G$3</f>
        <v>0</v>
      </c>
      <c r="H9" s="292">
        <f>+SUMIFS(Tabla1[Avance_km],Tabla1[Fecha],"&gt;="&amp;$A9,Tabla1[Fecha],"&lt;="&amp;EOMONTH($A9,0),Tabla1[Codigo_actividad],H$4)*H$3</f>
        <v>0</v>
      </c>
      <c r="I9" s="292"/>
      <c r="J9" s="292">
        <f>+SUMIFS(Tabla1[Avance_km],Tabla1[Fecha],"&gt;="&amp;$A9,Tabla1[Fecha],"&lt;="&amp;EOMONTH($A9,0),Tabla1[Codigo_actividad],J$4,Tabla1[Avance_km],"&gt;0")*J$3</f>
        <v>0</v>
      </c>
      <c r="K9" s="292">
        <f>SUMIFS(Tabla1[Avance_km],Tabla1[Fecha],"&gt;="&amp;$A9,Tabla1[Fecha],"&lt;="&amp;EOMONTH($A9,0),Tabla1[Codigo_actividad],K$4,Tabla1[Avance_km],"&gt;0")*K$3</f>
        <v>0</v>
      </c>
      <c r="L9" s="292">
        <f>+SUMIFS(Tabla1[Avance_Med],Tabla1[Fecha],"&gt;="&amp;$A9,Tabla1[Fecha],"&lt;="&amp;EOMONTH($A9,0),Tabla1[Codigo_actividad],L$4)*L$3</f>
        <v>83844</v>
      </c>
      <c r="M9" s="292">
        <f>+SUMIFS(Tabla1[Avance_km],Tabla1[Fecha],"&gt;="&amp;$A9,Tabla1[Fecha],"&lt;="&amp;EOMONTH($A9,0),Tabla1[Codigo_actividad],M$4)*M$3</f>
        <v>0</v>
      </c>
      <c r="N9" s="292">
        <f>+SUMIFS(Tabla1[Avance_Med],Tabla1[Fecha],"&gt;="&amp;$A9,Tabla1[Fecha],"&lt;="&amp;EOMONTH($A9,0),Tabla1[Codigo_actividad],N$4)*N$3</f>
        <v>0</v>
      </c>
      <c r="O9" s="292">
        <f>+SUMIFS(Tabla1[Avance_Med],Tabla1[Fecha],"&gt;="&amp;$A9,Tabla1[Fecha],"&lt;="&amp;EOMONTH($A9,0),Tabla1[Codigo_actividad],O$4)*O$3</f>
        <v>0</v>
      </c>
      <c r="P9" s="292">
        <f>+SUMIFS(Tabla1[Avance_Med],Tabla1[Fecha],"&gt;="&amp;$A9,Tabla1[Fecha],"&lt;="&amp;EOMONTH($A9,0),Tabla1[Codigo_actividad],P$4)*P$3</f>
        <v>0</v>
      </c>
      <c r="Q9" s="292">
        <f>+SUMIFS(Tabla1[Avance_Med],Tabla1[Fecha],"&gt;="&amp;$A9,Tabla1[Fecha],"&lt;="&amp;EOMONTH($A9,0),Tabla1[Codigo_actividad],Q$4)*Q$3</f>
        <v>0</v>
      </c>
      <c r="R9" s="292">
        <f>+SUMIFS(Tabla1[Avance_Med],Tabla1[Fecha],"&gt;="&amp;$A9,Tabla1[Fecha],"&lt;="&amp;EOMONTH($A9,0),Tabla1[Codigo_actividad],R$4)*R$3</f>
        <v>0</v>
      </c>
      <c r="S9" s="292">
        <f>+SUMIFS(Tabla1[Avance_Med],Tabla1[Fecha],"&gt;="&amp;$A9,Tabla1[Fecha],"&lt;="&amp;EOMONTH($A9,0),Tabla1[Codigo_actividad],S$4)*S$3</f>
        <v>0</v>
      </c>
      <c r="T9" s="292">
        <f>+SUMIFS(Tabla1[Avance_Med],Tabla1[Fecha],"&gt;="&amp;$A9,Tabla1[Fecha],"&lt;="&amp;EOMONTH($A9,0),Tabla1[Codigo_actividad],T$4)*T$3</f>
        <v>0</v>
      </c>
      <c r="U9" s="292">
        <f>+SUMIFS(Tabla1[Avance_Med],Tabla1[Fecha],"&gt;="&amp;$A9,Tabla1[Fecha],"&lt;="&amp;EOMONTH($A9,0),Tabla1[Codigo_actividad],U$4)*U$3</f>
        <v>0</v>
      </c>
      <c r="V9" s="292">
        <f>+SUMIFS(Tabla1[Avance_Med],Tabla1[Fecha],"&gt;="&amp;$A9,Tabla1[Fecha],"&lt;="&amp;EOMONTH($A9,0),Tabla1[Codigo_actividad],V$4)*V$3</f>
        <v>0</v>
      </c>
      <c r="W9" s="292">
        <f>+SUMIFS(Tabla1[Avance_Med],Tabla1[Fecha],"&gt;="&amp;$A9,Tabla1[Fecha],"&lt;="&amp;EOMONTH($A9,0),Tabla1[Codigo_actividad],W$4)*W$3</f>
        <v>0</v>
      </c>
      <c r="X9" s="292">
        <f>+SUMIFS(Tabla1[Avance_Med],Tabla1[Fecha],"&gt;="&amp;$A9,Tabla1[Fecha],"&lt;="&amp;EOMONTH($A9,0),Tabla1[Codigo_actividad],X$4)*X$3</f>
        <v>0</v>
      </c>
      <c r="Y9" s="292">
        <f>+SUMIFS(Tabla1[Avance_Med],Tabla1[Fecha],"&gt;="&amp;$A9,Tabla1[Fecha],"&lt;="&amp;EOMONTH($A9,0),Tabla1[Codigo_actividad],Y$4)*Y$3</f>
        <v>0</v>
      </c>
      <c r="Z9" s="292">
        <f>+SUMIFS(Tabla1[Avance_Med],Tabla1[Fecha],"&gt;="&amp;$A9,Tabla1[Fecha],"&lt;="&amp;EOMONTH($A9,0),Tabla1[Codigo_actividad],Z$4)*Z$3</f>
        <v>0</v>
      </c>
      <c r="AA9" s="292">
        <f>+SUMIFS(Tabla1[Avance_Med],Tabla1[Fecha],"&gt;="&amp;$A9,Tabla1[Fecha],"&lt;="&amp;EOMONTH($A9,0),Tabla1[Codigo_actividad],AA$4)*AA$3</f>
        <v>0</v>
      </c>
      <c r="AB9" s="292">
        <f>+SUMIFS(Tabla1[Avance_Med],Tabla1[Fecha],"&gt;="&amp;$A9,Tabla1[Fecha],"&lt;="&amp;EOMONTH($A9,0),Tabla1[Codigo_actividad],AB$4)*AB$3</f>
        <v>0</v>
      </c>
      <c r="AC9" s="292">
        <f>+SUMIFS(Tabla1[Avance_Med],Tabla1[Fecha],"&gt;="&amp;$A9,Tabla1[Fecha],"&lt;="&amp;EOMONTH($A9,0),Tabla1[Codigo_actividad],AC$4)*AC$3</f>
        <v>0</v>
      </c>
      <c r="AD9" s="292">
        <f>+SUMIFS(Tabla1[Avance_Med],Tabla1[Fecha],"&gt;="&amp;$A9,Tabla1[Fecha],"&lt;="&amp;EOMONTH($A9,0),Tabla1[Codigo_actividad],AD$4)*AD$3</f>
        <v>0</v>
      </c>
      <c r="AE9" s="292">
        <f>+SUMIFS(Tabla1[Avance_Med],Tabla1[Fecha],"&gt;="&amp;$A9,Tabla1[Fecha],"&lt;="&amp;EOMONTH($A9,0),Tabla1[Codigo_actividad],AE$4)*AE$3</f>
        <v>0</v>
      </c>
      <c r="AF9" s="292">
        <f>+SUMIFS(Tabla1[Avance_Med],Tabla1[Fecha],"&gt;="&amp;$A9,Tabla1[Fecha],"&lt;="&amp;EOMONTH($A9,0),Tabla1[Codigo_actividad],AF$4)*AF$3</f>
        <v>0</v>
      </c>
      <c r="AG9" s="292">
        <f>+SUMIFS(Tabla1[Avance_Med],Tabla1[Fecha],"&gt;="&amp;$A9,Tabla1[Fecha],"&lt;="&amp;EOMONTH($A9,0),Tabla1[Codigo_actividad],AG$4)*AG$3</f>
        <v>0</v>
      </c>
      <c r="AH9" s="292">
        <f>+SUMIFS(Tabla1[Avance_Med],Tabla1[Fecha],"&gt;="&amp;$A9,Tabla1[Fecha],"&lt;="&amp;EOMONTH($A9,0),Tabla1[Codigo_actividad],AH$4)*AH$3</f>
        <v>0</v>
      </c>
      <c r="AI9" s="292">
        <f>+SUMIFS(Tabla1[Avance_Med],Tabla1[Fecha],"&gt;="&amp;$A9,Tabla1[Fecha],"&lt;="&amp;EOMONTH($A9,0),Tabla1[Codigo_actividad],AI$4)*AI$3</f>
        <v>0</v>
      </c>
      <c r="AJ9" s="292">
        <f>+SUMIFS(Tabla1[Avance_Med],Tabla1[Fecha],"&gt;="&amp;$A9,Tabla1[Fecha],"&lt;="&amp;EOMONTH($A9,0),Tabla1[Codigo_actividad],AJ$4)*AJ$3</f>
        <v>0</v>
      </c>
      <c r="AK9" s="292">
        <f>+SUMIFS(Tabla1[Avance_Med],Tabla1[Fecha],"&gt;="&amp;$A9,Tabla1[Fecha],"&lt;="&amp;EOMONTH($A9,0),Tabla1[Codigo_actividad],AK$4)*AK$3</f>
        <v>0</v>
      </c>
      <c r="AL9" s="292">
        <f>+SUMIFS(Tabla1[Avance_km],Tabla1[Fecha],"&gt;="&amp;$A9,Tabla1[Fecha],"&lt;="&amp;EOMONTH($A9,0),Tabla1[Codigo_actividad],AL$4)*AL$3</f>
        <v>0</v>
      </c>
      <c r="AM9" s="292">
        <f>+SUMIFS(Tabla1[Avance_Med],Tabla1[Fecha],"&gt;="&amp;$A9,Tabla1[Fecha],"&lt;="&amp;EOMONTH($A9,0),Tabla1[Codigo_actividad],AM$4)*AM$3</f>
        <v>0</v>
      </c>
      <c r="AN9" s="291"/>
      <c r="AO9" s="286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292">
        <f>+SUMIFS(Tabla1[Avance_Med],Tabla1[Fecha],"&gt;="&amp;$A10,Tabla1[Fecha],"&lt;="&amp;EOMONTH($A10,0),Tabla1[Codigo_actividad],B$4)*B$3</f>
        <v>0</v>
      </c>
      <c r="C10" s="292">
        <f>+SUMIFS(Tabla1[Avance_Med],Tabla1[Fecha],"&gt;="&amp;$A10,Tabla1[Fecha],"&lt;="&amp;EOMONTH($A10,0),Tabla1[Codigo_actividad],C$4)*C$3</f>
        <v>0</v>
      </c>
      <c r="D10" s="292">
        <f>+SUMIFS(Tabla1[Avance_Med],Tabla1[Fecha],"&gt;="&amp;$A10,Tabla1[Fecha],"&lt;="&amp;EOMONTH($A10,0),Tabla1[Codigo_actividad],D$4)*D$3</f>
        <v>0</v>
      </c>
      <c r="E10" s="292">
        <f>+SUMIFS(Tabla1[Avance_Med],Tabla1[Fecha],"&gt;="&amp;$A10,Tabla1[Fecha],"&lt;="&amp;EOMONTH($A10,0),Tabla1[Codigo_actividad],E$4)*E$3</f>
        <v>0</v>
      </c>
      <c r="F10" s="292">
        <f>+SUMIFS(Tabla1[Avance_Med],Tabla1[Fecha],"&gt;="&amp;$A10,Tabla1[Fecha],"&lt;="&amp;EOMONTH($A10,0),Tabla1[Codigo_actividad],F$4)*F$3</f>
        <v>0</v>
      </c>
      <c r="G10" s="292">
        <f>+SUMIFS(Tabla1[Avance_Med],Tabla1[Fecha],"&gt;="&amp;$A10,Tabla1[Fecha],"&lt;="&amp;EOMONTH($A10,0),Tabla1[Codigo_actividad],G$4)*G$3</f>
        <v>0</v>
      </c>
      <c r="H10" s="292">
        <f>+SUMIFS(Tabla1[Avance_km],Tabla1[Fecha],"&gt;="&amp;$A10,Tabla1[Fecha],"&lt;="&amp;EOMONTH($A10,0),Tabla1[Codigo_actividad],H$4)*H$3</f>
        <v>0</v>
      </c>
      <c r="I10" s="292"/>
      <c r="J10" s="292">
        <f>+SUMIFS(Tabla1[Avance_km],Tabla1[Fecha],"&gt;="&amp;$A10,Tabla1[Fecha],"&lt;="&amp;EOMONTH($A10,0),Tabla1[Codigo_actividad],J$4,Tabla1[Avance_km],"&gt;0")*J$3</f>
        <v>0</v>
      </c>
      <c r="K10" s="292">
        <f>SUMIFS(Tabla1[Avance_km],Tabla1[Fecha],"&gt;="&amp;$A10,Tabla1[Fecha],"&lt;="&amp;EOMONTH($A10,0),Tabla1[Codigo_actividad],K$4,Tabla1[Avance_km],"&gt;0")*K$3</f>
        <v>0</v>
      </c>
      <c r="L10" s="292">
        <f>+SUMIFS(Tabla1[Avance_Med],Tabla1[Fecha],"&gt;="&amp;$A10,Tabla1[Fecha],"&lt;="&amp;EOMONTH($A10,0),Tabla1[Codigo_actividad],L$4)*L$3</f>
        <v>0</v>
      </c>
      <c r="M10" s="292">
        <f>+SUMIFS(Tabla1[Avance_km],Tabla1[Fecha],"&gt;="&amp;$A10,Tabla1[Fecha],"&lt;="&amp;EOMONTH($A10,0),Tabla1[Codigo_actividad],M$4)*M$3</f>
        <v>8126.7120000000004</v>
      </c>
      <c r="N10" s="292">
        <f>+SUMIFS(Tabla1[Avance_Med],Tabla1[Fecha],"&gt;="&amp;$A10,Tabla1[Fecha],"&lt;="&amp;EOMONTH($A10,0),Tabla1[Codigo_actividad],N$4)*N$3</f>
        <v>0</v>
      </c>
      <c r="O10" s="292">
        <f>+SUMIFS(Tabla1[Avance_Med],Tabla1[Fecha],"&gt;="&amp;$A10,Tabla1[Fecha],"&lt;="&amp;EOMONTH($A10,0),Tabla1[Codigo_actividad],O$4)*O$3</f>
        <v>0</v>
      </c>
      <c r="P10" s="292">
        <f>+SUMIFS(Tabla1[Avance_Med],Tabla1[Fecha],"&gt;="&amp;$A10,Tabla1[Fecha],"&lt;="&amp;EOMONTH($A10,0),Tabla1[Codigo_actividad],P$4)*P$3</f>
        <v>0</v>
      </c>
      <c r="Q10" s="292">
        <f>+SUMIFS(Tabla1[Avance_Med],Tabla1[Fecha],"&gt;="&amp;$A10,Tabla1[Fecha],"&lt;="&amp;EOMONTH($A10,0),Tabla1[Codigo_actividad],Q$4)*Q$3</f>
        <v>0</v>
      </c>
      <c r="R10" s="292">
        <f>+SUMIFS(Tabla1[Avance_Med],Tabla1[Fecha],"&gt;="&amp;$A10,Tabla1[Fecha],"&lt;="&amp;EOMONTH($A10,0),Tabla1[Codigo_actividad],R$4)*R$3</f>
        <v>0</v>
      </c>
      <c r="S10" s="292">
        <f>+SUMIFS(Tabla1[Avance_Med],Tabla1[Fecha],"&gt;="&amp;$A10,Tabla1[Fecha],"&lt;="&amp;EOMONTH($A10,0),Tabla1[Codigo_actividad],S$4)*S$3</f>
        <v>0</v>
      </c>
      <c r="T10" s="292">
        <f>+SUMIFS(Tabla1[Avance_Med],Tabla1[Fecha],"&gt;="&amp;$A10,Tabla1[Fecha],"&lt;="&amp;EOMONTH($A10,0),Tabla1[Codigo_actividad],T$4)*T$3</f>
        <v>0</v>
      </c>
      <c r="U10" s="292">
        <f>+SUMIFS(Tabla1[Avance_Med],Tabla1[Fecha],"&gt;="&amp;$A10,Tabla1[Fecha],"&lt;="&amp;EOMONTH($A10,0),Tabla1[Codigo_actividad],U$4)*U$3</f>
        <v>0</v>
      </c>
      <c r="V10" s="292">
        <f>+SUMIFS(Tabla1[Avance_Med],Tabla1[Fecha],"&gt;="&amp;$A10,Tabla1[Fecha],"&lt;="&amp;EOMONTH($A10,0),Tabla1[Codigo_actividad],V$4)*V$3</f>
        <v>0</v>
      </c>
      <c r="W10" s="292">
        <f>+SUMIFS(Tabla1[Avance_Med],Tabla1[Fecha],"&gt;="&amp;$A10,Tabla1[Fecha],"&lt;="&amp;EOMONTH($A10,0),Tabla1[Codigo_actividad],W$4)*W$3</f>
        <v>0</v>
      </c>
      <c r="X10" s="292">
        <f>+SUMIFS(Tabla1[Avance_Med],Tabla1[Fecha],"&gt;="&amp;$A10,Tabla1[Fecha],"&lt;="&amp;EOMONTH($A10,0),Tabla1[Codigo_actividad],X$4)*X$3</f>
        <v>0</v>
      </c>
      <c r="Y10" s="292">
        <f>+SUMIFS(Tabla1[Avance_Med],Tabla1[Fecha],"&gt;="&amp;$A10,Tabla1[Fecha],"&lt;="&amp;EOMONTH($A10,0),Tabla1[Codigo_actividad],Y$4)*Y$3</f>
        <v>0</v>
      </c>
      <c r="Z10" s="292">
        <f>+SUMIFS(Tabla1[Avance_Med],Tabla1[Fecha],"&gt;="&amp;$A10,Tabla1[Fecha],"&lt;="&amp;EOMONTH($A10,0),Tabla1[Codigo_actividad],Z$4)*Z$3</f>
        <v>0</v>
      </c>
      <c r="AA10" s="292">
        <f>+SUMIFS(Tabla1[Avance_Med],Tabla1[Fecha],"&gt;="&amp;$A10,Tabla1[Fecha],"&lt;="&amp;EOMONTH($A10,0),Tabla1[Codigo_actividad],AA$4)*AA$3</f>
        <v>0</v>
      </c>
      <c r="AB10" s="292">
        <f>+SUMIFS(Tabla1[Avance_Med],Tabla1[Fecha],"&gt;="&amp;$A10,Tabla1[Fecha],"&lt;="&amp;EOMONTH($A10,0),Tabla1[Codigo_actividad],AB$4)*AB$3</f>
        <v>0</v>
      </c>
      <c r="AC10" s="292">
        <f>+SUMIFS(Tabla1[Avance_Med],Tabla1[Fecha],"&gt;="&amp;$A10,Tabla1[Fecha],"&lt;="&amp;EOMONTH($A10,0),Tabla1[Codigo_actividad],AC$4)*AC$3</f>
        <v>0</v>
      </c>
      <c r="AD10" s="292">
        <f>+SUMIFS(Tabla1[Avance_Med],Tabla1[Fecha],"&gt;="&amp;$A10,Tabla1[Fecha],"&lt;="&amp;EOMONTH($A10,0),Tabla1[Codigo_actividad],AD$4)*AD$3</f>
        <v>0</v>
      </c>
      <c r="AE10" s="292">
        <f>+SUMIFS(Tabla1[Avance_Med],Tabla1[Fecha],"&gt;="&amp;$A10,Tabla1[Fecha],"&lt;="&amp;EOMONTH($A10,0),Tabla1[Codigo_actividad],AE$4)*AE$3</f>
        <v>0</v>
      </c>
      <c r="AF10" s="292">
        <f>+SUMIFS(Tabla1[Avance_Med],Tabla1[Fecha],"&gt;="&amp;$A10,Tabla1[Fecha],"&lt;="&amp;EOMONTH($A10,0),Tabla1[Codigo_actividad],AF$4)*AF$3</f>
        <v>0</v>
      </c>
      <c r="AG10" s="292">
        <f>+SUMIFS(Tabla1[Avance_Med],Tabla1[Fecha],"&gt;="&amp;$A10,Tabla1[Fecha],"&lt;="&amp;EOMONTH($A10,0),Tabla1[Codigo_actividad],AG$4)*AG$3</f>
        <v>0</v>
      </c>
      <c r="AH10" s="292">
        <f>+SUMIFS(Tabla1[Avance_Med],Tabla1[Fecha],"&gt;="&amp;$A10,Tabla1[Fecha],"&lt;="&amp;EOMONTH($A10,0),Tabla1[Codigo_actividad],AH$4)*AH$3</f>
        <v>0</v>
      </c>
      <c r="AI10" s="292">
        <f>+SUMIFS(Tabla1[Avance_Med],Tabla1[Fecha],"&gt;="&amp;$A10,Tabla1[Fecha],"&lt;="&amp;EOMONTH($A10,0),Tabla1[Codigo_actividad],AI$4)*AI$3</f>
        <v>0</v>
      </c>
      <c r="AJ10" s="292">
        <f>+SUMIFS(Tabla1[Avance_Med],Tabla1[Fecha],"&gt;="&amp;$A10,Tabla1[Fecha],"&lt;="&amp;EOMONTH($A10,0),Tabla1[Codigo_actividad],AJ$4)*AJ$3</f>
        <v>0</v>
      </c>
      <c r="AK10" s="292">
        <f>+SUMIFS(Tabla1[Avance_Med],Tabla1[Fecha],"&gt;="&amp;$A10,Tabla1[Fecha],"&lt;="&amp;EOMONTH($A10,0),Tabla1[Codigo_actividad],AK$4)*AK$3</f>
        <v>0</v>
      </c>
      <c r="AL10" s="292">
        <f>+SUMIFS(Tabla1[Avance_km],Tabla1[Fecha],"&gt;="&amp;$A10,Tabla1[Fecha],"&lt;="&amp;EOMONTH($A10,0),Tabla1[Codigo_actividad],AL$4)*AL$3</f>
        <v>0</v>
      </c>
      <c r="AM10" s="292">
        <f>+SUMIFS(Tabla1[Avance_Med],Tabla1[Fecha],"&gt;="&amp;$A10,Tabla1[Fecha],"&lt;="&amp;EOMONTH($A10,0),Tabla1[Codigo_actividad],AM$4)*AM$3</f>
        <v>0</v>
      </c>
      <c r="AN10" s="291"/>
      <c r="AO10" s="286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292">
        <f>+SUMIFS(Tabla1[Avance_Med],Tabla1[Fecha],"&gt;="&amp;$A11,Tabla1[Fecha],"&lt;="&amp;EOMONTH($A11,0),Tabla1[Codigo_actividad],B$4)*B$3</f>
        <v>0</v>
      </c>
      <c r="C11" s="292">
        <f>+SUMIFS(Tabla1[Avance_Med],Tabla1[Fecha],"&gt;="&amp;$A11,Tabla1[Fecha],"&lt;="&amp;EOMONTH($A11,0),Tabla1[Codigo_actividad],C$4)*C$3</f>
        <v>0</v>
      </c>
      <c r="D11" s="292">
        <f>+SUMIFS(Tabla1[Avance_Med],Tabla1[Fecha],"&gt;="&amp;$A11,Tabla1[Fecha],"&lt;="&amp;EOMONTH($A11,0),Tabla1[Codigo_actividad],D$4)*D$3</f>
        <v>0</v>
      </c>
      <c r="E11" s="292">
        <f>+SUMIFS(Tabla1[Avance_Med],Tabla1[Fecha],"&gt;="&amp;$A11,Tabla1[Fecha],"&lt;="&amp;EOMONTH($A11,0),Tabla1[Codigo_actividad],E$4)*E$3</f>
        <v>0</v>
      </c>
      <c r="F11" s="292">
        <f>+SUMIFS(Tabla1[Avance_Med],Tabla1[Fecha],"&gt;="&amp;$A11,Tabla1[Fecha],"&lt;="&amp;EOMONTH($A11,0),Tabla1[Codigo_actividad],F$4)*F$3</f>
        <v>0</v>
      </c>
      <c r="G11" s="292">
        <f>+SUMIFS(Tabla1[Avance_Med],Tabla1[Fecha],"&gt;="&amp;$A11,Tabla1[Fecha],"&lt;="&amp;EOMONTH($A11,0),Tabla1[Codigo_actividad],G$4)*G$3</f>
        <v>0</v>
      </c>
      <c r="H11" s="292">
        <f>+SUMIFS(Tabla1[Avance_km],Tabla1[Fecha],"&gt;="&amp;$A11,Tabla1[Fecha],"&lt;="&amp;EOMONTH($A11,0),Tabla1[Codigo_actividad],H$4)*H$3</f>
        <v>0</v>
      </c>
      <c r="I11" s="292"/>
      <c r="J11" s="292">
        <f>+SUMIFS(Tabla1[Avance_km],Tabla1[Fecha],"&gt;="&amp;$A11,Tabla1[Fecha],"&lt;="&amp;EOMONTH($A11,0),Tabla1[Codigo_actividad],J$4,Tabla1[Avance_km],"&gt;0")*J$3</f>
        <v>80723.77665</v>
      </c>
      <c r="K11" s="292">
        <f>SUMIFS(Tabla1[Avance_km],Tabla1[Fecha],"&gt;="&amp;$A11,Tabla1[Fecha],"&lt;="&amp;EOMONTH($A11,0),Tabla1[Codigo_actividad],K$4,Tabla1[Avance_km],"&gt;0")*K$3</f>
        <v>0</v>
      </c>
      <c r="L11" s="292">
        <f>+SUMIFS(Tabla1[Avance_Med],Tabla1[Fecha],"&gt;="&amp;$A11,Tabla1[Fecha],"&lt;="&amp;EOMONTH($A11,0),Tabla1[Codigo_actividad],L$4)*L$3</f>
        <v>0</v>
      </c>
      <c r="M11" s="292">
        <f>+SUMIFS(Tabla1[Avance_km],Tabla1[Fecha],"&gt;="&amp;$A11,Tabla1[Fecha],"&lt;="&amp;EOMONTH($A11,0),Tabla1[Codigo_actividad],M$4)*M$3</f>
        <v>48841.539120000001</v>
      </c>
      <c r="N11" s="292">
        <f>+SUMIFS(Tabla1[Avance_Med],Tabla1[Fecha],"&gt;="&amp;$A11,Tabla1[Fecha],"&lt;="&amp;EOMONTH($A11,0),Tabla1[Codigo_actividad],N$4)*N$3</f>
        <v>0</v>
      </c>
      <c r="O11" s="292">
        <f>+SUMIFS(Tabla1[Avance_Med],Tabla1[Fecha],"&gt;="&amp;$A11,Tabla1[Fecha],"&lt;="&amp;EOMONTH($A11,0),Tabla1[Codigo_actividad],O$4)*O$3</f>
        <v>0</v>
      </c>
      <c r="P11" s="292">
        <f>+SUMIFS(Tabla1[Avance_Med],Tabla1[Fecha],"&gt;="&amp;$A11,Tabla1[Fecha],"&lt;="&amp;EOMONTH($A11,0),Tabla1[Codigo_actividad],P$4)*P$3</f>
        <v>0</v>
      </c>
      <c r="Q11" s="292">
        <f>+SUMIFS(Tabla1[Avance_Med],Tabla1[Fecha],"&gt;="&amp;$A11,Tabla1[Fecha],"&lt;="&amp;EOMONTH($A11,0),Tabla1[Codigo_actividad],Q$4)*Q$3</f>
        <v>0</v>
      </c>
      <c r="R11" s="292">
        <f>+SUMIFS(Tabla1[Avance_Med],Tabla1[Fecha],"&gt;="&amp;$A11,Tabla1[Fecha],"&lt;="&amp;EOMONTH($A11,0),Tabla1[Codigo_actividad],R$4)*R$3</f>
        <v>0</v>
      </c>
      <c r="S11" s="292">
        <f>+SUMIFS(Tabla1[Avance_Med],Tabla1[Fecha],"&gt;="&amp;$A11,Tabla1[Fecha],"&lt;="&amp;EOMONTH($A11,0),Tabla1[Codigo_actividad],S$4)*S$3</f>
        <v>0</v>
      </c>
      <c r="T11" s="292">
        <f>+SUMIFS(Tabla1[Avance_Med],Tabla1[Fecha],"&gt;="&amp;$A11,Tabla1[Fecha],"&lt;="&amp;EOMONTH($A11,0),Tabla1[Codigo_actividad],T$4)*T$3</f>
        <v>0</v>
      </c>
      <c r="U11" s="292">
        <f>+SUMIFS(Tabla1[Avance_Med],Tabla1[Fecha],"&gt;="&amp;$A11,Tabla1[Fecha],"&lt;="&amp;EOMONTH($A11,0),Tabla1[Codigo_actividad],U$4)*U$3</f>
        <v>0</v>
      </c>
      <c r="V11" s="292">
        <f>+SUMIFS(Tabla1[Avance_Med],Tabla1[Fecha],"&gt;="&amp;$A11,Tabla1[Fecha],"&lt;="&amp;EOMONTH($A11,0),Tabla1[Codigo_actividad],V$4)*V$3</f>
        <v>0</v>
      </c>
      <c r="W11" s="292">
        <f>+SUMIFS(Tabla1[Avance_Med],Tabla1[Fecha],"&gt;="&amp;$A11,Tabla1[Fecha],"&lt;="&amp;EOMONTH($A11,0),Tabla1[Codigo_actividad],W$4)*W$3</f>
        <v>0</v>
      </c>
      <c r="X11" s="292">
        <f>+SUMIFS(Tabla1[Avance_Med],Tabla1[Fecha],"&gt;="&amp;$A11,Tabla1[Fecha],"&lt;="&amp;EOMONTH($A11,0),Tabla1[Codigo_actividad],X$4)*X$3</f>
        <v>0</v>
      </c>
      <c r="Y11" s="292">
        <f>+SUMIFS(Tabla1[Avance_Med],Tabla1[Fecha],"&gt;="&amp;$A11,Tabla1[Fecha],"&lt;="&amp;EOMONTH($A11,0),Tabla1[Codigo_actividad],Y$4)*Y$3</f>
        <v>0</v>
      </c>
      <c r="Z11" s="292">
        <f>+SUMIFS(Tabla1[Avance_Med],Tabla1[Fecha],"&gt;="&amp;$A11,Tabla1[Fecha],"&lt;="&amp;EOMONTH($A11,0),Tabla1[Codigo_actividad],Z$4)*Z$3</f>
        <v>0</v>
      </c>
      <c r="AA11" s="292">
        <f>+SUMIFS(Tabla1[Avance_Med],Tabla1[Fecha],"&gt;="&amp;$A11,Tabla1[Fecha],"&lt;="&amp;EOMONTH($A11,0),Tabla1[Codigo_actividad],AA$4)*AA$3</f>
        <v>0</v>
      </c>
      <c r="AB11" s="292">
        <f>+SUMIFS(Tabla1[Avance_Med],Tabla1[Fecha],"&gt;="&amp;$A11,Tabla1[Fecha],"&lt;="&amp;EOMONTH($A11,0),Tabla1[Codigo_actividad],AB$4)*AB$3</f>
        <v>0</v>
      </c>
      <c r="AC11" s="292">
        <f>+SUMIFS(Tabla1[Avance_Med],Tabla1[Fecha],"&gt;="&amp;$A11,Tabla1[Fecha],"&lt;="&amp;EOMONTH($A11,0),Tabla1[Codigo_actividad],AC$4)*AC$3</f>
        <v>0</v>
      </c>
      <c r="AD11" s="292">
        <f>+SUMIFS(Tabla1[Avance_Med],Tabla1[Fecha],"&gt;="&amp;$A11,Tabla1[Fecha],"&lt;="&amp;EOMONTH($A11,0),Tabla1[Codigo_actividad],AD$4)*AD$3</f>
        <v>0</v>
      </c>
      <c r="AE11" s="292">
        <f>+SUMIFS(Tabla1[Avance_Med],Tabla1[Fecha],"&gt;="&amp;$A11,Tabla1[Fecha],"&lt;="&amp;EOMONTH($A11,0),Tabla1[Codigo_actividad],AE$4)*AE$3</f>
        <v>0</v>
      </c>
      <c r="AF11" s="292">
        <f>+SUMIFS(Tabla1[Avance_Med],Tabla1[Fecha],"&gt;="&amp;$A11,Tabla1[Fecha],"&lt;="&amp;EOMONTH($A11,0),Tabla1[Codigo_actividad],AF$4)*AF$3</f>
        <v>0</v>
      </c>
      <c r="AG11" s="292">
        <f>+SUMIFS(Tabla1[Avance_Med],Tabla1[Fecha],"&gt;="&amp;$A11,Tabla1[Fecha],"&lt;="&amp;EOMONTH($A11,0),Tabla1[Codigo_actividad],AG$4)*AG$3</f>
        <v>0</v>
      </c>
      <c r="AH11" s="292">
        <f>+SUMIFS(Tabla1[Avance_Med],Tabla1[Fecha],"&gt;="&amp;$A11,Tabla1[Fecha],"&lt;="&amp;EOMONTH($A11,0),Tabla1[Codigo_actividad],AH$4)*AH$3</f>
        <v>0</v>
      </c>
      <c r="AI11" s="292">
        <f>+SUMIFS(Tabla1[Avance_Med],Tabla1[Fecha],"&gt;="&amp;$A11,Tabla1[Fecha],"&lt;="&amp;EOMONTH($A11,0),Tabla1[Codigo_actividad],AI$4)*AI$3</f>
        <v>0</v>
      </c>
      <c r="AJ11" s="292">
        <f>+SUMIFS(Tabla1[Avance_Med],Tabla1[Fecha],"&gt;="&amp;$A11,Tabla1[Fecha],"&lt;="&amp;EOMONTH($A11,0),Tabla1[Codigo_actividad],AJ$4)*AJ$3</f>
        <v>0</v>
      </c>
      <c r="AK11" s="292">
        <f>+SUMIFS(Tabla1[Avance_Med],Tabla1[Fecha],"&gt;="&amp;$A11,Tabla1[Fecha],"&lt;="&amp;EOMONTH($A11,0),Tabla1[Codigo_actividad],AK$4)*AK$3</f>
        <v>0</v>
      </c>
      <c r="AL11" s="292">
        <f>+SUMIFS(Tabla1[Avance_km],Tabla1[Fecha],"&gt;="&amp;$A11,Tabla1[Fecha],"&lt;="&amp;EOMONTH($A11,0),Tabla1[Codigo_actividad],AL$4)*AL$3</f>
        <v>0</v>
      </c>
      <c r="AM11" s="292">
        <f>+SUMIFS(Tabla1[Avance_Med],Tabla1[Fecha],"&gt;="&amp;$A11,Tabla1[Fecha],"&lt;="&amp;EOMONTH($A11,0),Tabla1[Codigo_actividad],AM$4)*AM$3</f>
        <v>0</v>
      </c>
      <c r="AN11" s="291"/>
      <c r="AO11" s="286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292">
        <v>0</v>
      </c>
      <c r="C12" s="292">
        <f>+SUMIFS(Tabla1[Avance_Med],Tabla1[Fecha],"&gt;="&amp;$A12,Tabla1[Fecha],"&lt;="&amp;EOMONTH($A12,0),Tabla1[Codigo_actividad],C$4)*C$3</f>
        <v>0</v>
      </c>
      <c r="D12" s="292">
        <f>+SUMIFS(Tabla1[Avance_Med],Tabla1[Fecha],"&gt;="&amp;$A12,Tabla1[Fecha],"&lt;="&amp;EOMONTH($A12,0),Tabla1[Codigo_actividad],D$4)*D$3</f>
        <v>0</v>
      </c>
      <c r="E12" s="292">
        <f>+SUMIFS(Tabla1[Avance_Med],Tabla1[Fecha],"&gt;="&amp;$A12,Tabla1[Fecha],"&lt;="&amp;EOMONTH($A12,0),Tabla1[Codigo_actividad],E$4)*E$3</f>
        <v>0</v>
      </c>
      <c r="F12" s="292">
        <f>+SUMIFS(Tabla1[Avance_Med],Tabla1[Fecha],"&gt;="&amp;$A12,Tabla1[Fecha],"&lt;="&amp;EOMONTH($A12,0),Tabla1[Codigo_actividad],F$4)*F$3</f>
        <v>0</v>
      </c>
      <c r="G12" s="292">
        <f>+SUMIFS(Tabla1[Avance_Med],Tabla1[Fecha],"&gt;="&amp;$A12,Tabla1[Fecha],"&lt;="&amp;EOMONTH($A12,0),Tabla1[Codigo_actividad],G$4)*G$3</f>
        <v>0</v>
      </c>
      <c r="H12" s="292">
        <f>+SUMIFS(Tabla1[Avance_km],Tabla1[Fecha],"&gt;="&amp;$A12,Tabla1[Fecha],"&lt;="&amp;EOMONTH($A12,0),Tabla1[Codigo_actividad],H$4)*H$3</f>
        <v>163409.42673000001</v>
      </c>
      <c r="I12" s="292"/>
      <c r="J12" s="292">
        <f>+SUMIFS(Tabla1[Avance_km],Tabla1[Fecha],"&gt;="&amp;$A12,Tabla1[Fecha],"&lt;="&amp;EOMONTH($A12,0),Tabla1[Codigo_actividad],J$4,Tabla1[Avance_km],"&gt;0")*J$3</f>
        <v>269838.37078</v>
      </c>
      <c r="K12" s="292">
        <f>SUMIFS(Tabla1[Avance_km],Tabla1[Fecha],"&gt;="&amp;$A12,Tabla1[Fecha],"&lt;="&amp;EOMONTH($A12,0),Tabla1[Codigo_actividad],K$4,Tabla1[Avance_km],"&gt;0")*K$3</f>
        <v>0</v>
      </c>
      <c r="L12" s="292">
        <f>+SUMIFS(Tabla1[Avance_Med],Tabla1[Fecha],"&gt;="&amp;$A12,Tabla1[Fecha],"&lt;="&amp;EOMONTH($A12,0),Tabla1[Codigo_actividad],L$4)*L$3</f>
        <v>0</v>
      </c>
      <c r="M12" s="292">
        <f>+SUMIFS(Tabla1[Avance_km],Tabla1[Fecha],"&gt;="&amp;$A12,Tabla1[Fecha],"&lt;="&amp;EOMONTH($A12,0),Tabla1[Codigo_actividad],M$4)*M$3</f>
        <v>8187.6623399999999</v>
      </c>
      <c r="N12" s="292">
        <f>+SUMIFS(Tabla1[Avance_Med],Tabla1[Fecha],"&gt;="&amp;$A12,Tabla1[Fecha],"&lt;="&amp;EOMONTH($A12,0),Tabla1[Codigo_actividad],N$4)*N$3</f>
        <v>0</v>
      </c>
      <c r="O12" s="292">
        <f>+SUMIFS(Tabla1[Avance_Med],Tabla1[Fecha],"&gt;="&amp;$A12,Tabla1[Fecha],"&lt;="&amp;EOMONTH($A12,0),Tabla1[Codigo_actividad],O$4)*O$3</f>
        <v>0</v>
      </c>
      <c r="P12" s="292">
        <f>+SUMIFS(Tabla1[Avance_Med],Tabla1[Fecha],"&gt;="&amp;$A12,Tabla1[Fecha],"&lt;="&amp;EOMONTH($A12,0),Tabla1[Codigo_actividad],P$4)*P$3</f>
        <v>0</v>
      </c>
      <c r="Q12" s="292">
        <f>+SUMIFS(Tabla1[Avance_Med],Tabla1[Fecha],"&gt;="&amp;$A12,Tabla1[Fecha],"&lt;="&amp;EOMONTH($A12,0),Tabla1[Codigo_actividad],Q$4)*Q$3</f>
        <v>0</v>
      </c>
      <c r="R12" s="292">
        <f>+SUMIFS(Tabla1[Avance_Med],Tabla1[Fecha],"&gt;="&amp;$A12,Tabla1[Fecha],"&lt;="&amp;EOMONTH($A12,0),Tabla1[Codigo_actividad],R$4)*R$3</f>
        <v>0</v>
      </c>
      <c r="S12" s="292">
        <f>+SUMIFS(Tabla1[Avance_Med],Tabla1[Fecha],"&gt;="&amp;$A12,Tabla1[Fecha],"&lt;="&amp;EOMONTH($A12,0),Tabla1[Codigo_actividad],S$4)*S$3</f>
        <v>0</v>
      </c>
      <c r="T12" s="292">
        <f>+SUMIFS(Tabla1[Avance_Med],Tabla1[Fecha],"&gt;="&amp;$A12,Tabla1[Fecha],"&lt;="&amp;EOMONTH($A12,0),Tabla1[Codigo_actividad],T$4)*T$3</f>
        <v>0</v>
      </c>
      <c r="U12" s="292">
        <f>+SUMIFS(Tabla1[Avance_Med],Tabla1[Fecha],"&gt;="&amp;$A12,Tabla1[Fecha],"&lt;="&amp;EOMONTH($A12,0),Tabla1[Codigo_actividad],U$4)*U$3</f>
        <v>0</v>
      </c>
      <c r="V12" s="292">
        <f>+SUMIFS(Tabla1[Avance_Med],Tabla1[Fecha],"&gt;="&amp;$A12,Tabla1[Fecha],"&lt;="&amp;EOMONTH($A12,0),Tabla1[Codigo_actividad],V$4)*V$3</f>
        <v>0</v>
      </c>
      <c r="W12" s="292">
        <f>+SUMIFS(Tabla1[Avance_Med],Tabla1[Fecha],"&gt;="&amp;$A12,Tabla1[Fecha],"&lt;="&amp;EOMONTH($A12,0),Tabla1[Codigo_actividad],W$4)*W$3</f>
        <v>0</v>
      </c>
      <c r="X12" s="292">
        <f>+SUMIFS(Tabla1[Avance_Med],Tabla1[Fecha],"&gt;="&amp;$A12,Tabla1[Fecha],"&lt;="&amp;EOMONTH($A12,0),Tabla1[Codigo_actividad],X$4)*X$3</f>
        <v>0</v>
      </c>
      <c r="Y12" s="292">
        <f>+SUMIFS(Tabla1[Avance_Med],Tabla1[Fecha],"&gt;="&amp;$A12,Tabla1[Fecha],"&lt;="&amp;EOMONTH($A12,0),Tabla1[Codigo_actividad],Y$4)*Y$3</f>
        <v>0</v>
      </c>
      <c r="Z12" s="292">
        <f>+SUMIFS(Tabla1[Avance_Med],Tabla1[Fecha],"&gt;="&amp;$A12,Tabla1[Fecha],"&lt;="&amp;EOMONTH($A12,0),Tabla1[Codigo_actividad],Z$4)*Z$3</f>
        <v>0</v>
      </c>
      <c r="AA12" s="292">
        <f>+SUMIFS(Tabla1[Avance_Med],Tabla1[Fecha],"&gt;="&amp;$A12,Tabla1[Fecha],"&lt;="&amp;EOMONTH($A12,0),Tabla1[Codigo_actividad],AA$4)*AA$3</f>
        <v>0</v>
      </c>
      <c r="AB12" s="292">
        <f>+SUMIFS(Tabla1[Avance_Med],Tabla1[Fecha],"&gt;="&amp;$A12,Tabla1[Fecha],"&lt;="&amp;EOMONTH($A12,0),Tabla1[Codigo_actividad],AB$4)*AB$3</f>
        <v>0</v>
      </c>
      <c r="AC12" s="292">
        <f>+SUMIFS(Tabla1[Avance_Med],Tabla1[Fecha],"&gt;="&amp;$A12,Tabla1[Fecha],"&lt;="&amp;EOMONTH($A12,0),Tabla1[Codigo_actividad],AC$4)*AC$3</f>
        <v>0</v>
      </c>
      <c r="AD12" s="292">
        <f>+SUMIFS(Tabla1[Avance_Med],Tabla1[Fecha],"&gt;="&amp;$A12,Tabla1[Fecha],"&lt;="&amp;EOMONTH($A12,0),Tabla1[Codigo_actividad],AD$4)*AD$3</f>
        <v>0</v>
      </c>
      <c r="AE12" s="292">
        <f>+SUMIFS(Tabla1[Avance_Med],Tabla1[Fecha],"&gt;="&amp;$A12,Tabla1[Fecha],"&lt;="&amp;EOMONTH($A12,0),Tabla1[Codigo_actividad],AE$4)*AE$3</f>
        <v>0</v>
      </c>
      <c r="AF12" s="292">
        <f>+SUMIFS(Tabla1[Avance_Med],Tabla1[Fecha],"&gt;="&amp;$A12,Tabla1[Fecha],"&lt;="&amp;EOMONTH($A12,0),Tabla1[Codigo_actividad],AF$4)*AF$3</f>
        <v>0</v>
      </c>
      <c r="AG12" s="292">
        <f>+SUMIFS(Tabla1[Avance_Med],Tabla1[Fecha],"&gt;="&amp;$A12,Tabla1[Fecha],"&lt;="&amp;EOMONTH($A12,0),Tabla1[Codigo_actividad],AG$4)*AG$3</f>
        <v>0</v>
      </c>
      <c r="AH12" s="292">
        <f>+SUMIFS(Tabla1[Avance_Med],Tabla1[Fecha],"&gt;="&amp;$A12,Tabla1[Fecha],"&lt;="&amp;EOMONTH($A12,0),Tabla1[Codigo_actividad],AH$4)*AH$3</f>
        <v>0</v>
      </c>
      <c r="AI12" s="292">
        <f>+SUMIFS(Tabla1[Avance_Med],Tabla1[Fecha],"&gt;="&amp;$A12,Tabla1[Fecha],"&lt;="&amp;EOMONTH($A12,0),Tabla1[Codigo_actividad],AI$4)*AI$3</f>
        <v>0</v>
      </c>
      <c r="AJ12" s="292">
        <f>+SUMIFS(Tabla1[Avance_Med],Tabla1[Fecha],"&gt;="&amp;$A12,Tabla1[Fecha],"&lt;="&amp;EOMONTH($A12,0),Tabla1[Codigo_actividad],AJ$4)*AJ$3</f>
        <v>0</v>
      </c>
      <c r="AK12" s="292">
        <f>+SUMIFS(Tabla1[Avance_Med],Tabla1[Fecha],"&gt;="&amp;$A12,Tabla1[Fecha],"&lt;="&amp;EOMONTH($A12,0),Tabla1[Codigo_actividad],AK$4)*AK$3</f>
        <v>0</v>
      </c>
      <c r="AL12" s="292">
        <f>+SUMIFS(Tabla1[Avance_km],Tabla1[Fecha],"&gt;="&amp;$A12,Tabla1[Fecha],"&lt;="&amp;EOMONTH($A12,0),Tabla1[Codigo_actividad],AL$4)*AL$3</f>
        <v>0</v>
      </c>
      <c r="AM12" s="292">
        <f>+SUMIFS(Tabla1[Avance_Med],Tabla1[Fecha],"&gt;="&amp;$A12,Tabla1[Fecha],"&lt;="&amp;EOMONTH($A12,0),Tabla1[Codigo_actividad],AM$4)*AM$3</f>
        <v>0</v>
      </c>
      <c r="AN12" s="291"/>
      <c r="AO12" s="286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292">
        <v>0</v>
      </c>
      <c r="C13" s="292">
        <f>+SUMIFS(Tabla1[Avance_Med],Tabla1[Fecha],"&gt;="&amp;$A13,Tabla1[Fecha],"&lt;="&amp;EOMONTH($A13,0),Tabla1[Codigo_actividad],C$4)*C$3</f>
        <v>0</v>
      </c>
      <c r="D13" s="292">
        <f>+SUMIFS(Tabla1[Avance_Med],Tabla1[Fecha],"&gt;="&amp;$A13,Tabla1[Fecha],"&lt;="&amp;EOMONTH($A13,0),Tabla1[Codigo_actividad],D$4)*D$3</f>
        <v>0</v>
      </c>
      <c r="E13" s="292">
        <f>+SUMIFS(Tabla1[Avance_Med],Tabla1[Fecha],"&gt;="&amp;$A13,Tabla1[Fecha],"&lt;="&amp;EOMONTH($A13,0),Tabla1[Codigo_actividad],E$4)*E$3</f>
        <v>0</v>
      </c>
      <c r="F13" s="292">
        <f>+SUMIFS(Tabla1[Avance_Med],Tabla1[Fecha],"&gt;="&amp;$A13,Tabla1[Fecha],"&lt;="&amp;EOMONTH($A13,0),Tabla1[Codigo_actividad],F$4)*F$3</f>
        <v>0</v>
      </c>
      <c r="G13" s="292">
        <f>+SUMIFS(Tabla1[Avance_Med],Tabla1[Fecha],"&gt;="&amp;$A13,Tabla1[Fecha],"&lt;="&amp;EOMONTH($A13,0),Tabla1[Codigo_actividad],G$4)*G$3</f>
        <v>0</v>
      </c>
      <c r="H13" s="292">
        <f>+SUMIFS(Tabla1[Avance_km],Tabla1[Fecha],"&gt;="&amp;$A13,Tabla1[Fecha],"&lt;="&amp;EOMONTH($A13,0),Tabla1[Codigo_actividad],H$4)*H$3</f>
        <v>295191.22248000005</v>
      </c>
      <c r="I13" s="292"/>
      <c r="J13" s="292">
        <f>+SUMIFS(Tabla1[Avance_km],Tabla1[Fecha],"&gt;="&amp;$A13,Tabla1[Fecha],"&lt;="&amp;EOMONTH($A13,0),Tabla1[Codigo_actividad],J$4,Tabla1[Avance_km],"&gt;0")*J$3</f>
        <v>0</v>
      </c>
      <c r="K13" s="292">
        <f>SUMIFS(Tabla1[Avance_km],Tabla1[Fecha],"&gt;="&amp;$A13,Tabla1[Fecha],"&lt;="&amp;EOMONTH($A13,0),Tabla1[Codigo_actividad],K$4,Tabla1[Avance_km],"&gt;0")*K$3</f>
        <v>0</v>
      </c>
      <c r="L13" s="292">
        <f>+SUMIFS(Tabla1[Avance_Med],Tabla1[Fecha],"&gt;="&amp;$A13,Tabla1[Fecha],"&lt;="&amp;EOMONTH($A13,0),Tabla1[Codigo_actividad],L$4)*L$3</f>
        <v>0</v>
      </c>
      <c r="M13" s="292">
        <f>+SUMIFS(Tabla1[Avance_km],Tabla1[Fecha],"&gt;="&amp;$A13,Tabla1[Fecha],"&lt;="&amp;EOMONTH($A13,0),Tabla1[Codigo_actividad],M$4)*M$3</f>
        <v>12228.44414</v>
      </c>
      <c r="N13" s="292">
        <f>+SUMIFS(Tabla1[Avance_Med],Tabla1[Fecha],"&gt;="&amp;$A13,Tabla1[Fecha],"&lt;="&amp;EOMONTH($A13,0),Tabla1[Codigo_actividad],N$4)*N$3</f>
        <v>0</v>
      </c>
      <c r="O13" s="292">
        <f>+SUMIFS(Tabla1[Avance_Med],Tabla1[Fecha],"&gt;="&amp;$A13,Tabla1[Fecha],"&lt;="&amp;EOMONTH($A13,0),Tabla1[Codigo_actividad],O$4)*O$3</f>
        <v>0</v>
      </c>
      <c r="P13" s="292">
        <f>+SUMIFS(Tabla1[Avance_Med],Tabla1[Fecha],"&gt;="&amp;$A13,Tabla1[Fecha],"&lt;="&amp;EOMONTH($A13,0),Tabla1[Codigo_actividad],P$4)*P$3</f>
        <v>0</v>
      </c>
      <c r="Q13" s="292">
        <f>+SUMIFS(Tabla1[Avance_Med],Tabla1[Fecha],"&gt;="&amp;$A13,Tabla1[Fecha],"&lt;="&amp;EOMONTH($A13,0),Tabla1[Codigo_actividad],Q$4)*Q$3</f>
        <v>0</v>
      </c>
      <c r="R13" s="292">
        <f>+SUMIFS(Tabla1[Avance_Med],Tabla1[Fecha],"&gt;="&amp;$A13,Tabla1[Fecha],"&lt;="&amp;EOMONTH($A13,0),Tabla1[Codigo_actividad],R$4)*R$3</f>
        <v>0</v>
      </c>
      <c r="S13" s="292">
        <f>+SUMIFS(Tabla1[Avance_Med],Tabla1[Fecha],"&gt;="&amp;$A13,Tabla1[Fecha],"&lt;="&amp;EOMONTH($A13,0),Tabla1[Codigo_actividad],S$4)*S$3</f>
        <v>0</v>
      </c>
      <c r="T13" s="292">
        <f>+SUMIFS(Tabla1[Avance_Med],Tabla1[Fecha],"&gt;="&amp;$A13,Tabla1[Fecha],"&lt;="&amp;EOMONTH($A13,0),Tabla1[Codigo_actividad],T$4)*T$3</f>
        <v>0</v>
      </c>
      <c r="U13" s="292">
        <f>+SUMIFS(Tabla1[Avance_Med],Tabla1[Fecha],"&gt;="&amp;$A13,Tabla1[Fecha],"&lt;="&amp;EOMONTH($A13,0),Tabla1[Codigo_actividad],U$4)*U$3</f>
        <v>0</v>
      </c>
      <c r="V13" s="292">
        <f>+SUMIFS(Tabla1[Avance_Med],Tabla1[Fecha],"&gt;="&amp;$A13,Tabla1[Fecha],"&lt;="&amp;EOMONTH($A13,0),Tabla1[Codigo_actividad],V$4)*V$3</f>
        <v>0</v>
      </c>
      <c r="W13" s="292">
        <f>+SUMIFS(Tabla1[Avance_Med],Tabla1[Fecha],"&gt;="&amp;$A13,Tabla1[Fecha],"&lt;="&amp;EOMONTH($A13,0),Tabla1[Codigo_actividad],W$4)*W$3</f>
        <v>0</v>
      </c>
      <c r="X13" s="292">
        <f>+SUMIFS(Tabla1[Avance_Med],Tabla1[Fecha],"&gt;="&amp;$A13,Tabla1[Fecha],"&lt;="&amp;EOMONTH($A13,0),Tabla1[Codigo_actividad],X$4)*X$3</f>
        <v>0</v>
      </c>
      <c r="Y13" s="292">
        <f>+SUMIFS(Tabla1[Avance_Med],Tabla1[Fecha],"&gt;="&amp;$A13,Tabla1[Fecha],"&lt;="&amp;EOMONTH($A13,0),Tabla1[Codigo_actividad],Y$4)*Y$3</f>
        <v>0</v>
      </c>
      <c r="Z13" s="292">
        <f>+SUMIFS(Tabla1[Avance_Med],Tabla1[Fecha],"&gt;="&amp;$A13,Tabla1[Fecha],"&lt;="&amp;EOMONTH($A13,0),Tabla1[Codigo_actividad],Z$4)*Z$3</f>
        <v>0</v>
      </c>
      <c r="AA13" s="292">
        <f>+SUMIFS(Tabla1[Avance_Med],Tabla1[Fecha],"&gt;="&amp;$A13,Tabla1[Fecha],"&lt;="&amp;EOMONTH($A13,0),Tabla1[Codigo_actividad],AA$4)*AA$3</f>
        <v>0</v>
      </c>
      <c r="AB13" s="292">
        <f>+SUMIFS(Tabla1[Avance_Med],Tabla1[Fecha],"&gt;="&amp;$A13,Tabla1[Fecha],"&lt;="&amp;EOMONTH($A13,0),Tabla1[Codigo_actividad],AB$4)*AB$3</f>
        <v>0</v>
      </c>
      <c r="AC13" s="292">
        <f>+SUMIFS(Tabla1[Avance_Med],Tabla1[Fecha],"&gt;="&amp;$A13,Tabla1[Fecha],"&lt;="&amp;EOMONTH($A13,0),Tabla1[Codigo_actividad],AC$4)*AC$3</f>
        <v>0</v>
      </c>
      <c r="AD13" s="292">
        <f>+SUMIFS(Tabla1[Avance_Med],Tabla1[Fecha],"&gt;="&amp;$A13,Tabla1[Fecha],"&lt;="&amp;EOMONTH($A13,0),Tabla1[Codigo_actividad],AD$4)*AD$3</f>
        <v>0</v>
      </c>
      <c r="AE13" s="292">
        <f>+SUMIFS(Tabla1[Avance_Med],Tabla1[Fecha],"&gt;="&amp;$A13,Tabla1[Fecha],"&lt;="&amp;EOMONTH($A13,0),Tabla1[Codigo_actividad],AE$4)*AE$3</f>
        <v>0</v>
      </c>
      <c r="AF13" s="292">
        <f>+SUMIFS(Tabla1[Avance_Med],Tabla1[Fecha],"&gt;="&amp;$A13,Tabla1[Fecha],"&lt;="&amp;EOMONTH($A13,0),Tabla1[Codigo_actividad],AF$4)*AF$3</f>
        <v>0</v>
      </c>
      <c r="AG13" s="292">
        <f>+SUMIFS(Tabla1[Avance_Med],Tabla1[Fecha],"&gt;="&amp;$A13,Tabla1[Fecha],"&lt;="&amp;EOMONTH($A13,0),Tabla1[Codigo_actividad],AG$4)*AG$3</f>
        <v>0</v>
      </c>
      <c r="AH13" s="292">
        <f>+SUMIFS(Tabla1[Avance_Med],Tabla1[Fecha],"&gt;="&amp;$A13,Tabla1[Fecha],"&lt;="&amp;EOMONTH($A13,0),Tabla1[Codigo_actividad],AH$4)*AH$3</f>
        <v>0</v>
      </c>
      <c r="AI13" s="292">
        <f>+SUMIFS(Tabla1[Avance_Med],Tabla1[Fecha],"&gt;="&amp;$A13,Tabla1[Fecha],"&lt;="&amp;EOMONTH($A13,0),Tabla1[Codigo_actividad],AI$4)*AI$3</f>
        <v>0</v>
      </c>
      <c r="AJ13" s="292">
        <f>+SUMIFS(Tabla1[Avance_Med],Tabla1[Fecha],"&gt;="&amp;$A13,Tabla1[Fecha],"&lt;="&amp;EOMONTH($A13,0),Tabla1[Codigo_actividad],AJ$4)*AJ$3</f>
        <v>0</v>
      </c>
      <c r="AK13" s="292">
        <f>+SUMIFS(Tabla1[Avance_Med],Tabla1[Fecha],"&gt;="&amp;$A13,Tabla1[Fecha],"&lt;="&amp;EOMONTH($A13,0),Tabla1[Codigo_actividad],AK$4)*AK$3</f>
        <v>0</v>
      </c>
      <c r="AL13" s="292">
        <f>+SUMIFS(Tabla1[Avance_km],Tabla1[Fecha],"&gt;="&amp;$A13,Tabla1[Fecha],"&lt;="&amp;EOMONTH($A13,0),Tabla1[Codigo_actividad],AL$4)*AL$3</f>
        <v>0</v>
      </c>
      <c r="AM13" s="292">
        <f>+SUMIFS(Tabla1[Avance_Med],Tabla1[Fecha],"&gt;="&amp;$A13,Tabla1[Fecha],"&lt;="&amp;EOMONTH($A13,0),Tabla1[Codigo_actividad],AM$4)*AM$3</f>
        <v>0</v>
      </c>
      <c r="AN13" s="291"/>
      <c r="AO13" s="286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292">
        <v>0</v>
      </c>
      <c r="C14" s="292">
        <f>+SUMIFS(Tabla1[Avance_Med],Tabla1[Fecha],"&gt;="&amp;$A14,Tabla1[Fecha],"&lt;="&amp;EOMONTH($A14,0),Tabla1[Codigo_actividad],C$4)*C$3</f>
        <v>0</v>
      </c>
      <c r="D14" s="292">
        <f>+SUMIFS(Tabla1[Avance_Med],Tabla1[Fecha],"&gt;="&amp;$A14,Tabla1[Fecha],"&lt;="&amp;EOMONTH($A14,0),Tabla1[Codigo_actividad],D$4)*D$3</f>
        <v>0</v>
      </c>
      <c r="E14" s="292">
        <f>+SUMIFS(Tabla1[Avance_Med],Tabla1[Fecha],"&gt;="&amp;$A14,Tabla1[Fecha],"&lt;="&amp;EOMONTH($A14,0),Tabla1[Codigo_actividad],E$4)*E$3</f>
        <v>0</v>
      </c>
      <c r="F14" s="292">
        <f>+SUMIFS(Tabla1[Avance_Med],Tabla1[Fecha],"&gt;="&amp;$A14,Tabla1[Fecha],"&lt;="&amp;EOMONTH($A14,0),Tabla1[Codigo_actividad],F$4)*F$3</f>
        <v>0</v>
      </c>
      <c r="G14" s="292">
        <f>+SUMIFS(Tabla1[Avance_Med],Tabla1[Fecha],"&gt;="&amp;$A14,Tabla1[Fecha],"&lt;="&amp;EOMONTH($A14,0),Tabla1[Codigo_actividad],G$4)*G$3</f>
        <v>0</v>
      </c>
      <c r="H14" s="292">
        <f>+SUMIFS(Tabla1[Avance_km],Tabla1[Fecha],"&gt;="&amp;$A14,Tabla1[Fecha],"&lt;="&amp;EOMONTH($A14,0),Tabla1[Codigo_actividad],H$4)*H$3</f>
        <v>197026.49088</v>
      </c>
      <c r="I14" s="292"/>
      <c r="J14" s="292">
        <f>+SUMIFS(Tabla1[Avance_km],Tabla1[Fecha],"&gt;="&amp;$A14,Tabla1[Fecha],"&lt;="&amp;EOMONTH($A14,0),Tabla1[Codigo_actividad],J$4,Tabla1[Avance_km],"&gt;0")*J$3</f>
        <v>142849.22894</v>
      </c>
      <c r="K14" s="292">
        <f>SUMIFS(Tabla1[Avance_km],Tabla1[Fecha],"&gt;="&amp;$A14,Tabla1[Fecha],"&lt;="&amp;EOMONTH($A14,0),Tabla1[Codigo_actividad],K$4,Tabla1[Avance_km],"&gt;0")*K$3</f>
        <v>0</v>
      </c>
      <c r="L14" s="292">
        <f>+SUMIFS(Tabla1[Avance_Med],Tabla1[Fecha],"&gt;="&amp;$A14,Tabla1[Fecha],"&lt;="&amp;EOMONTH($A14,0),Tabla1[Codigo_actividad],L$4)*L$3</f>
        <v>0</v>
      </c>
      <c r="M14" s="292">
        <f>+SUMIFS(Tabla1[Avance_km],Tabla1[Fecha],"&gt;="&amp;$A14,Tabla1[Fecha],"&lt;="&amp;EOMONTH($A14,0),Tabla1[Codigo_actividad],M$4)*M$3</f>
        <v>31231.405700000003</v>
      </c>
      <c r="N14" s="292">
        <f>+SUMIFS(Tabla1[Avance_Med],Tabla1[Fecha],"&gt;="&amp;$A14,Tabla1[Fecha],"&lt;="&amp;EOMONTH($A14,0),Tabla1[Codigo_actividad],N$4)*N$3</f>
        <v>0</v>
      </c>
      <c r="O14" s="292">
        <f>+SUMIFS(Tabla1[Avance_Med],Tabla1[Fecha],"&gt;="&amp;$A14,Tabla1[Fecha],"&lt;="&amp;EOMONTH($A14,0),Tabla1[Codigo_actividad],O$4)*O$3</f>
        <v>0</v>
      </c>
      <c r="P14" s="292">
        <f>+SUMIFS(Tabla1[Avance_Med],Tabla1[Fecha],"&gt;="&amp;$A14,Tabla1[Fecha],"&lt;="&amp;EOMONTH($A14,0),Tabla1[Codigo_actividad],P$4)*P$3</f>
        <v>0</v>
      </c>
      <c r="Q14" s="292">
        <f>+SUMIFS(Tabla1[Avance_Med],Tabla1[Fecha],"&gt;="&amp;$A14,Tabla1[Fecha],"&lt;="&amp;EOMONTH($A14,0),Tabla1[Codigo_actividad],Q$4)*Q$3</f>
        <v>0</v>
      </c>
      <c r="R14" s="292">
        <f>+SUMIFS(Tabla1[Avance_Med],Tabla1[Fecha],"&gt;="&amp;$A14,Tabla1[Fecha],"&lt;="&amp;EOMONTH($A14,0),Tabla1[Codigo_actividad],R$4)*R$3</f>
        <v>0</v>
      </c>
      <c r="S14" s="292">
        <f>+SUMIFS(Tabla1[Avance_Med],Tabla1[Fecha],"&gt;="&amp;$A14,Tabla1[Fecha],"&lt;="&amp;EOMONTH($A14,0),Tabla1[Codigo_actividad],S$4)*S$3</f>
        <v>0</v>
      </c>
      <c r="T14" s="292">
        <f>+SUMIFS(Tabla1[Avance_Med],Tabla1[Fecha],"&gt;="&amp;$A14,Tabla1[Fecha],"&lt;="&amp;EOMONTH($A14,0),Tabla1[Codigo_actividad],T$4)*T$3</f>
        <v>0</v>
      </c>
      <c r="U14" s="292">
        <f>+SUMIFS(Tabla1[Avance_Med],Tabla1[Fecha],"&gt;="&amp;$A14,Tabla1[Fecha],"&lt;="&amp;EOMONTH($A14,0),Tabla1[Codigo_actividad],U$4)*U$3</f>
        <v>0</v>
      </c>
      <c r="V14" s="292">
        <f>+SUMIFS(Tabla1[Avance_Med],Tabla1[Fecha],"&gt;="&amp;$A14,Tabla1[Fecha],"&lt;="&amp;EOMONTH($A14,0),Tabla1[Codigo_actividad],V$4)*V$3</f>
        <v>0</v>
      </c>
      <c r="W14" s="292">
        <f>+SUMIFS(Tabla1[Avance_Med],Tabla1[Fecha],"&gt;="&amp;$A14,Tabla1[Fecha],"&lt;="&amp;EOMONTH($A14,0),Tabla1[Codigo_actividad],W$4)*W$3</f>
        <v>0</v>
      </c>
      <c r="X14" s="292">
        <f>+SUMIFS(Tabla1[Avance_Med],Tabla1[Fecha],"&gt;="&amp;$A14,Tabla1[Fecha],"&lt;="&amp;EOMONTH($A14,0),Tabla1[Codigo_actividad],X$4)*X$3</f>
        <v>0</v>
      </c>
      <c r="Y14" s="292">
        <f>+SUMIFS(Tabla1[Avance_Med],Tabla1[Fecha],"&gt;="&amp;$A14,Tabla1[Fecha],"&lt;="&amp;EOMONTH($A14,0),Tabla1[Codigo_actividad],Y$4)*Y$3</f>
        <v>0</v>
      </c>
      <c r="Z14" s="292">
        <f>+SUMIFS(Tabla1[Avance_Med],Tabla1[Fecha],"&gt;="&amp;$A14,Tabla1[Fecha],"&lt;="&amp;EOMONTH($A14,0),Tabla1[Codigo_actividad],Z$4)*Z$3</f>
        <v>0</v>
      </c>
      <c r="AA14" s="292">
        <f>+SUMIFS(Tabla1[Avance_Med],Tabla1[Fecha],"&gt;="&amp;$A14,Tabla1[Fecha],"&lt;="&amp;EOMONTH($A14,0),Tabla1[Codigo_actividad],AA$4)*AA$3</f>
        <v>0</v>
      </c>
      <c r="AB14" s="292">
        <f>+SUMIFS(Tabla1[Avance_Med],Tabla1[Fecha],"&gt;="&amp;$A14,Tabla1[Fecha],"&lt;="&amp;EOMONTH($A14,0),Tabla1[Codigo_actividad],AB$4)*AB$3</f>
        <v>0</v>
      </c>
      <c r="AC14" s="292">
        <f>+SUMIFS(Tabla1[Avance_Med],Tabla1[Fecha],"&gt;="&amp;$A14,Tabla1[Fecha],"&lt;="&amp;EOMONTH($A14,0),Tabla1[Codigo_actividad],AC$4)*AC$3</f>
        <v>0</v>
      </c>
      <c r="AD14" s="292">
        <f>+SUMIFS(Tabla1[Avance_Med],Tabla1[Fecha],"&gt;="&amp;$A14,Tabla1[Fecha],"&lt;="&amp;EOMONTH($A14,0),Tabla1[Codigo_actividad],AD$4)*AD$3</f>
        <v>0</v>
      </c>
      <c r="AE14" s="292">
        <f>+SUMIFS(Tabla1[Avance_Med],Tabla1[Fecha],"&gt;="&amp;$A14,Tabla1[Fecha],"&lt;="&amp;EOMONTH($A14,0),Tabla1[Codigo_actividad],AE$4)*AE$3</f>
        <v>0</v>
      </c>
      <c r="AF14" s="292">
        <f>+SUMIFS(Tabla1[Avance_Med],Tabla1[Fecha],"&gt;="&amp;$A14,Tabla1[Fecha],"&lt;="&amp;EOMONTH($A14,0),Tabla1[Codigo_actividad],AF$4)*AF$3</f>
        <v>0</v>
      </c>
      <c r="AG14" s="292">
        <f>+SUMIFS(Tabla1[Avance_Med],Tabla1[Fecha],"&gt;="&amp;$A14,Tabla1[Fecha],"&lt;="&amp;EOMONTH($A14,0),Tabla1[Codigo_actividad],AG$4)*AG$3</f>
        <v>0</v>
      </c>
      <c r="AH14" s="292">
        <f>+SUMIFS(Tabla1[Avance_Med],Tabla1[Fecha],"&gt;="&amp;$A14,Tabla1[Fecha],"&lt;="&amp;EOMONTH($A14,0),Tabla1[Codigo_actividad],AH$4)*AH$3</f>
        <v>0</v>
      </c>
      <c r="AI14" s="292">
        <f>+SUMIFS(Tabla1[Avance_Med],Tabla1[Fecha],"&gt;="&amp;$A14,Tabla1[Fecha],"&lt;="&amp;EOMONTH($A14,0),Tabla1[Codigo_actividad],AI$4)*AI$3</f>
        <v>0</v>
      </c>
      <c r="AJ14" s="292">
        <f>+SUMIFS(Tabla1[Avance_Med],Tabla1[Fecha],"&gt;="&amp;$A14,Tabla1[Fecha],"&lt;="&amp;EOMONTH($A14,0),Tabla1[Codigo_actividad],AJ$4)*AJ$3</f>
        <v>0</v>
      </c>
      <c r="AK14" s="292">
        <f>+SUMIFS(Tabla1[Avance_Med],Tabla1[Fecha],"&gt;="&amp;$A14,Tabla1[Fecha],"&lt;="&amp;EOMONTH($A14,0),Tabla1[Codigo_actividad],AK$4)*AK$3</f>
        <v>0</v>
      </c>
      <c r="AL14" s="292">
        <f>+SUMIFS(Tabla1[Avance_km],Tabla1[Fecha],"&gt;="&amp;$A14,Tabla1[Fecha],"&lt;="&amp;EOMONTH($A14,0),Tabla1[Codigo_actividad],AL$4)*AL$3</f>
        <v>0</v>
      </c>
      <c r="AM14" s="292">
        <f>+SUMIFS(Tabla1[Avance_Med],Tabla1[Fecha],"&gt;="&amp;$A14,Tabla1[Fecha],"&lt;="&amp;EOMONTH($A14,0),Tabla1[Codigo_actividad],AM$4)*AM$3</f>
        <v>0</v>
      </c>
      <c r="AN14" s="291"/>
      <c r="AO14" s="286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292">
        <v>0</v>
      </c>
      <c r="C15" s="292">
        <f>+SUMIFS(Tabla1[Avance_Med],Tabla1[Fecha],"&gt;="&amp;$A15,Tabla1[Fecha],"&lt;="&amp;EOMONTH($A15,0),Tabla1[Codigo_actividad],C$4)*C$3</f>
        <v>0</v>
      </c>
      <c r="D15" s="292">
        <f>+SUMIFS(Tabla1[Avance_Med],Tabla1[Fecha],"&gt;="&amp;$A15,Tabla1[Fecha],"&lt;="&amp;EOMONTH($A15,0),Tabla1[Codigo_actividad],D$4)*D$3</f>
        <v>0</v>
      </c>
      <c r="E15" s="292">
        <f>+SUMIFS(Tabla1[Avance_Med],Tabla1[Fecha],"&gt;="&amp;$A15,Tabla1[Fecha],"&lt;="&amp;EOMONTH($A15,0),Tabla1[Codigo_actividad],E$4)*E$3</f>
        <v>0</v>
      </c>
      <c r="F15" s="292">
        <f>+SUMIFS(Tabla1[Avance_Med],Tabla1[Fecha],"&gt;="&amp;$A15,Tabla1[Fecha],"&lt;="&amp;EOMONTH($A15,0),Tabla1[Codigo_actividad],F$4)*F$3</f>
        <v>0</v>
      </c>
      <c r="G15" s="292">
        <f>+SUMIFS(Tabla1[Avance_Med],Tabla1[Fecha],"&gt;="&amp;$A15,Tabla1[Fecha],"&lt;="&amp;EOMONTH($A15,0),Tabla1[Codigo_actividad],G$4)*G$3</f>
        <v>0</v>
      </c>
      <c r="H15" s="292">
        <f>+SUMIFS(Tabla1[Avance_km],Tabla1[Fecha],"&gt;="&amp;$A15,Tabla1[Fecha],"&lt;="&amp;EOMONTH($A15,0),Tabla1[Codigo_actividad],H$4)*H$3</f>
        <v>145693.30653000003</v>
      </c>
      <c r="I15" s="292"/>
      <c r="J15" s="451">
        <f>+SUMIFS(Tabla1[Avance_km],Tabla1[Fecha],"&gt;="&amp;$A15,Tabla1[Fecha],"&lt;="&amp;EOMONTH($A15,0),Tabla1[Codigo_actividad],J$4,Tabla1[Avance_km],"&gt;0")*$J$3</f>
        <v>168022.03384999998</v>
      </c>
      <c r="K15" s="292">
        <f>SUMIFS(Tabla1[Avance_km],Tabla1[Fecha],"&gt;="&amp;$A15,Tabla1[Fecha],"&lt;="&amp;EOMONTH($A15,0),Tabla1[Codigo_actividad],K$4,Tabla1[Avance_km],"&gt;0")*K$3</f>
        <v>300342.56999999995</v>
      </c>
      <c r="L15" s="292">
        <f>+SUMIFS(Tabla1[Avance_Med],Tabla1[Fecha],"&gt;="&amp;$A15,Tabla1[Fecha],"&lt;="&amp;EOMONTH($A15,0),Tabla1[Codigo_actividad],L$4)*L$3</f>
        <v>0</v>
      </c>
      <c r="M15" s="292">
        <f>+SUMIFS(Tabla1[Avance_km],Tabla1[Fecha],"&gt;="&amp;$A15,Tabla1[Fecha],"&lt;="&amp;EOMONTH($A15,0),Tabla1[Codigo_actividad],M$4)*M$3</f>
        <v>27472.8014</v>
      </c>
      <c r="N15" s="292">
        <f>+SUMIFS(Tabla1[Avance_Med],Tabla1[Fecha],"&gt;="&amp;$A15,Tabla1[Fecha],"&lt;="&amp;EOMONTH($A15,0),Tabla1[Codigo_actividad],N$4)*N$3</f>
        <v>0</v>
      </c>
      <c r="O15" s="292">
        <f>+SUMIFS(Tabla1[Avance_Med],Tabla1[Fecha],"&gt;="&amp;$A15,Tabla1[Fecha],"&lt;="&amp;EOMONTH($A15,0),Tabla1[Codigo_actividad],O$4)*O$3</f>
        <v>0</v>
      </c>
      <c r="P15" s="292">
        <f>+SUMIFS(Tabla1[Avance_Med],Tabla1[Fecha],"&gt;="&amp;$A15,Tabla1[Fecha],"&lt;="&amp;EOMONTH($A15,0),Tabla1[Codigo_actividad],P$4)*P$3</f>
        <v>0</v>
      </c>
      <c r="Q15" s="292">
        <f>+SUMIFS(Tabla1[Avance_Med],Tabla1[Fecha],"&gt;="&amp;$A15,Tabla1[Fecha],"&lt;="&amp;EOMONTH($A15,0),Tabla1[Codigo_actividad],Q$4)*Q$3</f>
        <v>15171.98</v>
      </c>
      <c r="R15" s="292">
        <f>+SUMIFS(Tabla1[Avance_Med],Tabla1[Fecha],"&gt;="&amp;$A15,Tabla1[Fecha],"&lt;="&amp;EOMONTH($A15,0),Tabla1[Codigo_actividad],R$4)*R$3</f>
        <v>3531.18</v>
      </c>
      <c r="S15" s="292">
        <f>+SUMIFS(Tabla1[Avance_Med],Tabla1[Fecha],"&gt;="&amp;$A15,Tabla1[Fecha],"&lt;="&amp;EOMONTH($A15,0),Tabla1[Codigo_actividad],S$4)*S$3</f>
        <v>3869.18</v>
      </c>
      <c r="T15" s="292">
        <f>+SUMIFS(Tabla1[Avance_Med],Tabla1[Fecha],"&gt;="&amp;$A15,Tabla1[Fecha],"&lt;="&amp;EOMONTH($A15,0),Tabla1[Codigo_actividad],T$4)*T$3</f>
        <v>3921.18</v>
      </c>
      <c r="U15" s="292">
        <f>+SUMIFS(Tabla1[Avance_Med],Tabla1[Fecha],"&gt;="&amp;$A15,Tabla1[Fecha],"&lt;="&amp;EOMONTH($A15,0),Tabla1[Codigo_actividad],U$4)*U$3</f>
        <v>0</v>
      </c>
      <c r="V15" s="292">
        <f>+SUMIFS(Tabla1[Avance_Med],Tabla1[Fecha],"&gt;="&amp;$A15,Tabla1[Fecha],"&lt;="&amp;EOMONTH($A15,0),Tabla1[Codigo_actividad],V$4)*V$3</f>
        <v>4441.18</v>
      </c>
      <c r="W15" s="292">
        <f>+SUMIFS(Tabla1[Avance_Med],Tabla1[Fecha],"&gt;="&amp;$A15,Tabla1[Fecha],"&lt;="&amp;EOMONTH($A15,0),Tabla1[Codigo_actividad],W$4)*W$3</f>
        <v>0</v>
      </c>
      <c r="X15" s="292">
        <f>+SUMIFS(Tabla1[Avance_Med],Tabla1[Fecha],"&gt;="&amp;$A15,Tabla1[Fecha],"&lt;="&amp;EOMONTH($A15,0),Tabla1[Codigo_actividad],X$4)*X$3</f>
        <v>0</v>
      </c>
      <c r="Y15" s="292">
        <f>+SUMIFS(Tabla1[Avance_Med],Tabla1[Fecha],"&gt;="&amp;$A15,Tabla1[Fecha],"&lt;="&amp;EOMONTH($A15,0),Tabla1[Codigo_actividad],Y$4)*Y$3</f>
        <v>1312</v>
      </c>
      <c r="Z15" s="292">
        <f>+SUMIFS(Tabla1[Avance_Med],Tabla1[Fecha],"&gt;="&amp;$A15,Tabla1[Fecha],"&lt;="&amp;EOMONTH($A15,0),Tabla1[Codigo_actividad],Z$4)*Z$3</f>
        <v>9352</v>
      </c>
      <c r="AA15" s="292">
        <f>+SUMIFS(Tabla1[Avance_Med],Tabla1[Fecha],"&gt;="&amp;$A15,Tabla1[Fecha],"&lt;="&amp;EOMONTH($A15,0),Tabla1[Codigo_actividad],AA$4)*AA$3</f>
        <v>0</v>
      </c>
      <c r="AB15" s="292">
        <f>+SUMIFS(Tabla1[Avance_Med],Tabla1[Fecha],"&gt;="&amp;$A15,Tabla1[Fecha],"&lt;="&amp;EOMONTH($A15,0),Tabla1[Codigo_actividad],AB$4)*AB$3</f>
        <v>0</v>
      </c>
      <c r="AC15" s="292">
        <f>+SUMIFS(Tabla1[Avance_Med],Tabla1[Fecha],"&gt;="&amp;$A15,Tabla1[Fecha],"&lt;="&amp;EOMONTH($A15,0),Tabla1[Codigo_actividad],AC$4)*AC$3</f>
        <v>0</v>
      </c>
      <c r="AD15" s="292">
        <f>+SUMIFS(Tabla1[Avance_Med],Tabla1[Fecha],"&gt;="&amp;$A15,Tabla1[Fecha],"&lt;="&amp;EOMONTH($A15,0),Tabla1[Codigo_actividad],AD$4)*AD$3</f>
        <v>0</v>
      </c>
      <c r="AE15" s="292">
        <f>+SUMIFS(Tabla1[Avance_Med],Tabla1[Fecha],"&gt;="&amp;$A15,Tabla1[Fecha],"&lt;="&amp;EOMONTH($A15,0),Tabla1[Codigo_actividad],AE$4)*AE$3</f>
        <v>0</v>
      </c>
      <c r="AF15" s="292">
        <f>+SUMIFS(Tabla1[Avance_Med],Tabla1[Fecha],"&gt;="&amp;$A15,Tabla1[Fecha],"&lt;="&amp;EOMONTH($A15,0),Tabla1[Codigo_actividad],AF$4)*AF$3</f>
        <v>0</v>
      </c>
      <c r="AG15" s="292">
        <f>+SUMIFS(Tabla1[Avance_Med],Tabla1[Fecha],"&gt;="&amp;$A15,Tabla1[Fecha],"&lt;="&amp;EOMONTH($A15,0),Tabla1[Codigo_actividad],AG$4)*AG$3</f>
        <v>0</v>
      </c>
      <c r="AH15" s="292">
        <f>+SUMIFS(Tabla1[Avance_Med],Tabla1[Fecha],"&gt;="&amp;$A15,Tabla1[Fecha],"&lt;="&amp;EOMONTH($A15,0),Tabla1[Codigo_actividad],AH$4)*AH$3</f>
        <v>0</v>
      </c>
      <c r="AI15" s="292">
        <f>+SUMIFS(Tabla1[Avance_Med],Tabla1[Fecha],"&gt;="&amp;$A15,Tabla1[Fecha],"&lt;="&amp;EOMONTH($A15,0),Tabla1[Codigo_actividad],AI$4)*AI$3</f>
        <v>0</v>
      </c>
      <c r="AJ15" s="292">
        <f>+SUMIFS(Tabla1[Avance_Med],Tabla1[Fecha],"&gt;="&amp;$A15,Tabla1[Fecha],"&lt;="&amp;EOMONTH($A15,0),Tabla1[Codigo_actividad],AJ$4)*AJ$3</f>
        <v>173864.40000000002</v>
      </c>
      <c r="AK15" s="292">
        <f>+SUMIFS(Tabla1[Avance_Med],Tabla1[Fecha],"&gt;="&amp;$A15,Tabla1[Fecha],"&lt;="&amp;EOMONTH($A15,0),Tabla1[Codigo_actividad],AK$4)*AK$3</f>
        <v>167470.32</v>
      </c>
      <c r="AL15" s="292">
        <f>+SUMIFS(Tabla1[Avance_km],Tabla1[Fecha],"&gt;="&amp;$A15,Tabla1[Fecha],"&lt;="&amp;EOMONTH($A15,0),Tabla1[Codigo_actividad],AL$4)*AL$3</f>
        <v>0</v>
      </c>
      <c r="AM15" s="292">
        <f>+SUMIFS(Tabla1[Avance_Med],Tabla1[Fecha],"&gt;="&amp;$A15,Tabla1[Fecha],"&lt;="&amp;EOMONTH($A15,0),Tabla1[Codigo_actividad],AM$4)*AM$3</f>
        <v>0</v>
      </c>
      <c r="AN15" s="291"/>
      <c r="AO15" s="286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292">
        <v>0</v>
      </c>
      <c r="C16" s="292">
        <f>+SUMIFS(Tabla1[Avance_Med],Tabla1[Fecha],"&gt;="&amp;$A16,Tabla1[Fecha],"&lt;="&amp;EOMONTH($A16,0),Tabla1[Codigo_actividad],C$4)*C$3</f>
        <v>0</v>
      </c>
      <c r="D16" s="292">
        <f>+SUMIFS(Tabla1[Avance_Med],Tabla1[Fecha],"&gt;="&amp;$A16,Tabla1[Fecha],"&lt;="&amp;EOMONTH($A16,0),Tabla1[Codigo_actividad],D$4)*D$3</f>
        <v>0</v>
      </c>
      <c r="E16" s="292">
        <f>+SUMIFS(Tabla1[Avance_Med],Tabla1[Fecha],"&gt;="&amp;$A16,Tabla1[Fecha],"&lt;="&amp;EOMONTH($A16,0),Tabla1[Codigo_actividad],E$4)*E$3</f>
        <v>0</v>
      </c>
      <c r="F16" s="292">
        <f>+SUMIFS(Tabla1[Avance_Med],Tabla1[Fecha],"&gt;="&amp;$A16,Tabla1[Fecha],"&lt;="&amp;EOMONTH($A16,0),Tabla1[Codigo_actividad],F$4)*F$3</f>
        <v>0</v>
      </c>
      <c r="G16" s="292">
        <f>+SUMIFS(Tabla1[Avance_Med],Tabla1[Fecha],"&gt;="&amp;$A16,Tabla1[Fecha],"&lt;="&amp;EOMONTH($A16,0),Tabla1[Codigo_actividad],G$4)*G$3</f>
        <v>0</v>
      </c>
      <c r="H16" s="292">
        <f>+SUMIFS(Tabla1[Avance_km],Tabla1[Fecha],"&gt;="&amp;$A16,Tabla1[Fecha],"&lt;="&amp;EOMONTH($A16,0),Tabla1[Codigo_actividad],H$4)*H$3</f>
        <v>155669.51519999999</v>
      </c>
      <c r="I16" s="292"/>
      <c r="J16" s="292">
        <f>+SUMIFS(Tabla1[Avance_km],Tabla1[Fecha],"&gt;="&amp;$A16,Tabla1[Fecha],"&lt;="&amp;EOMONTH($A16,0),Tabla1[Codigo_actividad],J$4,Tabla1[Avance_km],"&gt;0")*J$3</f>
        <v>0</v>
      </c>
      <c r="K16" s="292">
        <f>SUMIFS(Tabla1[Avance_km],Tabla1[Fecha],"&gt;="&amp;$A16,Tabla1[Fecha],"&lt;="&amp;EOMONTH($A16,0),Tabla1[Codigo_actividad],K$4,Tabla1[Avance_km],"&gt;0")*K$3</f>
        <v>440241.56999999995</v>
      </c>
      <c r="L16" s="292">
        <f>+SUMIFS(Tabla1[Avance_Med],Tabla1[Fecha],"&gt;="&amp;$A16,Tabla1[Fecha],"&lt;="&amp;EOMONTH($A16,0),Tabla1[Codigo_actividad],L$4)*L$3</f>
        <v>93160</v>
      </c>
      <c r="M16" s="292">
        <f>+SUMIFS(Tabla1[Avance_km],Tabla1[Fecha],"&gt;="&amp;$A16,Tabla1[Fecha],"&lt;="&amp;EOMONTH($A16,0),Tabla1[Codigo_actividad],M$4)*M$3</f>
        <v>45306.419399999999</v>
      </c>
      <c r="N16" s="292">
        <f>+SUMIFS(Tabla1[Avance_Med],Tabla1[Fecha],"&gt;="&amp;$A16,Tabla1[Fecha],"&lt;="&amp;EOMONTH($A16,0),Tabla1[Codigo_actividad],N$4)*N$3</f>
        <v>0</v>
      </c>
      <c r="O16" s="292">
        <f>+SUMIFS(Tabla1[Avance_Med],Tabla1[Fecha],"&gt;="&amp;$A16,Tabla1[Fecha],"&lt;="&amp;EOMONTH($A16,0),Tabla1[Codigo_actividad],O$4)*O$3</f>
        <v>0</v>
      </c>
      <c r="P16" s="292">
        <f>+SUMIFS(Tabla1[Avance_Med],Tabla1[Fecha],"&gt;="&amp;$A16,Tabla1[Fecha],"&lt;="&amp;EOMONTH($A16,0),Tabla1[Codigo_actividad],P$4)*P$3</f>
        <v>0</v>
      </c>
      <c r="Q16" s="292">
        <f>+SUMIFS(Tabla1[Avance_Med],Tabla1[Fecha],"&gt;="&amp;$A16,Tabla1[Fecha],"&lt;="&amp;EOMONTH($A16,0),Tabla1[Codigo_actividad],Q$4)*Q$3</f>
        <v>60687.92</v>
      </c>
      <c r="R16" s="292">
        <f>+SUMIFS(Tabla1[Avance_Med],Tabla1[Fecha],"&gt;="&amp;$A16,Tabla1[Fecha],"&lt;="&amp;EOMONTH($A16,0),Tabla1[Codigo_actividad],R$4)*R$3</f>
        <v>14124.72</v>
      </c>
      <c r="S16" s="292">
        <f>+SUMIFS(Tabla1[Avance_Med],Tabla1[Fecha],"&gt;="&amp;$A16,Tabla1[Fecha],"&lt;="&amp;EOMONTH($A16,0),Tabla1[Codigo_actividad],S$4)*S$3</f>
        <v>15476.72</v>
      </c>
      <c r="T16" s="292">
        <f>+SUMIFS(Tabla1[Avance_Med],Tabla1[Fecha],"&gt;="&amp;$A16,Tabla1[Fecha],"&lt;="&amp;EOMONTH($A16,0),Tabla1[Codigo_actividad],T$4)*T$3</f>
        <v>15684.72</v>
      </c>
      <c r="U16" s="292">
        <f>+SUMIFS(Tabla1[Avance_Med],Tabla1[Fecha],"&gt;="&amp;$A16,Tabla1[Fecha],"&lt;="&amp;EOMONTH($A16,0),Tabla1[Codigo_actividad],U$4)*U$3</f>
        <v>4441.18</v>
      </c>
      <c r="V16" s="292">
        <f>+SUMIFS(Tabla1[Avance_Med],Tabla1[Fecha],"&gt;="&amp;$A16,Tabla1[Fecha],"&lt;="&amp;EOMONTH($A16,0),Tabla1[Codigo_actividad],V$4)*V$3</f>
        <v>17764.72</v>
      </c>
      <c r="W16" s="292">
        <f>+SUMIFS(Tabla1[Avance_Med],Tabla1[Fecha],"&gt;="&amp;$A16,Tabla1[Fecha],"&lt;="&amp;EOMONTH($A16,0),Tabla1[Codigo_actividad],W$4)*W$3</f>
        <v>4181.18</v>
      </c>
      <c r="X16" s="292">
        <f>+SUMIFS(Tabla1[Avance_Med],Tabla1[Fecha],"&gt;="&amp;$A16,Tabla1[Fecha],"&lt;="&amp;EOMONTH($A16,0),Tabla1[Codigo_actividad],X$4)*X$3</f>
        <v>6271.77</v>
      </c>
      <c r="Y16" s="292">
        <f>+SUMIFS(Tabla1[Avance_Med],Tabla1[Fecha],"&gt;="&amp;$A16,Tabla1[Fecha],"&lt;="&amp;EOMONTH($A16,0),Tabla1[Codigo_actividad],Y$4)*Y$3</f>
        <v>5248</v>
      </c>
      <c r="Z16" s="292">
        <f>+SUMIFS(Tabla1[Avance_Med],Tabla1[Fecha],"&gt;="&amp;$A16,Tabla1[Fecha],"&lt;="&amp;EOMONTH($A16,0),Tabla1[Codigo_actividad],Z$4)*Z$3</f>
        <v>37408</v>
      </c>
      <c r="AA16" s="292">
        <f>+SUMIFS(Tabla1[Avance_Med],Tabla1[Fecha],"&gt;="&amp;$A16,Tabla1[Fecha],"&lt;="&amp;EOMONTH($A16,0),Tabla1[Codigo_actividad],AA$4)*AA$3</f>
        <v>0</v>
      </c>
      <c r="AB16" s="292">
        <f>+SUMIFS(Tabla1[Avance_Med],Tabla1[Fecha],"&gt;="&amp;$A16,Tabla1[Fecha],"&lt;="&amp;EOMONTH($A16,0),Tabla1[Codigo_actividad],AB$4)*AB$3</f>
        <v>0</v>
      </c>
      <c r="AC16" s="292">
        <f>+SUMIFS(Tabla1[Avance_Med],Tabla1[Fecha],"&gt;="&amp;$A16,Tabla1[Fecha],"&lt;="&amp;EOMONTH($A16,0),Tabla1[Codigo_actividad],AC$4)*AC$3</f>
        <v>0</v>
      </c>
      <c r="AD16" s="292">
        <f>+SUMIFS(Tabla1[Avance_Med],Tabla1[Fecha],"&gt;="&amp;$A16,Tabla1[Fecha],"&lt;="&amp;EOMONTH($A16,0),Tabla1[Codigo_actividad],AD$4)*AD$3</f>
        <v>0</v>
      </c>
      <c r="AE16" s="292">
        <f>+SUMIFS(Tabla1[Avance_Med],Tabla1[Fecha],"&gt;="&amp;$A16,Tabla1[Fecha],"&lt;="&amp;EOMONTH($A16,0),Tabla1[Codigo_actividad],AE$4)*AE$3</f>
        <v>0</v>
      </c>
      <c r="AF16" s="292">
        <f>+SUMIFS(Tabla1[Avance_Med],Tabla1[Fecha],"&gt;="&amp;$A16,Tabla1[Fecha],"&lt;="&amp;EOMONTH($A16,0),Tabla1[Codigo_actividad],AF$4)*AF$3</f>
        <v>0</v>
      </c>
      <c r="AG16" s="292">
        <f>+SUMIFS(Tabla1[Avance_Med],Tabla1[Fecha],"&gt;="&amp;$A16,Tabla1[Fecha],"&lt;="&amp;EOMONTH($A16,0),Tabla1[Codigo_actividad],AG$4)*AG$3</f>
        <v>0</v>
      </c>
      <c r="AH16" s="292">
        <f>+SUMIFS(Tabla1[Avance_Med],Tabla1[Fecha],"&gt;="&amp;$A16,Tabla1[Fecha],"&lt;="&amp;EOMONTH($A16,0),Tabla1[Codigo_actividad],AH$4)*AH$3</f>
        <v>0</v>
      </c>
      <c r="AI16" s="292">
        <f>+SUMIFS(Tabla1[Avance_Med],Tabla1[Fecha],"&gt;="&amp;$A16,Tabla1[Fecha],"&lt;="&amp;EOMONTH($A16,0),Tabla1[Codigo_actividad],AI$4)*AI$3</f>
        <v>0</v>
      </c>
      <c r="AJ16" s="292">
        <f>+SUMIFS(Tabla1[Avance_Med],Tabla1[Fecha],"&gt;="&amp;$A16,Tabla1[Fecha],"&lt;="&amp;EOMONTH($A16,0),Tabla1[Codigo_actividad],AJ$4)*AJ$3</f>
        <v>0</v>
      </c>
      <c r="AK16" s="292">
        <f>+SUMIFS(Tabla1[Avance_Med],Tabla1[Fecha],"&gt;="&amp;$A16,Tabla1[Fecha],"&lt;="&amp;EOMONTH($A16,0),Tabla1[Codigo_actividad],AK$4)*AK$3</f>
        <v>0</v>
      </c>
      <c r="AL16" s="292">
        <f>+SUMIFS(Tabla1[Avance_km],Tabla1[Fecha],"&gt;="&amp;$A16,Tabla1[Fecha],"&lt;="&amp;EOMONTH($A16,0),Tabla1[Codigo_actividad],AL$4)*AL$3</f>
        <v>0</v>
      </c>
      <c r="AM16" s="292">
        <f>+SUMIFS(Tabla1[Avance_Med],Tabla1[Fecha],"&gt;="&amp;$A16,Tabla1[Fecha],"&lt;="&amp;EOMONTH($A16,0),Tabla1[Codigo_actividad],AM$4)*AM$3</f>
        <v>0</v>
      </c>
      <c r="AN16" s="291"/>
      <c r="AO16" s="286">
        <f t="shared" si="0"/>
        <v>915666.43460000004</v>
      </c>
      <c r="AT16"/>
      <c r="AU16"/>
      <c r="AV16"/>
      <c r="AW16"/>
      <c r="AX16"/>
    </row>
    <row r="17" spans="1:52" x14ac:dyDescent="0.25">
      <c r="A17" s="228">
        <v>46296</v>
      </c>
      <c r="B17" s="292">
        <v>0</v>
      </c>
      <c r="C17" s="292">
        <f>+SUMIFS(Tabla1[Avance_Med],Tabla1[Fecha],"&gt;="&amp;$A17,Tabla1[Fecha],"&lt;="&amp;EOMONTH($A17,0),Tabla1[Codigo_actividad],C$4)*C$3</f>
        <v>0</v>
      </c>
      <c r="D17" s="292">
        <f>+SUMIFS(Tabla1[Avance_Med],Tabla1[Fecha],"&gt;="&amp;$A17,Tabla1[Fecha],"&lt;="&amp;EOMONTH($A17,0),Tabla1[Codigo_actividad],D$4)*D$3</f>
        <v>0</v>
      </c>
      <c r="E17" s="292">
        <f>+SUMIFS(Tabla1[Avance_Med],Tabla1[Fecha],"&gt;="&amp;$A17,Tabla1[Fecha],"&lt;="&amp;EOMONTH($A17,0),Tabla1[Codigo_actividad],E$4)*E$3</f>
        <v>0</v>
      </c>
      <c r="F17" s="292">
        <f>+SUMIFS(Tabla1[Avance_Med],Tabla1[Fecha],"&gt;="&amp;$A17,Tabla1[Fecha],"&lt;="&amp;EOMONTH($A17,0),Tabla1[Codigo_actividad],F$4)*F$3</f>
        <v>0</v>
      </c>
      <c r="G17" s="292">
        <f>+SUMIFS(Tabla1[Avance_Med],Tabla1[Fecha],"&gt;="&amp;$A17,Tabla1[Fecha],"&lt;="&amp;EOMONTH($A17,0),Tabla1[Codigo_actividad],G$4)*G$3</f>
        <v>0</v>
      </c>
      <c r="H17" s="292">
        <f>+SUMIFS(Tabla1[Avance_km],Tabla1[Fecha],"&gt;="&amp;$A17,Tabla1[Fecha],"&lt;="&amp;EOMONTH($A17,0),Tabla1[Codigo_actividad],H$4)*H$3</f>
        <v>212266.71067499998</v>
      </c>
      <c r="I17" s="292"/>
      <c r="J17" s="292">
        <f>+SUMIFS(Tabla1[Avance_km],Tabla1[Fecha],"&gt;="&amp;$A17,Tabla1[Fecha],"&lt;="&amp;EOMONTH($A17,0),Tabla1[Codigo_actividad],J$4,Tabla1[Avance_km],"&gt;0")*J$3</f>
        <v>22021.120934999992</v>
      </c>
      <c r="K17" s="292">
        <f>SUMIFS(Tabla1[Avance_km],Tabla1[Fecha],"&gt;="&amp;$A17,Tabla1[Fecha],"&lt;="&amp;EOMONTH($A17,0),Tabla1[Codigo_actividad],K$4,Tabla1[Avance_km],"&gt;0")*K$3</f>
        <v>591356.84</v>
      </c>
      <c r="L17" s="292">
        <f>+SUMIFS(Tabla1[Avance_Med],Tabla1[Fecha],"&gt;="&amp;$A17,Tabla1[Fecha],"&lt;="&amp;EOMONTH($A17,0),Tabla1[Codigo_actividad],L$4)*L$3</f>
        <v>0</v>
      </c>
      <c r="M17" s="292">
        <f>+SUMIFS(Tabla1[Avance_km],Tabla1[Fecha],"&gt;="&amp;$A17,Tabla1[Fecha],"&lt;="&amp;EOMONTH($A17,0),Tabla1[Codigo_actividad],M$4)*M$3</f>
        <v>3667.1787899999986</v>
      </c>
      <c r="N17" s="292">
        <f>+SUMIFS(Tabla1[Avance_Med],Tabla1[Fecha],"&gt;="&amp;$A17,Tabla1[Fecha],"&lt;="&amp;EOMONTH($A17,0),Tabla1[Codigo_actividad],N$4)*N$3</f>
        <v>0</v>
      </c>
      <c r="O17" s="292">
        <f>+SUMIFS(Tabla1[Avance_Med],Tabla1[Fecha],"&gt;="&amp;$A17,Tabla1[Fecha],"&lt;="&amp;EOMONTH($A17,0),Tabla1[Codigo_actividad],O$4)*O$3</f>
        <v>0</v>
      </c>
      <c r="P17" s="292">
        <f>+SUMIFS(Tabla1[Avance_Med],Tabla1[Fecha],"&gt;="&amp;$A17,Tabla1[Fecha],"&lt;="&amp;EOMONTH($A17,0),Tabla1[Codigo_actividad],P$4)*P$3</f>
        <v>0</v>
      </c>
      <c r="Q17" s="292">
        <f>+SUMIFS(Tabla1[Avance_Med],Tabla1[Fecha],"&gt;="&amp;$A17,Tabla1[Fecha],"&lt;="&amp;EOMONTH($A17,0),Tabla1[Codigo_actividad],Q$4)*Q$3</f>
        <v>30343.96</v>
      </c>
      <c r="R17" s="292">
        <f>+SUMIFS(Tabla1[Avance_Med],Tabla1[Fecha],"&gt;="&amp;$A17,Tabla1[Fecha],"&lt;="&amp;EOMONTH($A17,0),Tabla1[Codigo_actividad],R$4)*R$3</f>
        <v>8827.9499999999989</v>
      </c>
      <c r="S17" s="292">
        <f>+SUMIFS(Tabla1[Avance_Med],Tabla1[Fecha],"&gt;="&amp;$A17,Tabla1[Fecha],"&lt;="&amp;EOMONTH($A17,0),Tabla1[Codigo_actividad],S$4)*S$3</f>
        <v>9672.9499999999989</v>
      </c>
      <c r="T17" s="292">
        <f>+SUMIFS(Tabla1[Avance_Med],Tabla1[Fecha],"&gt;="&amp;$A17,Tabla1[Fecha],"&lt;="&amp;EOMONTH($A17,0),Tabla1[Codigo_actividad],T$4)*T$3</f>
        <v>9802.9499999999989</v>
      </c>
      <c r="U17" s="292">
        <f>+SUMIFS(Tabla1[Avance_Med],Tabla1[Fecha],"&gt;="&amp;$A17,Tabla1[Fecha],"&lt;="&amp;EOMONTH($A17,0),Tabla1[Codigo_actividad],U$4)*U$3</f>
        <v>0</v>
      </c>
      <c r="V17" s="292">
        <f>+SUMIFS(Tabla1[Avance_Med],Tabla1[Fecha],"&gt;="&amp;$A17,Tabla1[Fecha],"&lt;="&amp;EOMONTH($A17,0),Tabla1[Codigo_actividad],V$4)*V$3</f>
        <v>11102.95</v>
      </c>
      <c r="W17" s="292">
        <f>+SUMIFS(Tabla1[Avance_Med],Tabla1[Fecha],"&gt;="&amp;$A17,Tabla1[Fecha],"&lt;="&amp;EOMONTH($A17,0),Tabla1[Codigo_actividad],W$4)*W$3</f>
        <v>0</v>
      </c>
      <c r="X17" s="292">
        <f>+SUMIFS(Tabla1[Avance_Med],Tabla1[Fecha],"&gt;="&amp;$A17,Tabla1[Fecha],"&lt;="&amp;EOMONTH($A17,0),Tabla1[Codigo_actividad],X$4)*X$3</f>
        <v>0</v>
      </c>
      <c r="Y17" s="292">
        <f>+SUMIFS(Tabla1[Avance_Med],Tabla1[Fecha],"&gt;="&amp;$A17,Tabla1[Fecha],"&lt;="&amp;EOMONTH($A17,0),Tabla1[Codigo_actividad],Y$4)*Y$3</f>
        <v>2624</v>
      </c>
      <c r="Z17" s="292">
        <f>+SUMIFS(Tabla1[Avance_Med],Tabla1[Fecha],"&gt;="&amp;$A17,Tabla1[Fecha],"&lt;="&amp;EOMONTH($A17,0),Tabla1[Codigo_actividad],Z$4)*Z$3</f>
        <v>18704</v>
      </c>
      <c r="AA17" s="292">
        <f>+SUMIFS(Tabla1[Avance_Med],Tabla1[Fecha],"&gt;="&amp;$A17,Tabla1[Fecha],"&lt;="&amp;EOMONTH($A17,0),Tabla1[Codigo_actividad],AA$4)*AA$3</f>
        <v>0</v>
      </c>
      <c r="AB17" s="292">
        <f>+SUMIFS(Tabla1[Avance_Med],Tabla1[Fecha],"&gt;="&amp;$A17,Tabla1[Fecha],"&lt;="&amp;EOMONTH($A17,0),Tabla1[Codigo_actividad],AB$4)*AB$3</f>
        <v>0</v>
      </c>
      <c r="AC17" s="292">
        <f>+SUMIFS(Tabla1[Avance_Med],Tabla1[Fecha],"&gt;="&amp;$A17,Tabla1[Fecha],"&lt;="&amp;EOMONTH($A17,0),Tabla1[Codigo_actividad],AC$4)*AC$3</f>
        <v>0</v>
      </c>
      <c r="AD17" s="292">
        <f>+SUMIFS(Tabla1[Avance_Med],Tabla1[Fecha],"&gt;="&amp;$A17,Tabla1[Fecha],"&lt;="&amp;EOMONTH($A17,0),Tabla1[Codigo_actividad],AD$4)*AD$3</f>
        <v>0</v>
      </c>
      <c r="AE17" s="292">
        <f>+SUMIFS(Tabla1[Avance_Med],Tabla1[Fecha],"&gt;="&amp;$A17,Tabla1[Fecha],"&lt;="&amp;EOMONTH($A17,0),Tabla1[Codigo_actividad],AE$4)*AE$3</f>
        <v>0</v>
      </c>
      <c r="AF17" s="292">
        <f>+SUMIFS(Tabla1[Avance_Med],Tabla1[Fecha],"&gt;="&amp;$A17,Tabla1[Fecha],"&lt;="&amp;EOMONTH($A17,0),Tabla1[Codigo_actividad],AF$4)*AF$3</f>
        <v>0</v>
      </c>
      <c r="AG17" s="292">
        <f>+SUMIFS(Tabla1[Avance_Med],Tabla1[Fecha],"&gt;="&amp;$A17,Tabla1[Fecha],"&lt;="&amp;EOMONTH($A17,0),Tabla1[Codigo_actividad],AG$4)*AG$3</f>
        <v>0</v>
      </c>
      <c r="AH17" s="292">
        <f>+SUMIFS(Tabla1[Avance_Med],Tabla1[Fecha],"&gt;="&amp;$A17,Tabla1[Fecha],"&lt;="&amp;EOMONTH($A17,0),Tabla1[Codigo_actividad],AH$4)*AH$3</f>
        <v>0</v>
      </c>
      <c r="AI17" s="292">
        <f>+SUMIFS(Tabla1[Avance_Med],Tabla1[Fecha],"&gt;="&amp;$A17,Tabla1[Fecha],"&lt;="&amp;EOMONTH($A17,0),Tabla1[Codigo_actividad],AI$4)*AI$3</f>
        <v>0</v>
      </c>
      <c r="AJ17" s="292">
        <f>+SUMIFS(Tabla1[Avance_Med],Tabla1[Fecha],"&gt;="&amp;$A17,Tabla1[Fecha],"&lt;="&amp;EOMONTH($A17,0),Tabla1[Codigo_actividad],AJ$4)*AJ$3</f>
        <v>0</v>
      </c>
      <c r="AK17" s="292">
        <f>+SUMIFS(Tabla1[Avance_Med],Tabla1[Fecha],"&gt;="&amp;$A17,Tabla1[Fecha],"&lt;="&amp;EOMONTH($A17,0),Tabla1[Codigo_actividad],AK$4)*AK$3</f>
        <v>0</v>
      </c>
      <c r="AL17" s="292">
        <f>+SUMIFS(Tabla1[Avance_km],Tabla1[Fecha],"&gt;="&amp;$A17,Tabla1[Fecha],"&lt;="&amp;EOMONTH($A17,0),Tabla1[Codigo_actividad],AL$4)*AL$3</f>
        <v>0</v>
      </c>
      <c r="AM17" s="292">
        <f>+SUMIFS(Tabla1[Avance_Med],Tabla1[Fecha],"&gt;="&amp;$A17,Tabla1[Fecha],"&lt;="&amp;EOMONTH($A17,0),Tabla1[Codigo_actividad],AM$4)*AM$3</f>
        <v>0</v>
      </c>
      <c r="AN17" s="291"/>
      <c r="AO17" s="286">
        <f t="shared" ref="AO17:AO19" si="1">SUM(B17:AN17)</f>
        <v>920390.61039999977</v>
      </c>
      <c r="AT17"/>
      <c r="AU17"/>
      <c r="AV17"/>
      <c r="AW17"/>
      <c r="AX17"/>
    </row>
    <row r="18" spans="1:52" x14ac:dyDescent="0.25">
      <c r="A18" s="228">
        <v>46327</v>
      </c>
      <c r="B18" s="292">
        <v>0</v>
      </c>
      <c r="C18" s="292">
        <f>+SUMIFS(Tabla1[Avance_Med],Tabla1[Fecha],"&gt;="&amp;$A18,Tabla1[Fecha],"&lt;="&amp;EOMONTH($A18,0),Tabla1[Codigo_actividad],C$4)*C$3</f>
        <v>0</v>
      </c>
      <c r="D18" s="292">
        <f>+SUMIFS(Tabla1[Avance_Med],Tabla1[Fecha],"&gt;="&amp;$A18,Tabla1[Fecha],"&lt;="&amp;EOMONTH($A18,0),Tabla1[Codigo_actividad],D$4)*D$3</f>
        <v>0</v>
      </c>
      <c r="E18" s="292">
        <f>+SUMIFS(Tabla1[Avance_Med],Tabla1[Fecha],"&gt;="&amp;$A18,Tabla1[Fecha],"&lt;="&amp;EOMONTH($A18,0),Tabla1[Codigo_actividad],E$4)*E$3</f>
        <v>0</v>
      </c>
      <c r="F18" s="292">
        <f>+SUMIFS(Tabla1[Avance_Med],Tabla1[Fecha],"&gt;="&amp;$A18,Tabla1[Fecha],"&lt;="&amp;EOMONTH($A18,0),Tabla1[Codigo_actividad],F$4)*F$3</f>
        <v>0</v>
      </c>
      <c r="G18" s="292">
        <f>+SUMIFS(Tabla1[Avance_Med],Tabla1[Fecha],"&gt;="&amp;$A18,Tabla1[Fecha],"&lt;="&amp;EOMONTH($A18,0),Tabla1[Codigo_actividad],G$4)*G$3</f>
        <v>0</v>
      </c>
      <c r="H18" s="292">
        <f>+SUMIFS(Tabla1[Avance_km],Tabla1[Fecha],"&gt;="&amp;$A18,Tabla1[Fecha],"&lt;="&amp;EOMONTH($A18,0),Tabla1[Codigo_actividad],H$4)*H$3</f>
        <v>0</v>
      </c>
      <c r="I18" s="292"/>
      <c r="J18" s="292">
        <f>+SUMIFS(Tabla1[Avance_km],Tabla1[Fecha],"&gt;="&amp;$A18,Tabla1[Fecha],"&lt;="&amp;EOMONTH($A18,0),Tabla1[Codigo_actividad],J$4,Tabla1[Avance_km],"&gt;0")*J$3</f>
        <v>0</v>
      </c>
      <c r="K18" s="292">
        <f>SUMIFS(Tabla1[Avance_km],Tabla1[Fecha],"&gt;="&amp;$A18,Tabla1[Fecha],"&lt;="&amp;EOMONTH($A18,0),Tabla1[Codigo_actividad],K$4,Tabla1[Avance_km],"&gt;0")*K$3</f>
        <v>0</v>
      </c>
      <c r="L18" s="292">
        <f>+SUMIFS(Tabla1[Avance_Med],Tabla1[Fecha],"&gt;="&amp;$A18,Tabla1[Fecha],"&lt;="&amp;EOMONTH($A18,0),Tabla1[Codigo_actividad],L$4)*L$3</f>
        <v>0</v>
      </c>
      <c r="M18" s="292">
        <f>+SUMIFS(Tabla1[Avance_km],Tabla1[Fecha],"&gt;="&amp;$A18,Tabla1[Fecha],"&lt;="&amp;EOMONTH($A18,0),Tabla1[Codigo_actividad],M$4)*M$3</f>
        <v>0</v>
      </c>
      <c r="N18" s="292">
        <f>+SUMIFS(Tabla1[Avance_Med],Tabla1[Fecha],"&gt;="&amp;$A18,Tabla1[Fecha],"&lt;="&amp;EOMONTH($A18,0),Tabla1[Codigo_actividad],N$4)*N$3</f>
        <v>0</v>
      </c>
      <c r="O18" s="292">
        <f>+SUMIFS(Tabla1[Avance_Med],Tabla1[Fecha],"&gt;="&amp;$A18,Tabla1[Fecha],"&lt;="&amp;EOMONTH($A18,0),Tabla1[Codigo_actividad],O$4)*O$3</f>
        <v>0</v>
      </c>
      <c r="P18" s="292">
        <f>+SUMIFS(Tabla1[Avance_Med],Tabla1[Fecha],"&gt;="&amp;$A18,Tabla1[Fecha],"&lt;="&amp;EOMONTH($A18,0),Tabla1[Codigo_actividad],P$4)*P$3</f>
        <v>0</v>
      </c>
      <c r="Q18" s="292">
        <f>+SUMIFS(Tabla1[Avance_Med],Tabla1[Fecha],"&gt;="&amp;$A18,Tabla1[Fecha],"&lt;="&amp;EOMONTH($A18,0),Tabla1[Codigo_actividad],Q$4)*Q$3</f>
        <v>0</v>
      </c>
      <c r="R18" s="292">
        <f>+SUMIFS(Tabla1[Avance_Med],Tabla1[Fecha],"&gt;="&amp;$A18,Tabla1[Fecha],"&lt;="&amp;EOMONTH($A18,0),Tabla1[Codigo_actividad],R$4)*R$3</f>
        <v>0</v>
      </c>
      <c r="S18" s="292">
        <f>+SUMIFS(Tabla1[Avance_Med],Tabla1[Fecha],"&gt;="&amp;$A18,Tabla1[Fecha],"&lt;="&amp;EOMONTH($A18,0),Tabla1[Codigo_actividad],S$4)*S$3</f>
        <v>0</v>
      </c>
      <c r="T18" s="292">
        <f>+SUMIFS(Tabla1[Avance_Med],Tabla1[Fecha],"&gt;="&amp;$A18,Tabla1[Fecha],"&lt;="&amp;EOMONTH($A18,0),Tabla1[Codigo_actividad],T$4)*T$3</f>
        <v>0</v>
      </c>
      <c r="U18" s="292">
        <f>+SUMIFS(Tabla1[Avance_Med],Tabla1[Fecha],"&gt;="&amp;$A18,Tabla1[Fecha],"&lt;="&amp;EOMONTH($A18,0),Tabla1[Codigo_actividad],U$4)*U$3</f>
        <v>0</v>
      </c>
      <c r="V18" s="292">
        <f>+SUMIFS(Tabla1[Avance_Med],Tabla1[Fecha],"&gt;="&amp;$A18,Tabla1[Fecha],"&lt;="&amp;EOMONTH($A18,0),Tabla1[Codigo_actividad],V$4)*V$3</f>
        <v>0</v>
      </c>
      <c r="W18" s="292">
        <f>+SUMIFS(Tabla1[Avance_Med],Tabla1[Fecha],"&gt;="&amp;$A18,Tabla1[Fecha],"&lt;="&amp;EOMONTH($A18,0),Tabla1[Codigo_actividad],W$4)*W$3</f>
        <v>0</v>
      </c>
      <c r="X18" s="292">
        <f>+SUMIFS(Tabla1[Avance_Med],Tabla1[Fecha],"&gt;="&amp;$A18,Tabla1[Fecha],"&lt;="&amp;EOMONTH($A18,0),Tabla1[Codigo_actividad],X$4)*X$3</f>
        <v>0</v>
      </c>
      <c r="Y18" s="292">
        <f>+SUMIFS(Tabla1[Avance_Med],Tabla1[Fecha],"&gt;="&amp;$A18,Tabla1[Fecha],"&lt;="&amp;EOMONTH($A18,0),Tabla1[Codigo_actividad],Y$4)*Y$3</f>
        <v>0</v>
      </c>
      <c r="Z18" s="292">
        <f>+SUMIFS(Tabla1[Avance_Med],Tabla1[Fecha],"&gt;="&amp;$A18,Tabla1[Fecha],"&lt;="&amp;EOMONTH($A18,0),Tabla1[Codigo_actividad],Z$4)*Z$3</f>
        <v>0</v>
      </c>
      <c r="AA18" s="292">
        <f>+SUMIFS(Tabla1[Avance_Med],Tabla1[Fecha],"&gt;="&amp;$A18,Tabla1[Fecha],"&lt;="&amp;EOMONTH($A18,0),Tabla1[Codigo_actividad],AA$4)*AA$3</f>
        <v>0</v>
      </c>
      <c r="AB18" s="292">
        <f>+SUMIFS(Tabla1[Avance_Med],Tabla1[Fecha],"&gt;="&amp;$A18,Tabla1[Fecha],"&lt;="&amp;EOMONTH($A18,0),Tabla1[Codigo_actividad],AB$4)*AB$3</f>
        <v>0</v>
      </c>
      <c r="AC18" s="292">
        <f>+SUMIFS(Tabla1[Avance_Med],Tabla1[Fecha],"&gt;="&amp;$A18,Tabla1[Fecha],"&lt;="&amp;EOMONTH($A18,0),Tabla1[Codigo_actividad],AC$4)*AC$3</f>
        <v>0</v>
      </c>
      <c r="AD18" s="292">
        <f>+SUMIFS(Tabla1[Avance_Med],Tabla1[Fecha],"&gt;="&amp;$A18,Tabla1[Fecha],"&lt;="&amp;EOMONTH($A18,0),Tabla1[Codigo_actividad],AD$4)*AD$3</f>
        <v>0</v>
      </c>
      <c r="AE18" s="292">
        <f>+SUMIFS(Tabla1[Avance_Med],Tabla1[Fecha],"&gt;="&amp;$A18,Tabla1[Fecha],"&lt;="&amp;EOMONTH($A18,0),Tabla1[Codigo_actividad],AE$4)*AE$3</f>
        <v>0</v>
      </c>
      <c r="AF18" s="292">
        <f>+SUMIFS(Tabla1[Avance_Med],Tabla1[Fecha],"&gt;="&amp;$A18,Tabla1[Fecha],"&lt;="&amp;EOMONTH($A18,0),Tabla1[Codigo_actividad],AF$4)*AF$3</f>
        <v>0</v>
      </c>
      <c r="AG18" s="292">
        <f>+SUMIFS(Tabla1[Avance_Med],Tabla1[Fecha],"&gt;="&amp;$A18,Tabla1[Fecha],"&lt;="&amp;EOMONTH($A18,0),Tabla1[Codigo_actividad],AG$4)*AG$3</f>
        <v>0</v>
      </c>
      <c r="AH18" s="292">
        <f>+SUMIFS(Tabla1[Avance_Med],Tabla1[Fecha],"&gt;="&amp;$A18,Tabla1[Fecha],"&lt;="&amp;EOMONTH($A18,0),Tabla1[Codigo_actividad],AH$4)*AH$3</f>
        <v>0</v>
      </c>
      <c r="AI18" s="292">
        <f>+SUMIFS(Tabla1[Avance_Med],Tabla1[Fecha],"&gt;="&amp;$A18,Tabla1[Fecha],"&lt;="&amp;EOMONTH($A18,0),Tabla1[Codigo_actividad],AI$4)*AI$3</f>
        <v>0</v>
      </c>
      <c r="AJ18" s="292">
        <f>+SUMIFS(Tabla1[Avance_Med],Tabla1[Fecha],"&gt;="&amp;$A18,Tabla1[Fecha],"&lt;="&amp;EOMONTH($A18,0),Tabla1[Codigo_actividad],AJ$4)*AJ$3</f>
        <v>0</v>
      </c>
      <c r="AK18" s="292">
        <f>+SUMIFS(Tabla1[Avance_Med],Tabla1[Fecha],"&gt;="&amp;$A18,Tabla1[Fecha],"&lt;="&amp;EOMONTH($A18,0),Tabla1[Codigo_actividad],AK$4)*AK$3</f>
        <v>0</v>
      </c>
      <c r="AL18" s="292">
        <f>+SUMIFS(Tabla1[Avance_km],Tabla1[Fecha],"&gt;="&amp;$A18,Tabla1[Fecha],"&lt;="&amp;EOMONTH($A18,0),Tabla1[Codigo_actividad],AL$4)*AL$3</f>
        <v>0</v>
      </c>
      <c r="AM18" s="292">
        <f>+SUMIFS(Tabla1[Avance_Med],Tabla1[Fecha],"&gt;="&amp;$A18,Tabla1[Fecha],"&lt;="&amp;EOMONTH($A18,0),Tabla1[Codigo_actividad],AM$4)*AM$3</f>
        <v>0</v>
      </c>
      <c r="AN18" s="291"/>
      <c r="AO18" s="286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292">
        <v>0</v>
      </c>
      <c r="C19" s="292">
        <f>+SUMIFS(Tabla1[Avance_Med],Tabla1[Fecha],"&gt;="&amp;$A19,Tabla1[Fecha],"&lt;="&amp;EOMONTH($A19,0),Tabla1[Codigo_actividad],C$4)*C$3</f>
        <v>0</v>
      </c>
      <c r="D19" s="292">
        <f>+SUMIFS(Tabla1[Avance_Med],Tabla1[Fecha],"&gt;="&amp;$A19,Tabla1[Fecha],"&lt;="&amp;EOMONTH($A19,0),Tabla1[Codigo_actividad],D$4)*D$3</f>
        <v>0</v>
      </c>
      <c r="E19" s="292">
        <f>+SUMIFS(Tabla1[Avance_Med],Tabla1[Fecha],"&gt;="&amp;$A19,Tabla1[Fecha],"&lt;="&amp;EOMONTH($A19,0),Tabla1[Codigo_actividad],E$4)*E$3</f>
        <v>0</v>
      </c>
      <c r="F19" s="292">
        <f>+SUMIFS(Tabla1[Avance_Med],Tabla1[Fecha],"&gt;="&amp;$A19,Tabla1[Fecha],"&lt;="&amp;EOMONTH($A19,0),Tabla1[Codigo_actividad],F$4)*F$3</f>
        <v>0</v>
      </c>
      <c r="G19" s="292">
        <f>+SUMIFS(Tabla1[Avance_Med],Tabla1[Fecha],"&gt;="&amp;$A19,Tabla1[Fecha],"&lt;="&amp;EOMONTH($A19,0),Tabla1[Codigo_actividad],G$4)*G$3</f>
        <v>0</v>
      </c>
      <c r="H19" s="292">
        <f>+SUMIFS(Tabla1[Avance_km],Tabla1[Fecha],"&gt;="&amp;$A19,Tabla1[Fecha],"&lt;="&amp;EOMONTH($A19,0),Tabla1[Codigo_actividad],H$4)*H$3</f>
        <v>0</v>
      </c>
      <c r="I19" s="292"/>
      <c r="J19" s="292">
        <f>+SUMIFS(Tabla1[Avance_km],Tabla1[Fecha],"&gt;="&amp;$A19,Tabla1[Fecha],"&lt;="&amp;EOMONTH($A19,0),Tabla1[Codigo_actividad],J$4,Tabla1[Avance_km],"&gt;0")*J$3</f>
        <v>0</v>
      </c>
      <c r="K19" s="292">
        <f>SUMIFS(Tabla1[Avance_km],Tabla1[Fecha],"&gt;="&amp;$A19,Tabla1[Fecha],"&lt;="&amp;EOMONTH($A19,0),Tabla1[Codigo_actividad],K$4,Tabla1[Avance_km],"&gt;0")*K$3</f>
        <v>0</v>
      </c>
      <c r="L19" s="292">
        <f>+SUMIFS(Tabla1[Avance_Med],Tabla1[Fecha],"&gt;="&amp;$A19,Tabla1[Fecha],"&lt;="&amp;EOMONTH($A19,0),Tabla1[Codigo_actividad],L$4)*L$3</f>
        <v>0</v>
      </c>
      <c r="M19" s="292">
        <f>+SUMIFS(Tabla1[Avance_km],Tabla1[Fecha],"&gt;="&amp;$A19,Tabla1[Fecha],"&lt;="&amp;EOMONTH($A19,0),Tabla1[Codigo_actividad],M$4)*M$3</f>
        <v>0</v>
      </c>
      <c r="N19" s="292">
        <f>+SUMIFS(Tabla1[Avance_Med],Tabla1[Fecha],"&gt;="&amp;$A19,Tabla1[Fecha],"&lt;="&amp;EOMONTH($A19,0),Tabla1[Codigo_actividad],N$4)*N$3</f>
        <v>0</v>
      </c>
      <c r="O19" s="292">
        <f>+SUMIFS(Tabla1[Avance_Med],Tabla1[Fecha],"&gt;="&amp;$A19,Tabla1[Fecha],"&lt;="&amp;EOMONTH($A19,0),Tabla1[Codigo_actividad],O$4)*O$3</f>
        <v>0</v>
      </c>
      <c r="P19" s="292">
        <f>+SUMIFS(Tabla1[Avance_Med],Tabla1[Fecha],"&gt;="&amp;$A19,Tabla1[Fecha],"&lt;="&amp;EOMONTH($A19,0),Tabla1[Codigo_actividad],P$4)*P$3</f>
        <v>0</v>
      </c>
      <c r="Q19" s="292">
        <f>+SUMIFS(Tabla1[Avance_Med],Tabla1[Fecha],"&gt;="&amp;$A19,Tabla1[Fecha],"&lt;="&amp;EOMONTH($A19,0),Tabla1[Codigo_actividad],Q$4)*Q$3</f>
        <v>0</v>
      </c>
      <c r="R19" s="292">
        <f>+SUMIFS(Tabla1[Avance_Med],Tabla1[Fecha],"&gt;="&amp;$A19,Tabla1[Fecha],"&lt;="&amp;EOMONTH($A19,0),Tabla1[Codigo_actividad],R$4)*R$3</f>
        <v>0</v>
      </c>
      <c r="S19" s="292">
        <f>+SUMIFS(Tabla1[Avance_Med],Tabla1[Fecha],"&gt;="&amp;$A19,Tabla1[Fecha],"&lt;="&amp;EOMONTH($A19,0),Tabla1[Codigo_actividad],S$4)*S$3</f>
        <v>0</v>
      </c>
      <c r="T19" s="292">
        <f>+SUMIFS(Tabla1[Avance_Med],Tabla1[Fecha],"&gt;="&amp;$A19,Tabla1[Fecha],"&lt;="&amp;EOMONTH($A19,0),Tabla1[Codigo_actividad],T$4)*T$3</f>
        <v>0</v>
      </c>
      <c r="U19" s="292">
        <f>+SUMIFS(Tabla1[Avance_Med],Tabla1[Fecha],"&gt;="&amp;$A19,Tabla1[Fecha],"&lt;="&amp;EOMONTH($A19,0),Tabla1[Codigo_actividad],U$4)*U$3</f>
        <v>0</v>
      </c>
      <c r="V19" s="292">
        <f>+SUMIFS(Tabla1[Avance_Med],Tabla1[Fecha],"&gt;="&amp;$A19,Tabla1[Fecha],"&lt;="&amp;EOMONTH($A19,0),Tabla1[Codigo_actividad],V$4)*V$3</f>
        <v>0</v>
      </c>
      <c r="W19" s="292">
        <f>+SUMIFS(Tabla1[Avance_Med],Tabla1[Fecha],"&gt;="&amp;$A19,Tabla1[Fecha],"&lt;="&amp;EOMONTH($A19,0),Tabla1[Codigo_actividad],W$4)*W$3</f>
        <v>0</v>
      </c>
      <c r="X19" s="292">
        <f>+SUMIFS(Tabla1[Avance_Med],Tabla1[Fecha],"&gt;="&amp;$A19,Tabla1[Fecha],"&lt;="&amp;EOMONTH($A19,0),Tabla1[Codigo_actividad],X$4)*X$3</f>
        <v>0</v>
      </c>
      <c r="Y19" s="292">
        <f>+SUMIFS(Tabla1[Avance_Med],Tabla1[Fecha],"&gt;="&amp;$A19,Tabla1[Fecha],"&lt;="&amp;EOMONTH($A19,0),Tabla1[Codigo_actividad],Y$4)*Y$3</f>
        <v>0</v>
      </c>
      <c r="Z19" s="292">
        <f>+SUMIFS(Tabla1[Avance_Med],Tabla1[Fecha],"&gt;="&amp;$A19,Tabla1[Fecha],"&lt;="&amp;EOMONTH($A19,0),Tabla1[Codigo_actividad],Z$4)*Z$3</f>
        <v>0</v>
      </c>
      <c r="AA19" s="292">
        <f>+SUMIFS(Tabla1[Avance_Med],Tabla1[Fecha],"&gt;="&amp;$A19,Tabla1[Fecha],"&lt;="&amp;EOMONTH($A19,0),Tabla1[Codigo_actividad],AA$4)*AA$3</f>
        <v>0</v>
      </c>
      <c r="AB19" s="292">
        <f>+SUMIFS(Tabla1[Avance_Med],Tabla1[Fecha],"&gt;="&amp;$A19,Tabla1[Fecha],"&lt;="&amp;EOMONTH($A19,0),Tabla1[Codigo_actividad],AB$4)*AB$3</f>
        <v>0</v>
      </c>
      <c r="AC19" s="292">
        <f>+SUMIFS(Tabla1[Avance_Med],Tabla1[Fecha],"&gt;="&amp;$A19,Tabla1[Fecha],"&lt;="&amp;EOMONTH($A19,0),Tabla1[Codigo_actividad],AC$4)*AC$3</f>
        <v>0</v>
      </c>
      <c r="AD19" s="292">
        <f>+SUMIFS(Tabla1[Avance_Med],Tabla1[Fecha],"&gt;="&amp;$A19,Tabla1[Fecha],"&lt;="&amp;EOMONTH($A19,0),Tabla1[Codigo_actividad],AD$4)*AD$3</f>
        <v>0</v>
      </c>
      <c r="AE19" s="292">
        <f>+SUMIFS(Tabla1[Avance_Med],Tabla1[Fecha],"&gt;="&amp;$A19,Tabla1[Fecha],"&lt;="&amp;EOMONTH($A19,0),Tabla1[Codigo_actividad],AE$4)*AE$3</f>
        <v>0</v>
      </c>
      <c r="AF19" s="292">
        <f>+SUMIFS(Tabla1[Avance_Med],Tabla1[Fecha],"&gt;="&amp;$A19,Tabla1[Fecha],"&lt;="&amp;EOMONTH($A19,0),Tabla1[Codigo_actividad],AF$4)*AF$3</f>
        <v>0</v>
      </c>
      <c r="AG19" s="292">
        <f>+SUMIFS(Tabla1[Avance_Med],Tabla1[Fecha],"&gt;="&amp;$A19,Tabla1[Fecha],"&lt;="&amp;EOMONTH($A19,0),Tabla1[Codigo_actividad],AG$4)*AG$3</f>
        <v>0</v>
      </c>
      <c r="AH19" s="292">
        <f>+SUMIFS(Tabla1[Avance_Med],Tabla1[Fecha],"&gt;="&amp;$A19,Tabla1[Fecha],"&lt;="&amp;EOMONTH($A19,0),Tabla1[Codigo_actividad],AH$4)*AH$3</f>
        <v>0</v>
      </c>
      <c r="AI19" s="292">
        <f>+SUMIFS(Tabla1[Avance_Med],Tabla1[Fecha],"&gt;="&amp;$A19,Tabla1[Fecha],"&lt;="&amp;EOMONTH($A19,0),Tabla1[Codigo_actividad],AI$4)*AI$3</f>
        <v>0</v>
      </c>
      <c r="AJ19" s="292">
        <f>+SUMIFS(Tabla1[Avance_Med],Tabla1[Fecha],"&gt;="&amp;$A19,Tabla1[Fecha],"&lt;="&amp;EOMONTH($A19,0),Tabla1[Codigo_actividad],AJ$4)*AJ$3</f>
        <v>0</v>
      </c>
      <c r="AK19" s="292">
        <f>+SUMIFS(Tabla1[Avance_Med],Tabla1[Fecha],"&gt;="&amp;$A19,Tabla1[Fecha],"&lt;="&amp;EOMONTH($A19,0),Tabla1[Codigo_actividad],AK$4)*AK$3</f>
        <v>0</v>
      </c>
      <c r="AL19" s="292">
        <f>+SUMIFS(Tabla1[Avance_km],Tabla1[Fecha],"&gt;="&amp;$A19,Tabla1[Fecha],"&lt;="&amp;EOMONTH($A19,0),Tabla1[Codigo_actividad],AL$4)*AL$3</f>
        <v>0</v>
      </c>
      <c r="AM19" s="292">
        <f>+SUMIFS(Tabla1[Avance_Med],Tabla1[Fecha],"&gt;="&amp;$A19,Tabla1[Fecha],"&lt;="&amp;EOMONTH($A19,0),Tabla1[Codigo_actividad],AM$4)*AM$3</f>
        <v>0</v>
      </c>
      <c r="AN19" s="291"/>
      <c r="AO19" s="286">
        <f t="shared" si="1"/>
        <v>0</v>
      </c>
      <c r="AT19"/>
      <c r="AU19"/>
      <c r="AV19"/>
      <c r="AW19"/>
      <c r="AX19"/>
    </row>
    <row r="20" spans="1:52" x14ac:dyDescent="0.25">
      <c r="A20" t="s">
        <v>434</v>
      </c>
      <c r="B20"/>
      <c r="C20"/>
      <c r="D20"/>
      <c r="E20"/>
      <c r="F20"/>
      <c r="G20"/>
      <c r="H20"/>
      <c r="I20"/>
      <c r="AO20" s="287">
        <f>SUM(AO5:AO19)+AO25</f>
        <v>-2262743.8226999976</v>
      </c>
      <c r="AQ20" s="378">
        <f>+AO20/AO5</f>
        <v>0.20270175274289995</v>
      </c>
      <c r="AT20"/>
      <c r="AU20"/>
      <c r="AV20"/>
      <c r="AW20"/>
      <c r="AX20"/>
    </row>
    <row r="21" spans="1:52" x14ac:dyDescent="0.25">
      <c r="A21"/>
      <c r="B21" s="288">
        <f>SUM(B6:B19)</f>
        <v>0</v>
      </c>
      <c r="C21" s="288">
        <f t="shared" ref="C21:AM21" si="2">SUM(C6:C19)</f>
        <v>0</v>
      </c>
      <c r="D21" s="288">
        <f t="shared" si="2"/>
        <v>0</v>
      </c>
      <c r="E21" s="288">
        <f t="shared" si="2"/>
        <v>0</v>
      </c>
      <c r="F21" s="288">
        <f t="shared" si="2"/>
        <v>0</v>
      </c>
      <c r="G21" s="288">
        <f t="shared" si="2"/>
        <v>0</v>
      </c>
      <c r="H21" s="403">
        <f>SUM(H6:H19)</f>
        <v>2620032.6599550005</v>
      </c>
      <c r="I21" s="289">
        <f t="shared" si="2"/>
        <v>0</v>
      </c>
      <c r="J21" s="403">
        <f t="shared" si="2"/>
        <v>2037743.3019349999</v>
      </c>
      <c r="K21" s="288">
        <f t="shared" si="2"/>
        <v>1331940.98</v>
      </c>
      <c r="L21" s="288">
        <f t="shared" si="2"/>
        <v>1844568</v>
      </c>
      <c r="M21" s="403">
        <f t="shared" si="2"/>
        <v>410591.96541</v>
      </c>
      <c r="N21" s="288">
        <f t="shared" si="2"/>
        <v>0</v>
      </c>
      <c r="O21" s="288">
        <f t="shared" si="2"/>
        <v>0</v>
      </c>
      <c r="P21" s="288">
        <f t="shared" si="2"/>
        <v>0</v>
      </c>
      <c r="Q21" s="288">
        <f t="shared" si="2"/>
        <v>106203.85999999999</v>
      </c>
      <c r="R21" s="288">
        <f t="shared" si="2"/>
        <v>26483.85</v>
      </c>
      <c r="S21" s="288">
        <f t="shared" si="2"/>
        <v>29018.85</v>
      </c>
      <c r="T21" s="288">
        <f t="shared" si="2"/>
        <v>29408.85</v>
      </c>
      <c r="U21" s="288">
        <f t="shared" si="2"/>
        <v>4441.18</v>
      </c>
      <c r="V21" s="288">
        <f t="shared" si="2"/>
        <v>33308.850000000006</v>
      </c>
      <c r="W21" s="288">
        <f t="shared" si="2"/>
        <v>4181.18</v>
      </c>
      <c r="X21" s="288">
        <f t="shared" si="2"/>
        <v>6271.77</v>
      </c>
      <c r="Y21" s="288">
        <f t="shared" si="2"/>
        <v>9184</v>
      </c>
      <c r="Z21" s="288">
        <f t="shared" si="2"/>
        <v>65464</v>
      </c>
      <c r="AA21" s="288">
        <f t="shared" si="2"/>
        <v>0</v>
      </c>
      <c r="AB21" s="288">
        <f t="shared" si="2"/>
        <v>0</v>
      </c>
      <c r="AC21" s="288">
        <f t="shared" si="2"/>
        <v>0</v>
      </c>
      <c r="AD21" s="288">
        <f t="shared" si="2"/>
        <v>0</v>
      </c>
      <c r="AE21" s="288">
        <f t="shared" si="2"/>
        <v>0</v>
      </c>
      <c r="AF21" s="288">
        <f t="shared" si="2"/>
        <v>0</v>
      </c>
      <c r="AG21" s="288">
        <f t="shared" si="2"/>
        <v>0</v>
      </c>
      <c r="AH21" s="288">
        <f t="shared" si="2"/>
        <v>0</v>
      </c>
      <c r="AI21" s="288">
        <f t="shared" si="2"/>
        <v>0</v>
      </c>
      <c r="AJ21" s="288">
        <f t="shared" si="2"/>
        <v>173864.40000000002</v>
      </c>
      <c r="AK21" s="288">
        <f t="shared" si="2"/>
        <v>167470.32</v>
      </c>
      <c r="AL21" s="288">
        <f t="shared" si="2"/>
        <v>0</v>
      </c>
      <c r="AM21" s="288">
        <f t="shared" si="2"/>
        <v>0</v>
      </c>
      <c r="AN21" s="229"/>
      <c r="AO21" s="377">
        <f>+IF(SUM(AO6:AO19)=SUM(B21:AM21),SUM(AO6:AO19))</f>
        <v>8900178.0173000023</v>
      </c>
      <c r="AQ21" s="379">
        <f>-AO21/AO5</f>
        <v>0.79729824725710008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37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4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50">
        <f>+B22-B23</f>
        <v>0</v>
      </c>
      <c r="C24" s="450"/>
      <c r="D24" s="450"/>
      <c r="E24" s="450"/>
      <c r="F24" s="450"/>
      <c r="G24" s="450"/>
      <c r="H24"/>
      <c r="I24"/>
      <c r="J24"/>
      <c r="K24" s="450"/>
      <c r="L24" s="450"/>
      <c r="M24" s="450"/>
      <c r="N24" s="450"/>
      <c r="O24" s="450"/>
      <c r="P24" s="450"/>
      <c r="Q24" s="450"/>
      <c r="R24" s="450"/>
      <c r="S24" s="450"/>
      <c r="T24" s="450"/>
      <c r="U24" s="450"/>
      <c r="V24" s="450"/>
      <c r="W24" s="450"/>
      <c r="X24" s="450"/>
      <c r="Y24" s="450"/>
      <c r="Z24" s="450"/>
      <c r="AA24" s="450"/>
      <c r="AB24" s="450"/>
      <c r="AC24" s="450"/>
      <c r="AD24" s="450"/>
      <c r="AE24" s="450"/>
      <c r="AF24" s="450"/>
      <c r="AG24" s="450"/>
      <c r="AH24" s="450"/>
      <c r="AI24" s="450"/>
      <c r="AJ24" s="450"/>
      <c r="AK24" s="450"/>
      <c r="AL24"/>
      <c r="AM24"/>
      <c r="AN24"/>
      <c r="AO24" s="44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4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285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285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287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285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299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299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285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299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285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285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4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285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285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285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285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285">
        <f>+SUMIFS(Tabla1[EV],Tabla1[Fecha],"&gt;="&amp;$A36,Tabla1[Fecha],"&lt;="&amp;EOMONTH($A36,0),Tabla1[EV],"&gt;0")</f>
        <v>915666.43460000085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285">
        <f>+SUMIFS(Tabla1[EV],Tabla1[Fecha],"&gt;="&amp;$A37,Tabla1[Fecha],"&lt;="&amp;EOMONTH($A37,0),Tabla1[EV],"&gt;0")</f>
        <v>920390.61040000012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500</v>
      </c>
      <c r="B38" s="290">
        <f>SUM(B26:B37)</f>
        <v>8900178.0173000023</v>
      </c>
      <c r="C38" s="271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299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72" customFormat="1" ht="129.75" x14ac:dyDescent="0.25">
      <c r="B1" s="273" t="s">
        <v>276</v>
      </c>
      <c r="C1" s="273" t="s">
        <v>278</v>
      </c>
      <c r="D1" s="273" t="s">
        <v>280</v>
      </c>
      <c r="E1" s="273" t="s">
        <v>282</v>
      </c>
      <c r="F1" s="273" t="s">
        <v>284</v>
      </c>
      <c r="G1" s="273" t="s">
        <v>286</v>
      </c>
      <c r="H1" s="275" t="s">
        <v>79</v>
      </c>
      <c r="I1" s="275" t="s">
        <v>82</v>
      </c>
      <c r="J1" s="275" t="s">
        <v>80</v>
      </c>
      <c r="K1" s="275" t="s">
        <v>83</v>
      </c>
      <c r="L1" s="275" t="s">
        <v>81</v>
      </c>
      <c r="M1" s="275" t="s">
        <v>78</v>
      </c>
      <c r="N1" s="275" t="s">
        <v>294</v>
      </c>
      <c r="O1" s="275" t="s">
        <v>296</v>
      </c>
      <c r="P1" s="277" t="s">
        <v>298</v>
      </c>
      <c r="Q1" s="277" t="s">
        <v>407</v>
      </c>
      <c r="R1" s="277" t="s">
        <v>408</v>
      </c>
      <c r="S1" s="277" t="s">
        <v>415</v>
      </c>
      <c r="T1" s="277" t="s">
        <v>409</v>
      </c>
      <c r="U1" s="277" t="s">
        <v>416</v>
      </c>
      <c r="V1" s="277" t="s">
        <v>414</v>
      </c>
      <c r="W1" s="277" t="s">
        <v>410</v>
      </c>
      <c r="X1" s="277" t="s">
        <v>417</v>
      </c>
      <c r="Y1" s="277" t="s">
        <v>412</v>
      </c>
      <c r="Z1" s="277" t="s">
        <v>411</v>
      </c>
      <c r="AA1" s="277" t="s">
        <v>413</v>
      </c>
      <c r="AB1" s="279" t="s">
        <v>418</v>
      </c>
      <c r="AC1" s="279" t="s">
        <v>419</v>
      </c>
      <c r="AD1" s="279" t="s">
        <v>420</v>
      </c>
      <c r="AE1" s="279" t="s">
        <v>421</v>
      </c>
      <c r="AF1" s="279" t="s">
        <v>422</v>
      </c>
      <c r="AG1" s="279" t="s">
        <v>423</v>
      </c>
      <c r="AH1" s="279" t="s">
        <v>424</v>
      </c>
      <c r="AI1" s="279" t="s">
        <v>425</v>
      </c>
      <c r="AJ1" s="279" t="s">
        <v>426</v>
      </c>
      <c r="AK1" s="279" t="s">
        <v>427</v>
      </c>
      <c r="AL1" s="279" t="s">
        <v>428</v>
      </c>
      <c r="AM1" s="279" t="s">
        <v>429</v>
      </c>
    </row>
    <row r="2" spans="1:39" s="76" customFormat="1" x14ac:dyDescent="0.25">
      <c r="B2" s="274" t="s">
        <v>97</v>
      </c>
      <c r="C2" s="274" t="s">
        <v>97</v>
      </c>
      <c r="D2" s="274" t="s">
        <v>97</v>
      </c>
      <c r="E2" s="274" t="s">
        <v>97</v>
      </c>
      <c r="F2" s="274" t="s">
        <v>97</v>
      </c>
      <c r="G2" s="274" t="s">
        <v>97</v>
      </c>
      <c r="H2" s="276" t="s">
        <v>108</v>
      </c>
      <c r="I2" s="276" t="s">
        <v>108</v>
      </c>
      <c r="J2" s="276" t="s">
        <v>108</v>
      </c>
      <c r="K2" s="276" t="s">
        <v>108</v>
      </c>
      <c r="L2" s="276" t="s">
        <v>113</v>
      </c>
      <c r="M2" s="276" t="s">
        <v>108</v>
      </c>
      <c r="N2" s="276" t="s">
        <v>97</v>
      </c>
      <c r="O2" s="276" t="s">
        <v>97</v>
      </c>
      <c r="P2" s="278" t="s">
        <v>118</v>
      </c>
      <c r="Q2" s="278" t="s">
        <v>431</v>
      </c>
      <c r="R2" s="278" t="s">
        <v>431</v>
      </c>
      <c r="S2" s="278" t="s">
        <v>126</v>
      </c>
      <c r="T2" s="278" t="s">
        <v>126</v>
      </c>
      <c r="U2" s="278" t="s">
        <v>126</v>
      </c>
      <c r="V2" s="278" t="s">
        <v>126</v>
      </c>
      <c r="W2" s="278" t="s">
        <v>126</v>
      </c>
      <c r="X2" s="278" t="s">
        <v>126</v>
      </c>
      <c r="Y2" s="278" t="s">
        <v>126</v>
      </c>
      <c r="Z2" s="278" t="s">
        <v>126</v>
      </c>
      <c r="AA2" s="278" t="s">
        <v>97</v>
      </c>
      <c r="AB2" s="280" t="s">
        <v>97</v>
      </c>
      <c r="AC2" s="280" t="s">
        <v>97</v>
      </c>
      <c r="AD2" s="280" t="s">
        <v>97</v>
      </c>
      <c r="AE2" s="280" t="s">
        <v>97</v>
      </c>
      <c r="AF2" s="280" t="s">
        <v>97</v>
      </c>
      <c r="AG2" s="280" t="s">
        <v>97</v>
      </c>
      <c r="AH2" s="280" t="s">
        <v>97</v>
      </c>
      <c r="AI2" s="280" t="s">
        <v>97</v>
      </c>
      <c r="AJ2" s="280" t="s">
        <v>430</v>
      </c>
      <c r="AK2" s="280" t="s">
        <v>430</v>
      </c>
      <c r="AL2" s="280" t="s">
        <v>430</v>
      </c>
      <c r="AM2" s="280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398" t="s">
        <v>515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21">
        <f>+SUMIFS(Tabla1[Avance_km],Tabla1[Fecha],"&gt;="&amp;$A5,Tabla1[Fecha],"&lt;="&amp;EOMONTH($A5,0),Tabla1[Codigo_actividad],H$4)*H$3</f>
        <v>31.548999999999999</v>
      </c>
      <c r="I5" s="233"/>
      <c r="J5" s="321">
        <f>+SUMIFS(Tabla1[Avance_km],Tabla1[Fecha],"&gt;="&amp;$A5,Tabla1[Fecha],"&lt;="&amp;EOMONTH($A5,0),Tabla1[Codigo_actividad],J$4, Tabla1[Avance_km],"&gt;0")*J$3</f>
        <v>53.048999999999999</v>
      </c>
      <c r="K5" s="44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21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21">
        <f>+SUMIFS(Tabla1[Avance_km],Tabla1[Fecha],"&gt;="&amp;$A6,Tabla1[Fecha],"&lt;="&amp;EOMONTH($A6,0),Tabla1[Codigo_actividad],H$4)*H$3</f>
        <v>31.517000000000003</v>
      </c>
      <c r="I6" s="233"/>
      <c r="J6" s="321">
        <f>+SUMIFS(Tabla1[Avance_km],Tabla1[Fecha],"&gt;="&amp;$A6,Tabla1[Fecha],"&lt;="&amp;EOMONTH($A6,0),Tabla1[Codigo_actividad],J$4, Tabla1[Avance_km],"&gt;0")*J$3</f>
        <v>31.543999999999993</v>
      </c>
      <c r="K6" s="44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21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21">
        <f>+SUMIFS(Tabla1[Avance_km],Tabla1[Fecha],"&gt;="&amp;$A7,Tabla1[Fecha],"&lt;="&amp;EOMONTH($A7,0),Tabla1[Codigo_actividad],H$4)*H$3</f>
        <v>36.840000000000011</v>
      </c>
      <c r="I7" s="233"/>
      <c r="J7" s="321">
        <f>+SUMIFS(Tabla1[Avance_km],Tabla1[Fecha],"&gt;="&amp;$A7,Tabla1[Fecha],"&lt;="&amp;EOMONTH($A7,0),Tabla1[Codigo_actividad],J$4, Tabla1[Avance_km],"&gt;0")*J$3</f>
        <v>15.313000000000004</v>
      </c>
      <c r="K7" s="44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21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21">
        <f>+SUMIFS(Tabla1[Avance_km],Tabla1[Fecha],"&gt;="&amp;$A8,Tabla1[Fecha],"&lt;="&amp;EOMONTH($A8,0),Tabla1[Codigo_actividad],H$4)*H$3</f>
        <v>0</v>
      </c>
      <c r="I8" s="233"/>
      <c r="J8" s="321">
        <f>+SUMIFS(Tabla1[Avance_km],Tabla1[Fecha],"&gt;="&amp;$A8,Tabla1[Fecha],"&lt;="&amp;EOMONTH($A8,0),Tabla1[Codigo_actividad],J$4, Tabla1[Avance_km],"&gt;0")*J$3</f>
        <v>0</v>
      </c>
      <c r="K8" s="44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21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21">
        <f>+SUMIFS(Tabla1[Avance_km],Tabla1[Fecha],"&gt;="&amp;$A9,Tabla1[Fecha],"&lt;="&amp;EOMONTH($A9,0),Tabla1[Codigo_actividad],H$4)*H$3</f>
        <v>0</v>
      </c>
      <c r="I9" s="233"/>
      <c r="J9" s="321">
        <f>+SUMIFS(Tabla1[Avance_km],Tabla1[Fecha],"&gt;="&amp;$A9,Tabla1[Fecha],"&lt;="&amp;EOMONTH($A9,0),Tabla1[Codigo_actividad],J$4, Tabla1[Avance_km],"&gt;0")*J$3</f>
        <v>0</v>
      </c>
      <c r="K9" s="44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21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21">
        <f>+SUMIFS(Tabla1[Avance_km],Tabla1[Fecha],"&gt;="&amp;$A10,Tabla1[Fecha],"&lt;="&amp;EOMONTH($A10,0),Tabla1[Codigo_actividad],H$4)*H$3</f>
        <v>0</v>
      </c>
      <c r="I10" s="233"/>
      <c r="J10" s="321">
        <f>+SUMIFS(Tabla1[Avance_km],Tabla1[Fecha],"&gt;="&amp;$A10,Tabla1[Fecha],"&lt;="&amp;EOMONTH($A10,0),Tabla1[Codigo_actividad],J$4, Tabla1[Avance_km],"&gt;0")*J$3</f>
        <v>5.9550000000000001</v>
      </c>
      <c r="K10" s="44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21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21">
        <f>+SUMIFS(Tabla1[Avance_km],Tabla1[Fecha],"&gt;="&amp;$A11,Tabla1[Fecha],"&lt;="&amp;EOMONTH($A11,0),Tabla1[Codigo_actividad],H$4)*H$3</f>
        <v>11.253</v>
      </c>
      <c r="I11" s="233"/>
      <c r="J11" s="321">
        <f>+SUMIFS(Tabla1[Avance_km],Tabla1[Fecha],"&gt;="&amp;$A11,Tabla1[Fecha],"&lt;="&amp;EOMONTH($A11,0),Tabla1[Codigo_actividad],J$4, Tabla1[Avance_km],"&gt;0")*J$3</f>
        <v>19.906000000000002</v>
      </c>
      <c r="K11" s="44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21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21">
        <f>+SUMIFS(Tabla1[Avance_km],Tabla1[Fecha],"&gt;="&amp;$A12,Tabla1[Fecha],"&lt;="&amp;EOMONTH($A12,0),Tabla1[Codigo_actividad],H$4)*H$3</f>
        <v>20.328000000000003</v>
      </c>
      <c r="I12" s="233"/>
      <c r="J12" s="321">
        <f>+SUMIFS(Tabla1[Avance_km],Tabla1[Fecha],"&gt;="&amp;$A12,Tabla1[Fecha],"&lt;="&amp;EOMONTH($A12,0),Tabla1[Codigo_actividad],J$4, Tabla1[Avance_km],"&gt;0")*J$3</f>
        <v>0</v>
      </c>
      <c r="K12" s="44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21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21">
        <f>+SUMIFS(Tabla1[Avance_km],Tabla1[Fecha],"&gt;="&amp;$A13,Tabla1[Fecha],"&lt;="&amp;EOMONTH($A13,0),Tabla1[Codigo_actividad],H$4)*H$3</f>
        <v>13.568</v>
      </c>
      <c r="I13" s="233"/>
      <c r="J13" s="321">
        <f>+SUMIFS(Tabla1[Avance_km],Tabla1[Fecha],"&gt;="&amp;$A13,Tabla1[Fecha],"&lt;="&amp;EOMONTH($A13,0),Tabla1[Codigo_actividad],J$4, Tabla1[Avance_km],"&gt;0")*J$3</f>
        <v>10.538</v>
      </c>
      <c r="K13" s="44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21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21">
        <f>+SUMIFS(Tabla1[Avance_km],Tabla1[Fecha],"&gt;="&amp;$A14,Tabla1[Fecha],"&lt;="&amp;EOMONTH($A14,0),Tabla1[Codigo_actividad],H$4)*H$3</f>
        <v>10.033000000000001</v>
      </c>
      <c r="I14" s="233"/>
      <c r="J14" s="321">
        <f>+SUMIFS(Tabla1[Avance_km],Tabla1[Fecha],"&gt;="&amp;$A14,Tabla1[Fecha],"&lt;="&amp;EOMONTH($A14,0),Tabla1[Codigo_actividad],J$4, Tabla1[Avance_km],"&gt;0")*J$3</f>
        <v>12.395</v>
      </c>
      <c r="K14" s="44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21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21">
        <f>+SUMIFS(Tabla1[Avance_km],Tabla1[Fecha],"&gt;="&amp;$A15,Tabla1[Fecha],"&lt;="&amp;EOMONTH($A15,0),Tabla1[Codigo_actividad],H$4)*H$3</f>
        <v>10.719999999999999</v>
      </c>
      <c r="I15" s="233"/>
      <c r="J15" s="321">
        <f>+SUMIFS(Tabla1[Avance_km],Tabla1[Fecha],"&gt;="&amp;$A15,Tabla1[Fecha],"&lt;="&amp;EOMONTH($A15,0),Tabla1[Codigo_actividad],J$4, Tabla1[Avance_km],"&gt;0")*J$3</f>
        <v>0</v>
      </c>
      <c r="K15" s="44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21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21">
        <f>+SUMIFS(Tabla1[Avance_km],Tabla1[Fecha],"&gt;="&amp;$A16,Tabla1[Fecha],"&lt;="&amp;EOMONTH($A16,0),Tabla1[Codigo_actividad],H$4)*H$3</f>
        <v>14.6175</v>
      </c>
      <c r="I16" s="233"/>
      <c r="J16" s="321">
        <f>+SUMIFS(Tabla1[Avance_km],Tabla1[Fecha],"&gt;="&amp;$A16,Tabla1[Fecha],"&lt;="&amp;EOMONTH($A16,0),Tabla1[Codigo_actividad],J$4, Tabla1[Avance_km],"&gt;0")*J$3</f>
        <v>1.6244999999999994</v>
      </c>
      <c r="K16" s="443">
        <f>ROUND(SUMIFS(Tabla1[Avance_km],Tabla1[Fecha],"&gt;="&amp;$A16,Tabla1[Fecha],"&lt;="&amp;EOMONTH($A16,0),Tabla1[Codigo_actividad],K$4,Tabla1[Avance_km],"&gt;0"),3)*K$3</f>
        <v>43.176000000000002</v>
      </c>
      <c r="L16" s="233">
        <f>+SUMIFS(Tabla1[Avance_Med],Tabla1[Fecha],"&gt;="&amp;$A16,Tabla1[Fecha],"&lt;="&amp;EOMONTH($A16,0),Tabla1[Codigo_actividad],L$4)*L$3</f>
        <v>0</v>
      </c>
      <c r="M16" s="321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21">
        <f>+SUMIFS(Tabla1[Avance_km],Tabla1[Fecha],"&gt;="&amp;$A17,Tabla1[Fecha],"&lt;="&amp;EOMONTH($A17,0),Tabla1[Codigo_actividad],H$4)*H$3</f>
        <v>0</v>
      </c>
      <c r="I17" s="233"/>
      <c r="J17" s="321">
        <f>+SUMIFS(Tabla1[Avance_km],Tabla1[Fecha],"&gt;="&amp;$A17,Tabla1[Fecha],"&lt;="&amp;EOMONTH($A17,0),Tabla1[Codigo_actividad],J$4, Tabla1[Avance_km],"&gt;0")*J$3</f>
        <v>0</v>
      </c>
      <c r="K17" s="44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21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21">
        <f>+SUMIFS(Tabla1[Avance_km],Tabla1[Fecha],"&gt;="&amp;$A18,Tabla1[Fecha],"&lt;="&amp;EOMONTH($A18,0),Tabla1[Codigo_actividad],H$4)*H$3</f>
        <v>0</v>
      </c>
      <c r="I18" s="233"/>
      <c r="J18" s="321">
        <f>+SUMIFS(Tabla1[Avance_km],Tabla1[Fecha],"&gt;="&amp;$A18,Tabla1[Fecha],"&lt;="&amp;EOMONTH($A18,0),Tabla1[Codigo_actividad],J$4, Tabla1[Avance_km],"&gt;0")*J$3</f>
        <v>0</v>
      </c>
      <c r="K18" s="44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21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438</v>
      </c>
      <c r="B19" s="282">
        <f>SUM(B5:B18)</f>
        <v>0</v>
      </c>
      <c r="C19" s="282">
        <f t="shared" ref="C19:AM19" si="0">SUM(C5:C18)</f>
        <v>0</v>
      </c>
      <c r="D19" s="282">
        <f t="shared" si="0"/>
        <v>0</v>
      </c>
      <c r="E19" s="282">
        <f t="shared" si="0"/>
        <v>0</v>
      </c>
      <c r="F19" s="282">
        <f t="shared" si="0"/>
        <v>0</v>
      </c>
      <c r="G19" s="282">
        <f t="shared" si="0"/>
        <v>0</v>
      </c>
      <c r="H19" s="282">
        <f t="shared" si="0"/>
        <v>180.42550000000003</v>
      </c>
      <c r="I19" s="282">
        <f t="shared" si="0"/>
        <v>0</v>
      </c>
      <c r="J19" s="437">
        <f t="shared" si="0"/>
        <v>150.32450000000003</v>
      </c>
      <c r="K19" s="444">
        <f t="shared" si="0"/>
        <v>97.248000000000005</v>
      </c>
      <c r="L19" s="282">
        <f t="shared" si="0"/>
        <v>396</v>
      </c>
      <c r="M19" s="282">
        <f t="shared" si="0"/>
        <v>181.88550000000001</v>
      </c>
      <c r="N19" s="282">
        <f t="shared" si="0"/>
        <v>0</v>
      </c>
      <c r="O19" s="282">
        <f t="shared" si="0"/>
        <v>0</v>
      </c>
      <c r="P19" s="282">
        <f t="shared" si="0"/>
        <v>0</v>
      </c>
      <c r="Q19" s="282">
        <f t="shared" si="0"/>
        <v>14</v>
      </c>
      <c r="R19" s="282">
        <f t="shared" si="0"/>
        <v>15</v>
      </c>
      <c r="S19" s="282">
        <f t="shared" si="0"/>
        <v>15</v>
      </c>
      <c r="T19" s="282">
        <f t="shared" si="0"/>
        <v>15</v>
      </c>
      <c r="U19" s="282">
        <f t="shared" si="0"/>
        <v>2</v>
      </c>
      <c r="V19" s="282">
        <f t="shared" si="0"/>
        <v>15</v>
      </c>
      <c r="W19" s="282">
        <f t="shared" si="0"/>
        <v>2</v>
      </c>
      <c r="X19" s="282">
        <f t="shared" si="0"/>
        <v>3</v>
      </c>
      <c r="Y19" s="282">
        <f t="shared" si="0"/>
        <v>14</v>
      </c>
      <c r="Z19" s="282">
        <f t="shared" si="0"/>
        <v>14</v>
      </c>
      <c r="AA19" s="282">
        <f t="shared" si="0"/>
        <v>0</v>
      </c>
      <c r="AB19" s="282">
        <f t="shared" si="0"/>
        <v>0</v>
      </c>
      <c r="AC19" s="282">
        <f t="shared" si="0"/>
        <v>0</v>
      </c>
      <c r="AD19" s="282">
        <f t="shared" si="0"/>
        <v>0</v>
      </c>
      <c r="AE19" s="282">
        <f t="shared" si="0"/>
        <v>0</v>
      </c>
      <c r="AF19" s="282">
        <f t="shared" si="0"/>
        <v>0</v>
      </c>
      <c r="AG19" s="282">
        <f t="shared" si="0"/>
        <v>0</v>
      </c>
      <c r="AH19" s="282">
        <f t="shared" si="0"/>
        <v>0</v>
      </c>
      <c r="AI19" s="282">
        <f t="shared" si="0"/>
        <v>0</v>
      </c>
      <c r="AJ19" s="282">
        <f t="shared" si="0"/>
        <v>24</v>
      </c>
      <c r="AK19" s="282">
        <f t="shared" si="0"/>
        <v>24</v>
      </c>
      <c r="AL19" s="282">
        <f t="shared" si="0"/>
        <v>0</v>
      </c>
      <c r="AM19" s="282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09" t="s">
        <v>442</v>
      </c>
      <c r="B21" s="282">
        <f>+_xlfn.XLOOKUP(B4,Catalogo!$B:$B,Catalogo!$D:$D)</f>
        <v>105</v>
      </c>
      <c r="C21" s="282">
        <f>+_xlfn.XLOOKUP(C4,Catalogo!$B:$B,Catalogo!$D:$D)</f>
        <v>105</v>
      </c>
      <c r="D21" s="282">
        <f>+_xlfn.XLOOKUP(D4,Catalogo!$B:$B,Catalogo!$D:$D)</f>
        <v>105</v>
      </c>
      <c r="E21" s="282">
        <f>+_xlfn.XLOOKUP(E4,Catalogo!$B:$B,Catalogo!$D:$D)</f>
        <v>105</v>
      </c>
      <c r="F21" s="282">
        <f>+_xlfn.XLOOKUP(F4,Catalogo!$B:$B,Catalogo!$D:$D)</f>
        <v>105</v>
      </c>
      <c r="G21" s="282">
        <f>+_xlfn.XLOOKUP(G4,Catalogo!$B:$B,Catalogo!$D:$D)</f>
        <v>105</v>
      </c>
      <c r="H21" s="282">
        <v>200</v>
      </c>
      <c r="I21" s="282">
        <f>+_xlfn.XLOOKUP(I4,Catalogo!$B:$B,Catalogo!$D:$D)</f>
        <v>200</v>
      </c>
      <c r="J21" s="282">
        <v>200</v>
      </c>
      <c r="K21" s="282">
        <f>+_xlfn.XLOOKUP(K4,Catalogo!$B:$B,Catalogo!$D:$D)</f>
        <v>200</v>
      </c>
      <c r="L21" s="282">
        <f>+_xlfn.XLOOKUP(L4,Catalogo!$B:$B,Catalogo!$D:$D)</f>
        <v>500</v>
      </c>
      <c r="M21" s="282">
        <v>200</v>
      </c>
      <c r="N21" s="282">
        <f>+_xlfn.XLOOKUP(N4,Catalogo!$B:$B,Catalogo!$D:$D)</f>
        <v>105</v>
      </c>
      <c r="O21" s="282">
        <f>+_xlfn.XLOOKUP(O4,Catalogo!$B:$B,Catalogo!$D:$D)</f>
        <v>105</v>
      </c>
      <c r="P21" s="282">
        <f>+_xlfn.XLOOKUP(P4,Catalogo!$B:$B,Catalogo!$D:$D)</f>
        <v>105</v>
      </c>
      <c r="Q21" s="282">
        <f>+_xlfn.XLOOKUP(Q4,Catalogo!$B:$B,Catalogo!$D:$D)</f>
        <v>55</v>
      </c>
      <c r="R21" s="282">
        <f>+_xlfn.XLOOKUP(R4,Catalogo!$B:$B,Catalogo!$D:$D)</f>
        <v>55</v>
      </c>
      <c r="S21" s="282">
        <f>+_xlfn.XLOOKUP(S4,Catalogo!$B:$B,Catalogo!$D:$D)</f>
        <v>100</v>
      </c>
      <c r="T21" s="282">
        <f>+_xlfn.XLOOKUP(T4,Catalogo!$B:$B,Catalogo!$D:$D)</f>
        <v>100</v>
      </c>
      <c r="U21" s="282">
        <f>+_xlfn.XLOOKUP(U4,Catalogo!$B:$B,Catalogo!$D:$D)</f>
        <v>170</v>
      </c>
      <c r="V21" s="282">
        <f>+_xlfn.XLOOKUP(V4,Catalogo!$B:$B,Catalogo!$D:$D)</f>
        <v>170</v>
      </c>
      <c r="W21" s="282">
        <f>+_xlfn.XLOOKUP(W4,Catalogo!$B:$B,Catalogo!$D:$D)</f>
        <v>100</v>
      </c>
      <c r="X21" s="282">
        <f>+_xlfn.XLOOKUP(X4,Catalogo!$B:$B,Catalogo!$D:$D)</f>
        <v>100</v>
      </c>
      <c r="Y21" s="282">
        <f>+_xlfn.XLOOKUP(Y4,Catalogo!$B:$B,Catalogo!$D:$D)</f>
        <v>55</v>
      </c>
      <c r="Z21" s="282">
        <f>+_xlfn.XLOOKUP(Z4,Catalogo!$B:$B,Catalogo!$D:$D)</f>
        <v>55</v>
      </c>
      <c r="AA21" s="282">
        <f>+_xlfn.XLOOKUP(AA4,Catalogo!$B:$B,Catalogo!$D:$D)</f>
        <v>105</v>
      </c>
      <c r="AB21" s="282">
        <f>+_xlfn.XLOOKUP(AB4,Catalogo!$B:$B,Catalogo!$D:$D)</f>
        <v>105</v>
      </c>
      <c r="AC21" s="282">
        <f>+_xlfn.XLOOKUP(AC4,Catalogo!$B:$B,Catalogo!$D:$D)</f>
        <v>105</v>
      </c>
      <c r="AD21" s="282">
        <f>+_xlfn.XLOOKUP(AD4,Catalogo!$B:$B,Catalogo!$D:$D)</f>
        <v>105</v>
      </c>
      <c r="AE21" s="282">
        <f>+_xlfn.XLOOKUP(AE4,Catalogo!$B:$B,Catalogo!$D:$D)</f>
        <v>105</v>
      </c>
      <c r="AF21" s="282">
        <f>+_xlfn.XLOOKUP(AF4,Catalogo!$B:$B,Catalogo!$D:$D)</f>
        <v>105</v>
      </c>
      <c r="AG21" s="282">
        <f>+_xlfn.XLOOKUP(AG4,Catalogo!$B:$B,Catalogo!$D:$D)</f>
        <v>105</v>
      </c>
      <c r="AH21" s="282">
        <f>+_xlfn.XLOOKUP(AH4,Catalogo!$B:$B,Catalogo!$D:$D)</f>
        <v>105</v>
      </c>
      <c r="AI21" s="282">
        <f>+_xlfn.XLOOKUP(AI4,Catalogo!$B:$B,Catalogo!$D:$D)</f>
        <v>105</v>
      </c>
      <c r="AJ21" s="282">
        <f>+_xlfn.XLOOKUP(AJ4,Catalogo!$B:$B,Catalogo!$D:$D)</f>
        <v>100</v>
      </c>
      <c r="AK21" s="282">
        <f>+_xlfn.XLOOKUP(AK4,Catalogo!$B:$B,Catalogo!$D:$D)</f>
        <v>500</v>
      </c>
      <c r="AL21" s="282">
        <f>+_xlfn.XLOOKUP(AL4,Catalogo!$B:$B,Catalogo!$D:$D)</f>
        <v>800</v>
      </c>
      <c r="AM21" s="282">
        <f>+_xlfn.XLOOKUP(AM4,Catalogo!$B:$B,Catalogo!$D:$D)</f>
        <v>105</v>
      </c>
    </row>
    <row r="22" spans="1:49" s="1" customFormat="1" x14ac:dyDescent="0.25">
      <c r="A22" s="309" t="s">
        <v>443</v>
      </c>
      <c r="B22" s="306">
        <f>+B19/B21</f>
        <v>0</v>
      </c>
      <c r="C22" s="306">
        <f t="shared" ref="C22:P22" si="1">+C19/C21</f>
        <v>0</v>
      </c>
      <c r="D22" s="306">
        <f t="shared" si="1"/>
        <v>0</v>
      </c>
      <c r="E22" s="306">
        <f t="shared" si="1"/>
        <v>0</v>
      </c>
      <c r="F22" s="306">
        <f t="shared" si="1"/>
        <v>0</v>
      </c>
      <c r="G22" s="306">
        <f t="shared" si="1"/>
        <v>0</v>
      </c>
      <c r="H22" s="316">
        <f t="shared" si="1"/>
        <v>0.90212750000000019</v>
      </c>
      <c r="I22" s="318"/>
      <c r="J22" s="316">
        <f t="shared" si="1"/>
        <v>0.75162250000000019</v>
      </c>
      <c r="K22" s="316">
        <f t="shared" si="1"/>
        <v>0.48624000000000001</v>
      </c>
      <c r="L22" s="316">
        <f t="shared" si="1"/>
        <v>0.79200000000000004</v>
      </c>
      <c r="M22" s="316">
        <f t="shared" si="1"/>
        <v>0.90942750000000006</v>
      </c>
      <c r="N22" s="316">
        <f t="shared" si="1"/>
        <v>0</v>
      </c>
      <c r="O22" s="316">
        <f t="shared" si="1"/>
        <v>0</v>
      </c>
      <c r="P22" s="317">
        <f t="shared" si="1"/>
        <v>0</v>
      </c>
      <c r="Q22" s="307">
        <f t="shared" ref="Q22" si="2">+Q19/Q21</f>
        <v>0.25454545454545452</v>
      </c>
      <c r="R22" s="307">
        <f t="shared" ref="R22" si="3">+R19/R21</f>
        <v>0.27272727272727271</v>
      </c>
      <c r="S22" s="307">
        <f t="shared" ref="S22" si="4">+S19/S21</f>
        <v>0.15</v>
      </c>
      <c r="T22" s="307">
        <f t="shared" ref="T22" si="5">+T19/T21</f>
        <v>0.15</v>
      </c>
      <c r="U22" s="307">
        <f t="shared" ref="U22" si="6">+U19/U21</f>
        <v>1.1764705882352941E-2</v>
      </c>
      <c r="V22" s="307">
        <f t="shared" ref="V22" si="7">+V19/V21</f>
        <v>8.8235294117647065E-2</v>
      </c>
      <c r="W22" s="307">
        <f t="shared" ref="W22" si="8">+W19/W21</f>
        <v>0.02</v>
      </c>
      <c r="X22" s="307">
        <f t="shared" ref="X22" si="9">+X19/X21</f>
        <v>0.03</v>
      </c>
      <c r="Y22" s="307">
        <f t="shared" ref="Y22" si="10">+Y19/Y21</f>
        <v>0.25454545454545452</v>
      </c>
      <c r="Z22" s="307">
        <f t="shared" ref="Z22" si="11">+Z19/Z21</f>
        <v>0.25454545454545452</v>
      </c>
      <c r="AA22" s="307">
        <f t="shared" ref="AA22" si="12">+AA19/AA21</f>
        <v>0</v>
      </c>
      <c r="AB22" s="308">
        <f t="shared" ref="AB22" si="13">+AB19/AB21</f>
        <v>0</v>
      </c>
      <c r="AC22" s="308">
        <f t="shared" ref="AC22" si="14">+AC19/AC21</f>
        <v>0</v>
      </c>
      <c r="AD22" s="308">
        <f t="shared" ref="AD22" si="15">+AD19/AD21</f>
        <v>0</v>
      </c>
      <c r="AE22" s="308">
        <f t="shared" ref="AE22" si="16">+AE19/AE21</f>
        <v>0</v>
      </c>
      <c r="AF22" s="308">
        <f t="shared" ref="AF22" si="17">+AF19/AF21</f>
        <v>0</v>
      </c>
      <c r="AG22" s="308">
        <f t="shared" ref="AG22" si="18">+AG19/AG21</f>
        <v>0</v>
      </c>
      <c r="AH22" s="308">
        <f t="shared" ref="AH22" si="19">+AH19/AH21</f>
        <v>0</v>
      </c>
      <c r="AI22" s="308">
        <f t="shared" ref="AI22" si="20">+AI19/AI21</f>
        <v>0</v>
      </c>
      <c r="AJ22" s="308">
        <f t="shared" ref="AJ22" si="21">+AJ19/AJ21</f>
        <v>0.24</v>
      </c>
      <c r="AK22" s="308">
        <f t="shared" ref="AK22" si="22">+AK19/AK21</f>
        <v>4.8000000000000001E-2</v>
      </c>
      <c r="AL22" s="308">
        <f t="shared" ref="AL22" si="23">+AL19/AL21</f>
        <v>0</v>
      </c>
      <c r="AM22" s="308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45" t="s">
        <v>398</v>
      </c>
      <c r="C25" s="545"/>
      <c r="D25" s="327">
        <v>100</v>
      </c>
      <c r="E25" s="311" t="str">
        <f>REPT("█",ROUND(D25/5,0))&amp;REPT("░",20-ROUND(D25/5,0))&amp;" "&amp;ROUND(D25,0)&amp;"%"</f>
        <v>████████████████████ 100%</v>
      </c>
      <c r="M25" s="329">
        <v>11</v>
      </c>
      <c r="N25" s="1" t="s">
        <v>118</v>
      </c>
      <c r="P25" s="47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45" t="s">
        <v>439</v>
      </c>
      <c r="C26" s="545"/>
      <c r="D26" s="327">
        <f>+AVERAGE(H22:O22)*100</f>
        <v>54.877392857142873</v>
      </c>
      <c r="E26" s="312" t="str">
        <f>REPT("█",ROUND(D26/5,0))&amp;REPT("░",20-ROUND(D26/5,0))&amp;" "&amp;ROUND(D26,0)&amp;"%"</f>
        <v>███████████░░░░░░░░░ 55%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45" t="s">
        <v>440</v>
      </c>
      <c r="C27" s="545"/>
      <c r="D27" s="327">
        <f>+AVERAGE(P22:AA22)*100</f>
        <v>12.386363636363635</v>
      </c>
      <c r="E27" s="326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45" t="s">
        <v>441</v>
      </c>
      <c r="C28" s="545"/>
      <c r="D28" s="327">
        <f>+AVERAGE(AB22:AM22)*100</f>
        <v>2.4</v>
      </c>
      <c r="E28" s="325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12"/>
      <c r="E30" s="328" t="s">
        <v>446</v>
      </c>
      <c r="F30"/>
      <c r="G30"/>
      <c r="H30"/>
      <c r="I30"/>
    </row>
    <row r="31" spans="1:49" ht="16.5" x14ac:dyDescent="0.25">
      <c r="A31"/>
      <c r="B31"/>
      <c r="C31"/>
      <c r="D31"/>
      <c r="E31" s="328" t="s">
        <v>605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10" t="s">
        <v>398</v>
      </c>
      <c r="C3" s="323">
        <v>100</v>
      </c>
      <c r="D3" s="311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10" t="s">
        <v>439</v>
      </c>
      <c r="C4" s="324">
        <f>+AVERAGE('EV (3)'!H22:O22)*100</f>
        <v>54.877392857142873</v>
      </c>
      <c r="D4" s="312" t="str">
        <f>REPT("█",ROUND(C4/5,0))&amp;REPT("░",20-ROUND(C4/5,0))&amp;" "&amp;ROUND(C4,0)&amp;"%"</f>
        <v>███████████░░░░░░░░░ 55%</v>
      </c>
    </row>
    <row r="5" spans="2:4" ht="26.25" x14ac:dyDescent="0.35">
      <c r="B5" s="310" t="s">
        <v>440</v>
      </c>
      <c r="C5" s="324">
        <f>+AVERAGE('EV (3)'!P22:AA22)*100</f>
        <v>12.386363636363635</v>
      </c>
      <c r="D5" s="313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10" t="s">
        <v>441</v>
      </c>
      <c r="C6" s="324">
        <f>IFERROR(AVERAGE('EV (3)'!AB22:AM22)*100,0)</f>
        <v>2.4</v>
      </c>
      <c r="D6" s="314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15" t="s">
        <v>446</v>
      </c>
    </row>
    <row r="9" spans="2:4" ht="16.5" x14ac:dyDescent="0.3">
      <c r="B9" s="104"/>
      <c r="C9" s="104"/>
      <c r="D9" s="315" t="s">
        <v>444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489" customFormat="1" ht="14.25" customHeight="1" x14ac:dyDescent="0.25">
      <c r="A1" s="488"/>
      <c r="B1" s="488"/>
      <c r="C1" s="488"/>
      <c r="D1" s="488"/>
      <c r="E1" s="488"/>
      <c r="F1" s="488" t="s">
        <v>13</v>
      </c>
      <c r="G1" s="488" t="s">
        <v>22</v>
      </c>
      <c r="H1" s="488" t="s">
        <v>329</v>
      </c>
      <c r="I1" s="488" t="s">
        <v>404</v>
      </c>
      <c r="J1" s="488" t="s">
        <v>528</v>
      </c>
      <c r="K1" s="488" t="s">
        <v>553</v>
      </c>
      <c r="L1" s="488" t="s">
        <v>265</v>
      </c>
      <c r="M1" s="48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637</v>
      </c>
      <c r="K2" s="1" t="s">
        <v>380</v>
      </c>
      <c r="L2" s="1" t="s">
        <v>272</v>
      </c>
      <c r="M2" s="1" t="s">
        <v>273</v>
      </c>
    </row>
    <row r="3" spans="1:18" x14ac:dyDescent="0.25">
      <c r="A3" s="506">
        <v>1.1000000000000001</v>
      </c>
      <c r="B3" s="494" t="s">
        <v>276</v>
      </c>
      <c r="C3" s="504">
        <f>+_xlfn.XLOOKUP(A3,Catalogo!$B:$B,Catalogo!D:D)</f>
        <v>105</v>
      </c>
      <c r="D3" s="522">
        <f>_xlfn.XLOOKUP(A3,Catalogo!B6:B69,Catalogo!F6:F69)</f>
        <v>2532.81</v>
      </c>
      <c r="E3" s="50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00" t="str">
        <f>IF(SUM(F3:M3)=0,"",SUM(F3:M3))</f>
        <v/>
      </c>
      <c r="O3" s="498" t="str">
        <f>IF(N3&lt;&gt;"",_xlfn.XLOOKUP(A3,Catalogo!B6:B69,Catalogo!F6:F69)*N3,"")</f>
        <v/>
      </c>
      <c r="P3" s="515" t="str">
        <f>IFERROR($N3/$C3,"")</f>
        <v/>
      </c>
      <c r="Q3" s="516" t="str">
        <f>IFERROR(1-P3,"")</f>
        <v/>
      </c>
      <c r="R3" s="517"/>
    </row>
    <row r="4" spans="1:18" x14ac:dyDescent="0.25">
      <c r="A4" s="506">
        <v>1.2</v>
      </c>
      <c r="B4" s="494" t="s">
        <v>278</v>
      </c>
      <c r="C4" s="504">
        <f>+_xlfn.XLOOKUP(A4,Catalogo!$B:$B,Catalogo!D:D)</f>
        <v>105</v>
      </c>
      <c r="D4" s="522">
        <f>_xlfn.XLOOKUP(A4,Catalogo!B7:B70,Catalogo!F7:F70)</f>
        <v>3250.01</v>
      </c>
      <c r="E4" s="50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00" t="str">
        <f t="shared" ref="N4:N40" si="0">IF(SUM(F4:M4)=0,"",SUM(F4:M4))</f>
        <v/>
      </c>
      <c r="O4" s="498" t="str">
        <f>IF(N4&lt;&gt;"",_xlfn.XLOOKUP(A4,Catalogo!B7:B70,Catalogo!F7:F70)*N4,"")</f>
        <v/>
      </c>
      <c r="P4" s="515" t="str">
        <f t="shared" ref="P4:P40" si="1">IFERROR($N4/$C4,"")</f>
        <v/>
      </c>
      <c r="Q4" s="516" t="str">
        <f t="shared" ref="Q4:Q40" si="2">IFERROR(1-P4,"")</f>
        <v/>
      </c>
      <c r="R4" s="517"/>
    </row>
    <row r="5" spans="1:18" x14ac:dyDescent="0.25">
      <c r="A5" s="506">
        <v>1.3</v>
      </c>
      <c r="B5" s="494" t="s">
        <v>280</v>
      </c>
      <c r="C5" s="504">
        <f>+_xlfn.XLOOKUP(A5,Catalogo!$B:$B,Catalogo!D:D)</f>
        <v>105</v>
      </c>
      <c r="D5" s="522">
        <f>_xlfn.XLOOKUP(A5,Catalogo!B8:B71,Catalogo!F8:F71)</f>
        <v>985.32</v>
      </c>
      <c r="E5" s="50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00" t="str">
        <f t="shared" si="0"/>
        <v/>
      </c>
      <c r="O5" s="498" t="str">
        <f>IF(N5&lt;&gt;"",_xlfn.XLOOKUP(A5,Catalogo!B8:B71,Catalogo!F8:F71)*N5,"")</f>
        <v/>
      </c>
      <c r="P5" s="515" t="str">
        <f t="shared" si="1"/>
        <v/>
      </c>
      <c r="Q5" s="516" t="str">
        <f t="shared" si="2"/>
        <v/>
      </c>
      <c r="R5" s="517"/>
    </row>
    <row r="6" spans="1:18" x14ac:dyDescent="0.25">
      <c r="A6" s="506">
        <v>1.4</v>
      </c>
      <c r="B6" s="494" t="s">
        <v>282</v>
      </c>
      <c r="C6" s="504">
        <f>+_xlfn.XLOOKUP(A6,Catalogo!$B:$B,Catalogo!D:D)</f>
        <v>105</v>
      </c>
      <c r="D6" s="522">
        <f>_xlfn.XLOOKUP(A6,Catalogo!B9:B72,Catalogo!F9:F72)</f>
        <v>1062.92</v>
      </c>
      <c r="E6" s="50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00" t="str">
        <f t="shared" si="0"/>
        <v/>
      </c>
      <c r="O6" s="498" t="str">
        <f>IF(N6&lt;&gt;"",_xlfn.XLOOKUP(A6,Catalogo!B9:B72,Catalogo!F9:F72)*N6,"")</f>
        <v/>
      </c>
      <c r="P6" s="515" t="str">
        <f t="shared" si="1"/>
        <v/>
      </c>
      <c r="Q6" s="516" t="str">
        <f t="shared" si="2"/>
        <v/>
      </c>
      <c r="R6" s="517"/>
    </row>
    <row r="7" spans="1:18" x14ac:dyDescent="0.25">
      <c r="A7" s="506">
        <v>1.5</v>
      </c>
      <c r="B7" s="494" t="s">
        <v>284</v>
      </c>
      <c r="C7" s="504">
        <f>+_xlfn.XLOOKUP(A7,Catalogo!$B:$B,Catalogo!D:D)</f>
        <v>105</v>
      </c>
      <c r="D7" s="522">
        <f>_xlfn.XLOOKUP(A7,Catalogo!B10:B73,Catalogo!F10:F73)</f>
        <v>1337.25</v>
      </c>
      <c r="E7" s="50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00" t="str">
        <f t="shared" si="0"/>
        <v/>
      </c>
      <c r="O7" s="498" t="str">
        <f>IF(N7&lt;&gt;"",_xlfn.XLOOKUP(A7,Catalogo!B10:B73,Catalogo!F10:F73)*N7,"")</f>
        <v/>
      </c>
      <c r="P7" s="515" t="str">
        <f t="shared" si="1"/>
        <v/>
      </c>
      <c r="Q7" s="516" t="str">
        <f t="shared" si="2"/>
        <v/>
      </c>
      <c r="R7" s="517"/>
    </row>
    <row r="8" spans="1:18" x14ac:dyDescent="0.25">
      <c r="A8" s="506">
        <v>1.6</v>
      </c>
      <c r="B8" s="494" t="s">
        <v>286</v>
      </c>
      <c r="C8" s="504">
        <f>+_xlfn.XLOOKUP(A8,Catalogo!$B:$B,Catalogo!D:D)</f>
        <v>105</v>
      </c>
      <c r="D8" s="522">
        <f>_xlfn.XLOOKUP(A8,Catalogo!B11:B74,Catalogo!F11:F74)</f>
        <v>1581.21</v>
      </c>
      <c r="E8" s="50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00" t="str">
        <f t="shared" si="0"/>
        <v/>
      </c>
      <c r="O8" s="498" t="str">
        <f>IF(N8&lt;&gt;"",_xlfn.XLOOKUP(A8,Catalogo!B11:B74,Catalogo!F11:F74)*N8,"")</f>
        <v/>
      </c>
      <c r="P8" s="515" t="str">
        <f t="shared" si="1"/>
        <v/>
      </c>
      <c r="Q8" s="516" t="str">
        <f t="shared" si="2"/>
        <v/>
      </c>
      <c r="R8" s="517"/>
    </row>
    <row r="9" spans="1:18" x14ac:dyDescent="0.25">
      <c r="A9" s="507">
        <v>2.1</v>
      </c>
      <c r="B9" s="495" t="s">
        <v>79</v>
      </c>
      <c r="C9" s="504">
        <f>+_xlfn.XLOOKUP(A9,Catalogo!$B:$B,Catalogo!D:D)</f>
        <v>200</v>
      </c>
      <c r="D9" s="522">
        <f>_xlfn.XLOOKUP(A9,Catalogo!B12:B75,Catalogo!F12:F75)</f>
        <v>14521.41</v>
      </c>
      <c r="E9" s="50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01">
        <f t="shared" si="0"/>
        <v>180.42550000000003</v>
      </c>
      <c r="O9" s="498">
        <f>IF(N9&lt;&gt;"",_xlfn.XLOOKUP(A9,Catalogo!B12:B75,Catalogo!F12:F75)*N9,"")</f>
        <v>2620032.6599550005</v>
      </c>
      <c r="P9" s="515">
        <f t="shared" si="1"/>
        <v>0.90212750000000019</v>
      </c>
      <c r="Q9" s="516">
        <f t="shared" si="2"/>
        <v>9.7872499999999807E-2</v>
      </c>
      <c r="R9" s="525">
        <f>+Q9*C9</f>
        <v>19.574499999999961</v>
      </c>
    </row>
    <row r="10" spans="1:18" x14ac:dyDescent="0.25">
      <c r="A10" s="507">
        <v>2.2000000000000002</v>
      </c>
      <c r="B10" s="495" t="s">
        <v>82</v>
      </c>
      <c r="C10" s="504">
        <f>+_xlfn.XLOOKUP(A10,Catalogo!$B:$B,Catalogo!D:D)</f>
        <v>200</v>
      </c>
      <c r="D10" s="522">
        <f>_xlfn.XLOOKUP(A10,Catalogo!B13:B76,Catalogo!F13:F76)</f>
        <v>13555.63</v>
      </c>
      <c r="E10" s="504" t="s">
        <v>108</v>
      </c>
      <c r="F10" s="142">
        <f>+SUMIFS(Tabla1[Avance_km],Tabla1[nombre_actividad],'EV (4)'!$B10,Tabla1[Sistema],'EV (4)'!F$1)</f>
        <v>0</v>
      </c>
      <c r="G10" s="493">
        <f>+SUMIFS(Tabla1[Avance_km],Tabla1[nombre_actividad],'EV (4)'!$B10,Tabla1[Sistema],'EV (4)'!G$1)</f>
        <v>0</v>
      </c>
      <c r="H10" s="493">
        <f>+SUMIFS(Tabla1[Avance_km],Tabla1[nombre_actividad],'EV (4)'!$B10,Tabla1[Sistema],'EV (4)'!H$1)</f>
        <v>0</v>
      </c>
      <c r="I10" s="493">
        <f>+SUMIFS(Tabla1[Avance_km],Tabla1[nombre_actividad],'EV (4)'!$B10,Tabla1[Sistema],'EV (4)'!I$1)</f>
        <v>0</v>
      </c>
      <c r="J10" s="493">
        <f>+SUMIFS(Tabla1[Avance_km],Tabla1[nombre_actividad],'EV (4)'!$B10,Tabla1[Sistema],'EV (4)'!J$1)</f>
        <v>0</v>
      </c>
      <c r="K10" s="493">
        <f>+SUMIFS(Tabla1[Avance_km],Tabla1[nombre_actividad],'EV (4)'!$B10,Tabla1[Sistema],'EV (4)'!K$1)</f>
        <v>0</v>
      </c>
      <c r="L10" s="493">
        <f>+SUMIFS(Tabla1[Avance_km],Tabla1[nombre_actividad],'EV (4)'!$B10,Tabla1[Sistema],'EV (4)'!L$1)</f>
        <v>0</v>
      </c>
      <c r="M10" s="493">
        <f>+SUMIFS(Tabla1[Avance_km],Tabla1[nombre_actividad],'EV (4)'!$B10,Tabla1[Sistema],'EV (4)'!M$1)</f>
        <v>0</v>
      </c>
      <c r="N10" s="500" t="str">
        <f t="shared" si="0"/>
        <v/>
      </c>
      <c r="O10" s="498" t="str">
        <f>IF(N10&lt;&gt;"",_xlfn.XLOOKUP(A10,Catalogo!B13:B76,Catalogo!F13:F76)*N10,"")</f>
        <v/>
      </c>
      <c r="P10" s="515" t="str">
        <f t="shared" si="1"/>
        <v/>
      </c>
      <c r="Q10" s="516" t="str">
        <f t="shared" si="2"/>
        <v/>
      </c>
      <c r="R10" s="517"/>
    </row>
    <row r="11" spans="1:18" x14ac:dyDescent="0.25">
      <c r="A11" s="507">
        <v>2.2999999999999998</v>
      </c>
      <c r="B11" s="495" t="s">
        <v>80</v>
      </c>
      <c r="C11" s="504">
        <f>+_xlfn.XLOOKUP(A11,Catalogo!$B:$B,Catalogo!D:D)</f>
        <v>200</v>
      </c>
      <c r="D11" s="522">
        <f>_xlfn.XLOOKUP(A11,Catalogo!B14:B77,Catalogo!F14:F77)</f>
        <v>13555.63</v>
      </c>
      <c r="E11" s="50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01">
        <f t="shared" si="0"/>
        <v>150.32450000000006</v>
      </c>
      <c r="O11" s="498">
        <f>IF(N11&lt;&gt;"",_xlfn.XLOOKUP(A11,Catalogo!B14:B77,Catalogo!F14:F77)*N11,"")</f>
        <v>2037743.3019350006</v>
      </c>
      <c r="P11" s="515">
        <f t="shared" si="1"/>
        <v>0.7516225000000003</v>
      </c>
      <c r="Q11" s="516">
        <f t="shared" si="2"/>
        <v>0.2483774999999997</v>
      </c>
      <c r="R11" s="525">
        <f>+Q11*C11</f>
        <v>49.675499999999943</v>
      </c>
    </row>
    <row r="12" spans="1:18" x14ac:dyDescent="0.25">
      <c r="A12" s="507">
        <v>2.4</v>
      </c>
      <c r="B12" s="495" t="s">
        <v>83</v>
      </c>
      <c r="C12" s="504">
        <f>+_xlfn.XLOOKUP(A12,Catalogo!$B:$B,Catalogo!D:D)</f>
        <v>200</v>
      </c>
      <c r="D12" s="522">
        <f>_xlfn.XLOOKUP(A12,Catalogo!B15:B78,Catalogo!F15:F78)</f>
        <v>13696.28</v>
      </c>
      <c r="E12" s="504" t="s">
        <v>108</v>
      </c>
      <c r="F12" s="491">
        <f>+SUMIFS(Tabla1[Avance_km],Tabla1[nombre_actividad],'EV (4)'!$B12,Tabla1[Sistema],'EV (4)'!F$1)</f>
        <v>23.351051526399864</v>
      </c>
      <c r="G12" s="492">
        <f>+SUMIFS(Tabla1[Avance_km],Tabla1[nombre_actividad],'EV (4)'!$B12,Tabla1[Sistema],'EV (4)'!G$1)</f>
        <v>20.720286092281988</v>
      </c>
      <c r="H12" s="492">
        <f>+SUMIFS(Tabla1[Avance_km],Tabla1[nombre_actividad],'EV (4)'!$B12,Tabla1[Sistema],'EV (4)'!H$1)</f>
        <v>14.957218310373324</v>
      </c>
      <c r="I12" s="492">
        <f>+SUMIFS(Tabla1[Avance_km],Tabla1[nombre_actividad],'EV (4)'!$B12,Tabla1[Sistema],'EV (4)'!I$1)</f>
        <v>9.5038776952573976</v>
      </c>
      <c r="J12" s="492">
        <f>+SUMIFS(Tabla1[Avance_km],Tabla1[nombre_actividad],'EV (4)'!$B12,Tabla1[Sistema],'EV (4)'!J$1)</f>
        <v>27.039857537959207</v>
      </c>
      <c r="K12" s="492">
        <f>+SUMIFS(Tabla1[Avance_km],Tabla1[nombre_actividad],'EV (4)'!$B12,Tabla1[Sistema],'EV (4)'!K$1)</f>
        <v>1.676084309024056</v>
      </c>
      <c r="L12" s="493">
        <f>+SUMIFS(Tabla1[Avance_km],Tabla1[nombre_actividad],'EV (4)'!$B12,Tabla1[Sistema],'EV (4)'!L$1)</f>
        <v>0</v>
      </c>
      <c r="M12" s="493">
        <f>+SUMIFS(Tabla1[Avance_km],Tabla1[nombre_actividad],'EV (4)'!$B12,Tabla1[Sistema],'EV (4)'!M$1)</f>
        <v>0</v>
      </c>
      <c r="N12" s="501">
        <f t="shared" si="0"/>
        <v>97.248375471295844</v>
      </c>
      <c r="O12" s="498">
        <f>IF(N12&lt;&gt;"",_xlfn.XLOOKUP(A12,Catalogo!B15:B78,Catalogo!F15:F78)*N12,"")</f>
        <v>1331940.98</v>
      </c>
      <c r="P12" s="515">
        <f t="shared" si="1"/>
        <v>0.48624187735647922</v>
      </c>
      <c r="Q12" s="516">
        <f t="shared" si="2"/>
        <v>0.51375812264352083</v>
      </c>
      <c r="R12" s="525"/>
    </row>
    <row r="13" spans="1:18" x14ac:dyDescent="0.25">
      <c r="A13" s="508">
        <v>2.5</v>
      </c>
      <c r="B13" s="495" t="s">
        <v>81</v>
      </c>
      <c r="C13" s="504">
        <f>+_xlfn.XLOOKUP(A13,Catalogo!$B:$B,Catalogo!D:D)</f>
        <v>500</v>
      </c>
      <c r="D13" s="522">
        <f>_xlfn.XLOOKUP(A13,Catalogo!B16:B79,Catalogo!F16:F79)</f>
        <v>4658</v>
      </c>
      <c r="E13" s="50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00">
        <f t="shared" si="0"/>
        <v>396</v>
      </c>
      <c r="O13" s="498">
        <f>IF(N13&lt;&gt;"",_xlfn.XLOOKUP(A13,Catalogo!B16:B79,Catalogo!F16:F79)*N13,"")</f>
        <v>1844568</v>
      </c>
      <c r="P13" s="515">
        <f t="shared" si="1"/>
        <v>0.79200000000000004</v>
      </c>
      <c r="Q13" s="516">
        <f t="shared" si="2"/>
        <v>0.20799999999999996</v>
      </c>
      <c r="R13" s="517"/>
    </row>
    <row r="14" spans="1:18" x14ac:dyDescent="0.25">
      <c r="A14" s="507">
        <v>2.6</v>
      </c>
      <c r="B14" s="495" t="s">
        <v>78</v>
      </c>
      <c r="C14" s="504">
        <f>+_xlfn.XLOOKUP(A14,Catalogo!$B:$B,Catalogo!D:D)</f>
        <v>200</v>
      </c>
      <c r="D14" s="522">
        <f>_xlfn.XLOOKUP(A14,Catalogo!B17:B80,Catalogo!F17:F80)</f>
        <v>2257.42</v>
      </c>
      <c r="E14" s="50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01">
        <f t="shared" si="0"/>
        <v>181.88550000000004</v>
      </c>
      <c r="O14" s="498">
        <f>IF(N14&lt;&gt;"",_xlfn.XLOOKUP(A14,Catalogo!B17:B80,Catalogo!F17:F80)*N14,"")</f>
        <v>410591.96541000012</v>
      </c>
      <c r="P14" s="515">
        <f t="shared" si="1"/>
        <v>0.90942750000000017</v>
      </c>
      <c r="Q14" s="516">
        <f t="shared" si="2"/>
        <v>9.0572499999999834E-2</v>
      </c>
      <c r="R14" s="525">
        <f>+Q14*C14</f>
        <v>18.114499999999968</v>
      </c>
    </row>
    <row r="15" spans="1:18" x14ac:dyDescent="0.25">
      <c r="A15" s="507">
        <v>2.7</v>
      </c>
      <c r="B15" s="495" t="s">
        <v>294</v>
      </c>
      <c r="C15" s="504">
        <f>+_xlfn.XLOOKUP(A15,Catalogo!$B:$B,Catalogo!D:D)</f>
        <v>105</v>
      </c>
      <c r="D15" s="522">
        <f>_xlfn.XLOOKUP(A15,Catalogo!B18:B81,Catalogo!F18:F81)</f>
        <v>3540.12</v>
      </c>
      <c r="E15" s="504" t="s">
        <v>97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490">
        <f>+SUMIFS(Tabla1[Avance_Med],Tabla1[nombre_actividad],'EV (4)'!$B15,Tabla1[Sistema],'EV (4)'!L$1)</f>
        <v>0</v>
      </c>
      <c r="M15" s="490">
        <f>+SUMIFS(Tabla1[Avance_Med],Tabla1[nombre_actividad],'EV (4)'!$B15,Tabla1[Sistema],'EV (4)'!M$1)</f>
        <v>0</v>
      </c>
      <c r="N15" s="500" t="str">
        <f t="shared" si="0"/>
        <v/>
      </c>
      <c r="O15" s="498" t="str">
        <f>IF(N15&lt;&gt;"",_xlfn.XLOOKUP(A15,Catalogo!B18:B81,Catalogo!F18:F81)*N15,"")</f>
        <v/>
      </c>
      <c r="P15" s="515" t="str">
        <f t="shared" si="1"/>
        <v/>
      </c>
      <c r="Q15" s="516" t="str">
        <f t="shared" si="2"/>
        <v/>
      </c>
      <c r="R15" s="517"/>
    </row>
    <row r="16" spans="1:18" x14ac:dyDescent="0.25">
      <c r="A16" s="507">
        <v>2.8</v>
      </c>
      <c r="B16" s="495" t="s">
        <v>296</v>
      </c>
      <c r="C16" s="504">
        <f>+_xlfn.XLOOKUP(A16,Catalogo!$B:$B,Catalogo!D:D)</f>
        <v>105</v>
      </c>
      <c r="D16" s="522">
        <f>_xlfn.XLOOKUP(A16,Catalogo!B19:B82,Catalogo!F19:F82)</f>
        <v>2646.28</v>
      </c>
      <c r="E16" s="504" t="s">
        <v>97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490">
        <f>+SUMIFS(Tabla1[Avance_Med],Tabla1[nombre_actividad],'EV (4)'!$B16,Tabla1[Sistema],'EV (4)'!L$1)</f>
        <v>0</v>
      </c>
      <c r="M16" s="490">
        <f>+SUMIFS(Tabla1[Avance_Med],Tabla1[nombre_actividad],'EV (4)'!$B16,Tabla1[Sistema],'EV (4)'!M$1)</f>
        <v>0</v>
      </c>
      <c r="N16" s="500" t="str">
        <f t="shared" si="0"/>
        <v/>
      </c>
      <c r="O16" s="498" t="str">
        <f>IF(N16&lt;&gt;"",_xlfn.XLOOKUP(A16,Catalogo!B19:B82,Catalogo!F19:F82)*N16,"")</f>
        <v/>
      </c>
      <c r="P16" s="515" t="str">
        <f t="shared" si="1"/>
        <v/>
      </c>
      <c r="Q16" s="516" t="str">
        <f t="shared" si="2"/>
        <v/>
      </c>
      <c r="R16" s="517"/>
    </row>
    <row r="17" spans="1:18" x14ac:dyDescent="0.25">
      <c r="A17" s="509">
        <v>3.1</v>
      </c>
      <c r="B17" s="496" t="s">
        <v>298</v>
      </c>
      <c r="C17" s="504">
        <f>+_xlfn.XLOOKUP(A17,Catalogo!$B:$B,Catalogo!D:D)</f>
        <v>105</v>
      </c>
      <c r="D17" s="522">
        <f>_xlfn.XLOOKUP(A17,Catalogo!B20:B83,Catalogo!F20:F83)</f>
        <v>1970.65</v>
      </c>
      <c r="E17" s="504" t="s">
        <v>118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490">
        <f>+SUMIFS(Tabla1[Avance_Med],Tabla1[nombre_actividad],'EV (4)'!$B17,Tabla1[Sistema],'EV (4)'!L$1)</f>
        <v>0</v>
      </c>
      <c r="M17" s="490">
        <f>+SUMIFS(Tabla1[Avance_Med],Tabla1[nombre_actividad],'EV (4)'!$B17,Tabla1[Sistema],'EV (4)'!M$1)</f>
        <v>0</v>
      </c>
      <c r="N17" s="500" t="str">
        <f t="shared" si="0"/>
        <v/>
      </c>
      <c r="O17" s="498" t="str">
        <f>IF(N17&lt;&gt;"",_xlfn.XLOOKUP(A17,Catalogo!B20:B83,Catalogo!F20:F83)*N17,"")</f>
        <v/>
      </c>
      <c r="P17" s="515" t="str">
        <f t="shared" si="1"/>
        <v/>
      </c>
      <c r="Q17" s="516" t="str">
        <f t="shared" si="2"/>
        <v/>
      </c>
      <c r="R17" s="517"/>
    </row>
    <row r="18" spans="1:18" x14ac:dyDescent="0.25">
      <c r="A18" s="509">
        <v>3.2</v>
      </c>
      <c r="B18" s="496" t="s">
        <v>407</v>
      </c>
      <c r="C18" s="504">
        <f>+_xlfn.XLOOKUP(A18,Catalogo!$B:$B,Catalogo!D:D)</f>
        <v>55</v>
      </c>
      <c r="D18" s="522">
        <f>_xlfn.XLOOKUP(A18,Catalogo!B21:B84,Catalogo!F21:F84)</f>
        <v>7585.99</v>
      </c>
      <c r="E18" s="50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00">
        <f t="shared" si="0"/>
        <v>14</v>
      </c>
      <c r="O18" s="498">
        <f>IF(N18&lt;&gt;"",_xlfn.XLOOKUP(A18,Catalogo!B21:B84,Catalogo!F21:F84)*N18,"")</f>
        <v>106203.86</v>
      </c>
      <c r="P18" s="515">
        <f t="shared" si="1"/>
        <v>0.25454545454545452</v>
      </c>
      <c r="Q18" s="516">
        <f t="shared" si="2"/>
        <v>0.74545454545454548</v>
      </c>
      <c r="R18" s="517"/>
    </row>
    <row r="19" spans="1:18" x14ac:dyDescent="0.25">
      <c r="A19" s="509" t="s">
        <v>122</v>
      </c>
      <c r="B19" s="496" t="s">
        <v>408</v>
      </c>
      <c r="C19" s="504">
        <f>+_xlfn.XLOOKUP(A19,Catalogo!$B:$B,Catalogo!D:D)</f>
        <v>55</v>
      </c>
      <c r="D19" s="522">
        <f>_xlfn.XLOOKUP(A19,Catalogo!B22:B85,Catalogo!F22:F85)</f>
        <v>1765.59</v>
      </c>
      <c r="E19" s="50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00">
        <f t="shared" si="0"/>
        <v>15</v>
      </c>
      <c r="O19" s="498">
        <f>IF(N19&lt;&gt;"",_xlfn.XLOOKUP(A19,Catalogo!B22:B85,Catalogo!F22:F85)*N19,"")</f>
        <v>26483.85</v>
      </c>
      <c r="P19" s="515">
        <f t="shared" si="1"/>
        <v>0.27272727272727271</v>
      </c>
      <c r="Q19" s="516">
        <f t="shared" si="2"/>
        <v>0.72727272727272729</v>
      </c>
      <c r="R19" s="517"/>
    </row>
    <row r="20" spans="1:18" x14ac:dyDescent="0.25">
      <c r="A20" s="509" t="s">
        <v>124</v>
      </c>
      <c r="B20" s="496" t="s">
        <v>415</v>
      </c>
      <c r="C20" s="505">
        <f>+_xlfn.XLOOKUP(A20,Catalogo!$B:$B,Catalogo!D:D)</f>
        <v>100</v>
      </c>
      <c r="D20" s="523">
        <f>_xlfn.XLOOKUP(A20,Catalogo!B23:B86,Catalogo!F23:F86)</f>
        <v>1934.59</v>
      </c>
      <c r="E20" s="50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00">
        <f t="shared" si="0"/>
        <v>15</v>
      </c>
      <c r="O20" s="498">
        <f>IF(N20&lt;&gt;"",_xlfn.XLOOKUP(A20,Catalogo!B23:B86,Catalogo!F23:F86)*N20,"")</f>
        <v>29018.85</v>
      </c>
      <c r="P20" s="515">
        <f t="shared" si="1"/>
        <v>0.15</v>
      </c>
      <c r="Q20" s="516">
        <f t="shared" si="2"/>
        <v>0.85</v>
      </c>
      <c r="R20" s="517"/>
    </row>
    <row r="21" spans="1:18" x14ac:dyDescent="0.25">
      <c r="A21" s="509" t="s">
        <v>127</v>
      </c>
      <c r="B21" s="496" t="s">
        <v>409</v>
      </c>
      <c r="C21" s="505">
        <f>+_xlfn.XLOOKUP(A21,Catalogo!$B:$B,Catalogo!D:D)</f>
        <v>100</v>
      </c>
      <c r="D21" s="523">
        <f>_xlfn.XLOOKUP(A21,Catalogo!B24:B87,Catalogo!F24:F87)</f>
        <v>1960.59</v>
      </c>
      <c r="E21" s="50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00">
        <f t="shared" si="0"/>
        <v>15</v>
      </c>
      <c r="O21" s="498">
        <f>IF(N21&lt;&gt;"",_xlfn.XLOOKUP(A21,Catalogo!B24:B87,Catalogo!F24:F87)*N21,"")</f>
        <v>29408.85</v>
      </c>
      <c r="P21" s="515">
        <f t="shared" si="1"/>
        <v>0.15</v>
      </c>
      <c r="Q21" s="516">
        <f t="shared" si="2"/>
        <v>0.85</v>
      </c>
      <c r="R21" s="517"/>
    </row>
    <row r="22" spans="1:18" x14ac:dyDescent="0.25">
      <c r="A22" s="509" t="s">
        <v>129</v>
      </c>
      <c r="B22" s="496" t="s">
        <v>416</v>
      </c>
      <c r="C22" s="505">
        <f>+_xlfn.XLOOKUP(A22,Catalogo!$B:$B,Catalogo!D:D)</f>
        <v>170</v>
      </c>
      <c r="D22" s="523">
        <f>_xlfn.XLOOKUP(A22,Catalogo!B25:B88,Catalogo!F25:F88)</f>
        <v>2220.59</v>
      </c>
      <c r="E22" s="50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00">
        <f t="shared" si="0"/>
        <v>2</v>
      </c>
      <c r="O22" s="498">
        <f>IF(N22&lt;&gt;"",_xlfn.XLOOKUP(A22,Catalogo!B25:B88,Catalogo!F25:F88)*N22,"")</f>
        <v>4441.18</v>
      </c>
      <c r="P22" s="515">
        <f t="shared" si="1"/>
        <v>1.1764705882352941E-2</v>
      </c>
      <c r="Q22" s="516">
        <f t="shared" si="2"/>
        <v>0.9882352941176471</v>
      </c>
      <c r="R22" s="517"/>
    </row>
    <row r="23" spans="1:18" x14ac:dyDescent="0.25">
      <c r="A23" s="509" t="s">
        <v>131</v>
      </c>
      <c r="B23" s="496" t="s">
        <v>414</v>
      </c>
      <c r="C23" s="505">
        <f>+_xlfn.XLOOKUP(A23,Catalogo!$B:$B,Catalogo!D:D)</f>
        <v>170</v>
      </c>
      <c r="D23" s="523">
        <f>_xlfn.XLOOKUP(A23,Catalogo!B26:B89,Catalogo!F26:F89)</f>
        <v>2220.59</v>
      </c>
      <c r="E23" s="50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00">
        <f t="shared" si="0"/>
        <v>15</v>
      </c>
      <c r="O23" s="498">
        <f>IF(N23&lt;&gt;"",_xlfn.XLOOKUP(A23,Catalogo!B26:B89,Catalogo!F26:F89)*N23,"")</f>
        <v>33308.850000000006</v>
      </c>
      <c r="P23" s="515">
        <f t="shared" si="1"/>
        <v>8.8235294117647065E-2</v>
      </c>
      <c r="Q23" s="516">
        <f t="shared" si="2"/>
        <v>0.91176470588235292</v>
      </c>
      <c r="R23" s="517"/>
    </row>
    <row r="24" spans="1:18" x14ac:dyDescent="0.25">
      <c r="A24" s="509" t="s">
        <v>133</v>
      </c>
      <c r="B24" s="496" t="s">
        <v>410</v>
      </c>
      <c r="C24" s="505">
        <f>+_xlfn.XLOOKUP(A24,Catalogo!$B:$B,Catalogo!D:D)</f>
        <v>100</v>
      </c>
      <c r="D24" s="523">
        <f>_xlfn.XLOOKUP(A24,Catalogo!B27:B90,Catalogo!F27:F90)</f>
        <v>2090.59</v>
      </c>
      <c r="E24" s="50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00">
        <f t="shared" si="0"/>
        <v>2</v>
      </c>
      <c r="O24" s="498">
        <f>IF(N24&lt;&gt;"",_xlfn.XLOOKUP(A24,Catalogo!B27:B90,Catalogo!F27:F90)*N24,"")</f>
        <v>4181.18</v>
      </c>
      <c r="P24" s="515">
        <f t="shared" si="1"/>
        <v>0.02</v>
      </c>
      <c r="Q24" s="516">
        <f t="shared" si="2"/>
        <v>0.98</v>
      </c>
      <c r="R24" s="517"/>
    </row>
    <row r="25" spans="1:18" x14ac:dyDescent="0.25">
      <c r="A25" s="509" t="s">
        <v>135</v>
      </c>
      <c r="B25" s="496" t="s">
        <v>417</v>
      </c>
      <c r="C25" s="505">
        <f>+_xlfn.XLOOKUP(A25,Catalogo!$B:$B,Catalogo!D:D)</f>
        <v>100</v>
      </c>
      <c r="D25" s="523">
        <f>_xlfn.XLOOKUP(A25,Catalogo!B28:B91,Catalogo!F28:F91)</f>
        <v>2090.59</v>
      </c>
      <c r="E25" s="50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00">
        <f t="shared" si="0"/>
        <v>3</v>
      </c>
      <c r="O25" s="498">
        <f>IF(N25&lt;&gt;"",_xlfn.XLOOKUP(A25,Catalogo!B28:B91,Catalogo!F28:F91)*N25,"")</f>
        <v>6271.77</v>
      </c>
      <c r="P25" s="515">
        <f t="shared" si="1"/>
        <v>0.03</v>
      </c>
      <c r="Q25" s="516">
        <f t="shared" si="2"/>
        <v>0.97</v>
      </c>
      <c r="R25" s="517"/>
    </row>
    <row r="26" spans="1:18" x14ac:dyDescent="0.25">
      <c r="A26" s="509" t="s">
        <v>137</v>
      </c>
      <c r="B26" s="496" t="s">
        <v>412</v>
      </c>
      <c r="C26" s="505">
        <f>+_xlfn.XLOOKUP(A26,Catalogo!$B:$B,Catalogo!D:D)</f>
        <v>55</v>
      </c>
      <c r="D26" s="523">
        <f>_xlfn.XLOOKUP(A26,Catalogo!B29:B92,Catalogo!F29:F92)</f>
        <v>656</v>
      </c>
      <c r="E26" s="50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00">
        <f t="shared" si="0"/>
        <v>14</v>
      </c>
      <c r="O26" s="498">
        <f>IF(N26&lt;&gt;"",_xlfn.XLOOKUP(A26,Catalogo!B29:B92,Catalogo!F29:F92)*N26,"")</f>
        <v>9184</v>
      </c>
      <c r="P26" s="515">
        <f t="shared" si="1"/>
        <v>0.25454545454545452</v>
      </c>
      <c r="Q26" s="516">
        <f t="shared" si="2"/>
        <v>0.74545454545454548</v>
      </c>
      <c r="R26" s="517"/>
    </row>
    <row r="27" spans="1:18" x14ac:dyDescent="0.25">
      <c r="A27" s="509" t="s">
        <v>139</v>
      </c>
      <c r="B27" s="496" t="s">
        <v>411</v>
      </c>
      <c r="C27" s="505">
        <f>+_xlfn.XLOOKUP(A27,Catalogo!$B:$B,Catalogo!D:D)</f>
        <v>55</v>
      </c>
      <c r="D27" s="523">
        <f>_xlfn.XLOOKUP(A27,Catalogo!B30:B93,Catalogo!F30:F93)</f>
        <v>4676</v>
      </c>
      <c r="E27" s="50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00">
        <f t="shared" si="0"/>
        <v>14</v>
      </c>
      <c r="O27" s="498">
        <f>IF(N27&lt;&gt;"",_xlfn.XLOOKUP(A27,Catalogo!B30:B93,Catalogo!F30:F93)*N27,"")</f>
        <v>65464</v>
      </c>
      <c r="P27" s="515">
        <f t="shared" si="1"/>
        <v>0.25454545454545452</v>
      </c>
      <c r="Q27" s="516">
        <f t="shared" si="2"/>
        <v>0.74545454545454548</v>
      </c>
      <c r="R27" s="517"/>
    </row>
    <row r="28" spans="1:18" x14ac:dyDescent="0.25">
      <c r="A28" s="509">
        <v>3.4</v>
      </c>
      <c r="B28" s="496" t="s">
        <v>413</v>
      </c>
      <c r="C28" s="505">
        <f>+_xlfn.XLOOKUP(A28,Catalogo!$B:$B,Catalogo!D:D)</f>
        <v>105</v>
      </c>
      <c r="D28" s="523">
        <f>_xlfn.XLOOKUP(A28,Catalogo!B31:B94,Catalogo!F31:F94)</f>
        <v>4124.2700000000004</v>
      </c>
      <c r="E28" s="50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00" t="str">
        <f t="shared" si="0"/>
        <v/>
      </c>
      <c r="O28" s="498" t="str">
        <f>IF(N28&lt;&gt;"",_xlfn.XLOOKUP(A28,Catalogo!B31:B94,Catalogo!F31:F94)*N28,"")</f>
        <v/>
      </c>
      <c r="P28" s="515" t="str">
        <f t="shared" si="1"/>
        <v/>
      </c>
      <c r="Q28" s="516" t="str">
        <f t="shared" si="2"/>
        <v/>
      </c>
      <c r="R28" s="517"/>
    </row>
    <row r="29" spans="1:18" x14ac:dyDescent="0.25">
      <c r="A29" s="510">
        <v>4.0999999999999996</v>
      </c>
      <c r="B29" s="497" t="s">
        <v>418</v>
      </c>
      <c r="C29" s="505">
        <f>+_xlfn.XLOOKUP(A29,Catalogo!$B:$B,Catalogo!D:D)</f>
        <v>105</v>
      </c>
      <c r="D29" s="523">
        <f>_xlfn.XLOOKUP(A29,Catalogo!B32:B95,Catalogo!F32:F95)</f>
        <v>5020.99</v>
      </c>
      <c r="E29" s="50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00" t="str">
        <f t="shared" si="0"/>
        <v/>
      </c>
      <c r="O29" s="498" t="str">
        <f>IF(N29&lt;&gt;"",_xlfn.XLOOKUP(A29,Catalogo!B32:B95,Catalogo!F32:F95)*N29,"")</f>
        <v/>
      </c>
      <c r="P29" s="515" t="str">
        <f t="shared" si="1"/>
        <v/>
      </c>
      <c r="Q29" s="516" t="str">
        <f t="shared" si="2"/>
        <v/>
      </c>
      <c r="R29" s="517"/>
    </row>
    <row r="30" spans="1:18" x14ac:dyDescent="0.25">
      <c r="A30" s="510">
        <v>4.2</v>
      </c>
      <c r="B30" s="497" t="s">
        <v>419</v>
      </c>
      <c r="C30" s="505">
        <f>+_xlfn.XLOOKUP(A30,Catalogo!$B:$B,Catalogo!D:D)</f>
        <v>105</v>
      </c>
      <c r="D30" s="523">
        <f>_xlfn.XLOOKUP(A30,Catalogo!B33:B96,Catalogo!F33:F96)</f>
        <v>3652.99</v>
      </c>
      <c r="E30" s="50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00" t="str">
        <f t="shared" si="0"/>
        <v/>
      </c>
      <c r="O30" s="498" t="str">
        <f>IF(N30&lt;&gt;"",_xlfn.XLOOKUP(A30,Catalogo!B33:B96,Catalogo!F33:F96)*N30,"")</f>
        <v/>
      </c>
      <c r="P30" s="515" t="str">
        <f t="shared" si="1"/>
        <v/>
      </c>
      <c r="Q30" s="516" t="str">
        <f t="shared" si="2"/>
        <v/>
      </c>
      <c r="R30" s="517"/>
    </row>
    <row r="31" spans="1:18" x14ac:dyDescent="0.25">
      <c r="A31" s="510">
        <v>4.3</v>
      </c>
      <c r="B31" s="497" t="s">
        <v>420</v>
      </c>
      <c r="C31" s="505">
        <f>+_xlfn.XLOOKUP(A31,Catalogo!$B:$B,Catalogo!D:D)</f>
        <v>105</v>
      </c>
      <c r="D31" s="523">
        <f>_xlfn.XLOOKUP(A31,Catalogo!B34:B97,Catalogo!F34:F97)</f>
        <v>3201.98</v>
      </c>
      <c r="E31" s="50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00" t="str">
        <f t="shared" si="0"/>
        <v/>
      </c>
      <c r="O31" s="498" t="str">
        <f>IF(N31&lt;&gt;"",_xlfn.XLOOKUP(A31,Catalogo!B34:B97,Catalogo!F34:F97)*N31,"")</f>
        <v/>
      </c>
      <c r="P31" s="515" t="str">
        <f t="shared" si="1"/>
        <v/>
      </c>
      <c r="Q31" s="516" t="str">
        <f t="shared" si="2"/>
        <v/>
      </c>
      <c r="R31" s="517"/>
    </row>
    <row r="32" spans="1:18" x14ac:dyDescent="0.25">
      <c r="A32" s="510">
        <v>4.4000000000000004</v>
      </c>
      <c r="B32" s="497" t="s">
        <v>421</v>
      </c>
      <c r="C32" s="505">
        <f>+_xlfn.XLOOKUP(A32,Catalogo!$B:$B,Catalogo!D:D)</f>
        <v>105</v>
      </c>
      <c r="D32" s="523">
        <f>_xlfn.XLOOKUP(A32,Catalogo!B35:B98,Catalogo!F35:F98)</f>
        <v>6840</v>
      </c>
      <c r="E32" s="50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00" t="str">
        <f t="shared" si="0"/>
        <v/>
      </c>
      <c r="O32" s="498" t="str">
        <f>IF(N32&lt;&gt;"",_xlfn.XLOOKUP(A32,Catalogo!B35:B98,Catalogo!F35:F98)*N32,"")</f>
        <v/>
      </c>
      <c r="P32" s="515" t="str">
        <f t="shared" si="1"/>
        <v/>
      </c>
      <c r="Q32" s="516" t="str">
        <f t="shared" si="2"/>
        <v/>
      </c>
      <c r="R32" s="517"/>
    </row>
    <row r="33" spans="1:18" x14ac:dyDescent="0.25">
      <c r="A33" s="510">
        <v>4.5</v>
      </c>
      <c r="B33" s="497" t="s">
        <v>422</v>
      </c>
      <c r="C33" s="505">
        <f>+_xlfn.XLOOKUP(A33,Catalogo!$B:$B,Catalogo!D:D)</f>
        <v>105</v>
      </c>
      <c r="D33" s="523">
        <f>_xlfn.XLOOKUP(A33,Catalogo!B36:B99,Catalogo!F36:F99)</f>
        <v>2052</v>
      </c>
      <c r="E33" s="50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00" t="str">
        <f t="shared" si="0"/>
        <v/>
      </c>
      <c r="O33" s="498" t="str">
        <f>IF(N33&lt;&gt;"",_xlfn.XLOOKUP(A33,Catalogo!B36:B99,Catalogo!F36:F99)*N33,"")</f>
        <v/>
      </c>
      <c r="P33" s="515" t="str">
        <f t="shared" si="1"/>
        <v/>
      </c>
      <c r="Q33" s="516" t="str">
        <f t="shared" si="2"/>
        <v/>
      </c>
      <c r="R33" s="517"/>
    </row>
    <row r="34" spans="1:18" x14ac:dyDescent="0.25">
      <c r="A34" s="510">
        <v>4.5999999999999996</v>
      </c>
      <c r="B34" s="497" t="s">
        <v>423</v>
      </c>
      <c r="C34" s="505">
        <f>+_xlfn.XLOOKUP(A34,Catalogo!$B:$B,Catalogo!D:D)</f>
        <v>105</v>
      </c>
      <c r="D34" s="523">
        <f>_xlfn.XLOOKUP(A34,Catalogo!B37:B100,Catalogo!F37:F100)</f>
        <v>3420</v>
      </c>
      <c r="E34" s="50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00" t="str">
        <f t="shared" si="0"/>
        <v/>
      </c>
      <c r="O34" s="498" t="str">
        <f>IF(N34&lt;&gt;"",_xlfn.XLOOKUP(A34,Catalogo!B37:B100,Catalogo!F37:F100)*N34,"")</f>
        <v/>
      </c>
      <c r="P34" s="515" t="str">
        <f t="shared" si="1"/>
        <v/>
      </c>
      <c r="Q34" s="516" t="str">
        <f t="shared" si="2"/>
        <v/>
      </c>
      <c r="R34" s="517"/>
    </row>
    <row r="35" spans="1:18" x14ac:dyDescent="0.25">
      <c r="A35" s="510">
        <v>4.7</v>
      </c>
      <c r="B35" s="497" t="s">
        <v>424</v>
      </c>
      <c r="C35" s="505">
        <f>+_xlfn.XLOOKUP(A35,Catalogo!$B:$B,Catalogo!D:D)</f>
        <v>105</v>
      </c>
      <c r="D35" s="523">
        <f>_xlfn.XLOOKUP(A35,Catalogo!B38:B101,Catalogo!F38:F101)</f>
        <v>4212.3599999999997</v>
      </c>
      <c r="E35" s="50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00" t="str">
        <f t="shared" si="0"/>
        <v/>
      </c>
      <c r="O35" s="498" t="str">
        <f>IF(N35&lt;&gt;"",_xlfn.XLOOKUP(A35,Catalogo!B38:B101,Catalogo!F38:F101)*N35,"")</f>
        <v/>
      </c>
      <c r="P35" s="515" t="str">
        <f t="shared" si="1"/>
        <v/>
      </c>
      <c r="Q35" s="516" t="str">
        <f t="shared" si="2"/>
        <v/>
      </c>
      <c r="R35" s="517"/>
    </row>
    <row r="36" spans="1:18" x14ac:dyDescent="0.25">
      <c r="A36" s="510">
        <v>4.8</v>
      </c>
      <c r="B36" s="497" t="s">
        <v>425</v>
      </c>
      <c r="C36" s="505">
        <f>+_xlfn.XLOOKUP(A36,Catalogo!$B:$B,Catalogo!D:D)</f>
        <v>105</v>
      </c>
      <c r="D36" s="523">
        <f>_xlfn.XLOOKUP(A36,Catalogo!B39:B102,Catalogo!F39:F102)</f>
        <v>1368</v>
      </c>
      <c r="E36" s="50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00" t="str">
        <f t="shared" si="0"/>
        <v/>
      </c>
      <c r="O36" s="498" t="str">
        <f>IF(N36&lt;&gt;"",_xlfn.XLOOKUP(A36,Catalogo!B39:B102,Catalogo!F39:F102)*N36,"")</f>
        <v/>
      </c>
      <c r="P36" s="515" t="str">
        <f t="shared" si="1"/>
        <v/>
      </c>
      <c r="Q36" s="516" t="str">
        <f t="shared" si="2"/>
        <v/>
      </c>
      <c r="R36" s="517"/>
    </row>
    <row r="37" spans="1:18" x14ac:dyDescent="0.25">
      <c r="A37" s="510">
        <v>4.9000000000000004</v>
      </c>
      <c r="B37" s="497" t="s">
        <v>426</v>
      </c>
      <c r="C37" s="504">
        <f>+_xlfn.XLOOKUP(A37,Catalogo!$B:$B,Catalogo!D:D)</f>
        <v>100</v>
      </c>
      <c r="D37" s="522">
        <f>_xlfn.XLOOKUP(A37,Catalogo!B40:B103,Catalogo!F40:F103)</f>
        <v>7244.35</v>
      </c>
      <c r="E37" s="504" t="s">
        <v>638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00">
        <f t="shared" si="0"/>
        <v>24</v>
      </c>
      <c r="O37" s="498">
        <f>IF(N37&lt;&gt;"",_xlfn.XLOOKUP(A37,Catalogo!B40:B103,Catalogo!F40:F103)*N37,"")</f>
        <v>173864.40000000002</v>
      </c>
      <c r="P37" s="515">
        <f t="shared" si="1"/>
        <v>0.24</v>
      </c>
      <c r="Q37" s="516">
        <f t="shared" si="2"/>
        <v>0.76</v>
      </c>
      <c r="R37" s="517"/>
    </row>
    <row r="38" spans="1:18" x14ac:dyDescent="0.25">
      <c r="A38" s="511" t="s">
        <v>515</v>
      </c>
      <c r="B38" s="497" t="s">
        <v>427</v>
      </c>
      <c r="C38" s="504">
        <f>+_xlfn.XLOOKUP(A38,Catalogo!$B:$B,Catalogo!D:D)</f>
        <v>500</v>
      </c>
      <c r="D38" s="522">
        <f>_xlfn.XLOOKUP(A38,Catalogo!B41:B104,Catalogo!F41:F104)</f>
        <v>6977.93</v>
      </c>
      <c r="E38" s="504" t="s">
        <v>638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00">
        <f t="shared" si="0"/>
        <v>24</v>
      </c>
      <c r="O38" s="498">
        <f>IF(N38&lt;&gt;"",_xlfn.XLOOKUP(A38,Catalogo!B41:B104,Catalogo!F41:F104)*N38,"")</f>
        <v>167470.32</v>
      </c>
      <c r="P38" s="515">
        <f t="shared" si="1"/>
        <v>4.8000000000000001E-2</v>
      </c>
      <c r="Q38" s="516">
        <f t="shared" si="2"/>
        <v>0.95199999999999996</v>
      </c>
      <c r="R38" s="517"/>
    </row>
    <row r="39" spans="1:18" x14ac:dyDescent="0.25">
      <c r="A39" s="512">
        <v>4.1100000000000003</v>
      </c>
      <c r="B39" s="497" t="s">
        <v>428</v>
      </c>
      <c r="C39" s="504">
        <f>+_xlfn.XLOOKUP(A39,Catalogo!$B:$B,Catalogo!D:D)</f>
        <v>800</v>
      </c>
      <c r="D39" s="522">
        <f>_xlfn.XLOOKUP(A39,Catalogo!B42:B105,Catalogo!F42:F105)</f>
        <v>8275.99</v>
      </c>
      <c r="E39" s="504" t="s">
        <v>638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00" t="str">
        <f t="shared" si="0"/>
        <v/>
      </c>
      <c r="O39" s="498" t="str">
        <f>IF(N39&lt;&gt;"",_xlfn.XLOOKUP(A39,Catalogo!B42:B105,Catalogo!F42:F105)*N39,"")</f>
        <v/>
      </c>
      <c r="P39" s="515" t="str">
        <f t="shared" si="1"/>
        <v/>
      </c>
      <c r="Q39" s="516" t="str">
        <f t="shared" si="2"/>
        <v/>
      </c>
      <c r="R39" s="517"/>
    </row>
    <row r="40" spans="1:18" x14ac:dyDescent="0.25">
      <c r="A40" s="512">
        <v>4.12</v>
      </c>
      <c r="B40" s="497" t="s">
        <v>429</v>
      </c>
      <c r="C40" s="504">
        <f>+_xlfn.XLOOKUP(A40,Catalogo!$B:$B,Catalogo!D:D)</f>
        <v>105</v>
      </c>
      <c r="D40" s="522">
        <f>_xlfn.XLOOKUP(A40,Catalogo!B43:B106,Catalogo!F43:F106)</f>
        <v>4409.2299999999996</v>
      </c>
      <c r="E40" s="50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00" t="str">
        <f t="shared" si="0"/>
        <v/>
      </c>
      <c r="O40" s="498" t="str">
        <f>IF(N40&lt;&gt;"",_xlfn.XLOOKUP(A40,Catalogo!B43:B106,Catalogo!F43:F106)*N40,"")</f>
        <v/>
      </c>
      <c r="P40" s="515" t="str">
        <f t="shared" si="1"/>
        <v/>
      </c>
      <c r="Q40" s="516" t="str">
        <f t="shared" si="2"/>
        <v/>
      </c>
    </row>
    <row r="41" spans="1:18" x14ac:dyDescent="0.25">
      <c r="C41"/>
      <c r="D41"/>
      <c r="E41"/>
      <c r="F41"/>
      <c r="O41" s="499"/>
    </row>
    <row r="42" spans="1:18" ht="18" x14ac:dyDescent="0.25">
      <c r="C42"/>
      <c r="D42"/>
      <c r="E42"/>
      <c r="F42"/>
      <c r="O42" s="502">
        <f>SUM(O3:O41)</f>
        <v>8900178.0173000004</v>
      </c>
      <c r="P42" s="269">
        <f>+'EV (2)'!AN5+'EV (4)'!O42</f>
        <v>-2262743.8226999994</v>
      </c>
      <c r="Q42" s="503">
        <f>-O42/'EV (2)'!AO5</f>
        <v>0.79729824725709986</v>
      </c>
      <c r="R42" s="514">
        <f>1-Q42</f>
        <v>0.20270175274290014</v>
      </c>
    </row>
    <row r="43" spans="1:18" x14ac:dyDescent="0.25">
      <c r="C43"/>
      <c r="D43"/>
      <c r="E43"/>
      <c r="F43"/>
      <c r="O43" s="513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72" customFormat="1" ht="81.75" customHeight="1" x14ac:dyDescent="0.25">
      <c r="B1" s="275" t="s">
        <v>79</v>
      </c>
      <c r="C1" s="275" t="s">
        <v>80</v>
      </c>
      <c r="D1" s="275" t="s">
        <v>78</v>
      </c>
      <c r="E1" s="423" t="s">
        <v>547</v>
      </c>
      <c r="F1" s="275" t="s">
        <v>548</v>
      </c>
      <c r="G1" s="275" t="s">
        <v>549</v>
      </c>
      <c r="H1" s="281" t="s">
        <v>432</v>
      </c>
      <c r="J1" s="373"/>
      <c r="L1" s="275" t="s">
        <v>79</v>
      </c>
      <c r="M1" s="275" t="s">
        <v>80</v>
      </c>
      <c r="N1" s="275" t="s">
        <v>78</v>
      </c>
      <c r="O1" s="423" t="s">
        <v>547</v>
      </c>
      <c r="P1" s="423" t="s">
        <v>548</v>
      </c>
      <c r="Q1" s="275" t="s">
        <v>549</v>
      </c>
      <c r="R1" s="281" t="s">
        <v>432</v>
      </c>
      <c r="U1" s="423" t="s">
        <v>547</v>
      </c>
      <c r="V1" s="423" t="s">
        <v>548</v>
      </c>
      <c r="W1" s="275" t="s">
        <v>549</v>
      </c>
    </row>
    <row r="2" spans="1:57" s="76" customFormat="1" x14ac:dyDescent="0.25">
      <c r="B2" s="276" t="s">
        <v>108</v>
      </c>
      <c r="C2" s="276" t="s">
        <v>108</v>
      </c>
      <c r="D2" s="276" t="s">
        <v>108</v>
      </c>
      <c r="E2" s="276" t="s">
        <v>550</v>
      </c>
      <c r="F2" s="276" t="s">
        <v>550</v>
      </c>
      <c r="G2" s="276" t="s">
        <v>550</v>
      </c>
      <c r="L2" s="276" t="s">
        <v>108</v>
      </c>
      <c r="M2" s="276" t="s">
        <v>108</v>
      </c>
      <c r="N2" s="276" t="s">
        <v>108</v>
      </c>
      <c r="O2" s="276" t="s">
        <v>550</v>
      </c>
      <c r="P2" s="276" t="s">
        <v>550</v>
      </c>
      <c r="Q2" s="276" t="s">
        <v>550</v>
      </c>
      <c r="U2" s="276" t="s">
        <v>550</v>
      </c>
      <c r="V2" s="276" t="s">
        <v>550</v>
      </c>
      <c r="W2" s="276" t="s">
        <v>550</v>
      </c>
    </row>
    <row r="3" spans="1:57" x14ac:dyDescent="0.25">
      <c r="A3"/>
      <c r="B3" s="270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70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433</v>
      </c>
      <c r="B5" s="76"/>
      <c r="C5" s="76"/>
      <c r="D5" s="76"/>
      <c r="E5" s="76"/>
      <c r="F5" s="76"/>
      <c r="G5" s="76"/>
      <c r="H5" s="286">
        <v>-1500000</v>
      </c>
      <c r="I5" s="286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286"/>
      <c r="S5" s="286"/>
      <c r="U5" s="76"/>
      <c r="V5" s="76"/>
      <c r="W5" s="76"/>
    </row>
    <row r="6" spans="1:57" x14ac:dyDescent="0.25">
      <c r="A6" s="228">
        <v>45962</v>
      </c>
      <c r="B6" s="292">
        <f>+SUMIFS(Tabla1[Avance_km],Tabla1[Fecha],"&gt;="&amp;$A6,Tabla1[Fecha],"&lt;="&amp;EOMONTH($A6,0),Tabla1[Codigo_actividad],B$4)*B$3</f>
        <v>246082.19999999998</v>
      </c>
      <c r="C6" s="292">
        <f>+SUMIFS(Tabla1[Avance_km],Tabla1[Fecha],"&gt;="&amp;$A6,Tabla1[Fecha],"&lt;="&amp;EOMONTH($A6,0),Tabla1[Codigo_actividad],C$4)*C$3</f>
        <v>435001.8</v>
      </c>
      <c r="D6" s="292">
        <f>+SUMIFS(Tabla1[Avance_km],Tabla1[Fecha],"&gt;="&amp;$A6,Tabla1[Fecha],"&lt;="&amp;EOMONTH($A6,0),Tabla1[Codigo_actividad],D$4)*D$3</f>
        <v>115235.20000000003</v>
      </c>
      <c r="E6" s="292">
        <f>+O6*$E$3</f>
        <v>0</v>
      </c>
      <c r="F6" s="292">
        <f>+P6*$F$3</f>
        <v>0</v>
      </c>
      <c r="G6" s="292">
        <f>+Q6*$G$3</f>
        <v>0</v>
      </c>
      <c r="H6" s="291"/>
      <c r="I6" s="286">
        <f>SUM(B6:H6)</f>
        <v>796319.20000000007</v>
      </c>
      <c r="J6" s="231"/>
      <c r="K6" s="228">
        <v>45962</v>
      </c>
      <c r="L6" s="292">
        <f>+SUMIFS(Tabla1[Avance_km],Tabla1[Fecha],"&gt;="&amp;$A6,Tabla1[Fecha],"&lt;="&amp;EOMONTH($A6,0),Tabla1[Codigo_actividad],L$4)</f>
        <v>31.548999999999999</v>
      </c>
      <c r="M6" s="292">
        <f>+SUMIFS(Tabla1[Avance_km],Tabla1[Fecha],"&gt;="&amp;$A6,Tabla1[Fecha],"&lt;="&amp;EOMONTH($A6,0),Tabla1[Codigo_actividad],M$4)</f>
        <v>53.048999999999999</v>
      </c>
      <c r="N6" s="292">
        <f>+SUMIFS(Tabla1[Avance_km],Tabla1[Fecha],"&gt;="&amp;$A6,Tabla1[Fecha],"&lt;="&amp;EOMONTH($A6,0),Tabla1[Codigo_actividad],N$4)</f>
        <v>72.02200000000002</v>
      </c>
      <c r="O6" s="292">
        <f>+SUMIFS(Tabla1[Observaciones],Tabla1[Fecha],"&gt;="&amp;$A6,Tabla1[Fecha],"&lt;="&amp;EOMONTH($A6,0),Tabla1[Codigo_actividad],O$4,Tabla1[Actividades],"&lt;&gt;"&amp;"METALOGRAFIAS",Tabla1[Length],O$1)</f>
        <v>0</v>
      </c>
      <c r="P6" s="292">
        <f>+SUMIFS(Tabla1[Observaciones],Tabla1[Fecha],"&gt;="&amp;$A6,Tabla1[Fecha],"&lt;="&amp;EOMONTH($A6,0),Tabla1[Codigo_actividad],P$4,Tabla1[Actividades],"&lt;&gt;"&amp;"METALOGRAFIAS",Tabla1[Length],P$1)</f>
        <v>0</v>
      </c>
      <c r="Q6" s="292">
        <f>+SUMIFS(Tabla1[Observaciones],Tabla1[Fecha],"&gt;="&amp;$A6,Tabla1[Fecha],"&lt;="&amp;EOMONTH($A6,0),Tabla1[Codigo_actividad],Q$4,Tabla1[Actividades],"&lt;&gt;"&amp;"METALOGRAFIAS",Tabla1[Length],Q$1)</f>
        <v>0</v>
      </c>
      <c r="R6" s="291"/>
      <c r="S6" s="286">
        <f>SUM(L6:N6)</f>
        <v>156.62</v>
      </c>
      <c r="T6" s="425">
        <f>SUM(O6:Q6)</f>
        <v>0</v>
      </c>
      <c r="U6" s="292">
        <f>+SUMIFS(Tabla1[Observaciones],Tabla1[Fecha],"&gt;="&amp;$A6,Tabla1[Fecha],"&lt;="&amp;EOMONTH($A6,0),Tabla1[Codigo_actividad],U$4,Tabla1[Actividades],"&lt;&gt;"&amp;"METALOGRAFIAS",Tabla1[Length],U$1)</f>
        <v>0</v>
      </c>
      <c r="V6" s="292">
        <f>+SUMIFS(Tabla1[Observaciones],Tabla1[Fecha],"&gt;="&amp;$A6,Tabla1[Fecha],"&lt;="&amp;EOMONTH($A6,0),Tabla1[Codigo_actividad],V$4,Tabla1[Actividades],"&lt;&gt;"&amp;"METALOGRAFIAS",Tabla1[Length],V$1)</f>
        <v>0</v>
      </c>
      <c r="W6" s="292">
        <f>+SUMIFS(Tabla1[Observaciones],Tabla1[Fecha],"&gt;="&amp;$A6,Tabla1[Fecha],"&lt;="&amp;EOMONTH($A6,0),Tabla1[Codigo_actividad],W$4,Tabla1[Actividades],"&lt;&gt;"&amp;"METALOGRAFIAS",Tabla1[Length],W$1)</f>
        <v>0</v>
      </c>
      <c r="X6" s="425"/>
      <c r="Y6" s="425"/>
      <c r="Z6" s="425"/>
      <c r="AA6" s="425"/>
    </row>
    <row r="7" spans="1:57" x14ac:dyDescent="0.25">
      <c r="A7" s="228">
        <v>45992</v>
      </c>
      <c r="B7" s="292">
        <f>+SUMIFS(Tabla1[Avance_km],Tabla1[Fecha],"&gt;="&amp;$A7,Tabla1[Fecha],"&lt;="&amp;EOMONTH($A7,0),Tabla1[Codigo_actividad],B$4)*B$3</f>
        <v>245832.60000000003</v>
      </c>
      <c r="C7" s="292">
        <f>+SUMIFS(Tabla1[Avance_km],Tabla1[Fecha],"&gt;="&amp;$A7,Tabla1[Fecha],"&lt;="&amp;EOMONTH($A7,0),Tabla1[Codigo_actividad],C$4)*C$3</f>
        <v>258660.79999999996</v>
      </c>
      <c r="D7" s="292">
        <f>+SUMIFS(Tabla1[Avance_km],Tabla1[Fecha],"&gt;="&amp;$A7,Tabla1[Fecha],"&lt;="&amp;EOMONTH($A7,0),Tabla1[Codigo_actividad],D$4)*D$3</f>
        <v>33892.800000000003</v>
      </c>
      <c r="E7" s="292">
        <f t="shared" ref="E7:E19" si="1">+O7*$E$3</f>
        <v>0</v>
      </c>
      <c r="F7" s="292">
        <f t="shared" ref="F7:F19" si="2">+P7*$F$3</f>
        <v>0</v>
      </c>
      <c r="G7" s="292">
        <f t="shared" ref="G7:G19" si="3">+Q7*$G$3</f>
        <v>0</v>
      </c>
      <c r="H7" s="291"/>
      <c r="I7" s="286">
        <f t="shared" ref="I7:I19" si="4">SUM(B7:H7)</f>
        <v>538386.20000000007</v>
      </c>
      <c r="K7" s="228">
        <v>45992</v>
      </c>
      <c r="L7" s="292">
        <f>+SUMIFS(Tabla1[Avance_km],Tabla1[Fecha],"&gt;="&amp;$A7,Tabla1[Fecha],"&lt;="&amp;EOMONTH($A7,0),Tabla1[Codigo_actividad],L$4)</f>
        <v>31.517000000000003</v>
      </c>
      <c r="M7" s="292">
        <f>+SUMIFS(Tabla1[Avance_km],Tabla1[Fecha],"&gt;="&amp;$A7,Tabla1[Fecha],"&lt;="&amp;EOMONTH($A7,0),Tabla1[Codigo_actividad],M$4)</f>
        <v>31.543999999999993</v>
      </c>
      <c r="N7" s="292">
        <f>+SUMIFS(Tabla1[Avance_km],Tabla1[Fecha],"&gt;="&amp;$A7,Tabla1[Fecha],"&lt;="&amp;EOMONTH($A7,0),Tabla1[Codigo_actividad],N$4)</f>
        <v>21.183</v>
      </c>
      <c r="O7" s="292">
        <f>+SUMIFS(Tabla1[Observaciones],Tabla1[Fecha],"&gt;="&amp;$A7,Tabla1[Fecha],"&lt;="&amp;EOMONTH($A7,0),Tabla1[Codigo_actividad],O$4,Tabla1[Actividades],"&lt;&gt;"&amp;"METALOGRAFIAS",Tabla1[Length],O$1)</f>
        <v>0</v>
      </c>
      <c r="P7" s="292">
        <f>+SUMIFS(Tabla1[Observaciones],Tabla1[Fecha],"&gt;="&amp;$A7,Tabla1[Fecha],"&lt;="&amp;EOMONTH($A7,0),Tabla1[Codigo_actividad],P$4,Tabla1[Actividades],"&lt;&gt;"&amp;"METALOGRAFIAS",Tabla1[Length],P$1)</f>
        <v>0</v>
      </c>
      <c r="Q7" s="292">
        <f>+SUMIFS(Tabla1[Observaciones],Tabla1[Fecha],"&gt;="&amp;$A7,Tabla1[Fecha],"&lt;="&amp;EOMONTH($A7,0),Tabla1[Codigo_actividad],Q$4,Tabla1[Actividades],"&lt;&gt;"&amp;"METALOGRAFIAS",Tabla1[Length],Q$1)</f>
        <v>0</v>
      </c>
      <c r="R7" s="291"/>
      <c r="S7" s="286">
        <f t="shared" ref="S7:S19" si="5">SUM(L7:N7)</f>
        <v>84.244</v>
      </c>
      <c r="T7" s="425">
        <f t="shared" ref="T7:T19" si="6">SUM(O7:Q7)</f>
        <v>0</v>
      </c>
      <c r="U7" s="292">
        <f>+SUMIFS(Tabla1[Observaciones],Tabla1[Fecha],"&gt;="&amp;$A7,Tabla1[Fecha],"&lt;="&amp;EOMONTH($A7,0),Tabla1[Codigo_actividad],U$4,Tabla1[Actividades],"&lt;&gt;"&amp;"METALOGRAFIAS",Tabla1[Length],U$1)</f>
        <v>0</v>
      </c>
      <c r="V7" s="292">
        <f>+SUMIFS(Tabla1[Observaciones],Tabla1[Fecha],"&gt;="&amp;$A7,Tabla1[Fecha],"&lt;="&amp;EOMONTH($A7,0),Tabla1[Codigo_actividad],V$4,Tabla1[Actividades],"&lt;&gt;"&amp;"METALOGRAFIAS",Tabla1[Length],V$1)</f>
        <v>0</v>
      </c>
      <c r="W7" s="292">
        <f>+SUMIFS(Tabla1[Observaciones],Tabla1[Fecha],"&gt;="&amp;$A7,Tabla1[Fecha],"&lt;="&amp;EOMONTH($A7,0),Tabla1[Codigo_actividad],W$4,Tabla1[Actividades],"&lt;&gt;"&amp;"METALOGRAFIAS",Tabla1[Length],W$1)</f>
        <v>0</v>
      </c>
      <c r="X7" s="425"/>
      <c r="Y7" s="425"/>
      <c r="Z7" s="425"/>
      <c r="AA7" s="425"/>
    </row>
    <row r="8" spans="1:57" x14ac:dyDescent="0.25">
      <c r="A8" s="228">
        <v>46023</v>
      </c>
      <c r="B8" s="292">
        <f>+SUMIFS(Tabla1[Avance_km],Tabla1[Fecha],"&gt;="&amp;$A8,Tabla1[Fecha],"&lt;="&amp;EOMONTH($A8,0),Tabla1[Codigo_actividad],B$4)*B$3</f>
        <v>287352.00000000006</v>
      </c>
      <c r="C8" s="292">
        <f>+SUMIFS(Tabla1[Avance_km],Tabla1[Fecha],"&gt;="&amp;$A8,Tabla1[Fecha],"&lt;="&amp;EOMONTH($A8,0),Tabla1[Codigo_actividad],C$4)*C$3</f>
        <v>125566.60000000003</v>
      </c>
      <c r="D8" s="292">
        <f>+SUMIFS(Tabla1[Avance_km],Tabla1[Fecha],"&gt;="&amp;$A8,Tabla1[Fecha],"&lt;="&amp;EOMONTH($A8,0),Tabla1[Codigo_actividad],D$4)*D$3</f>
        <v>10721.599999999999</v>
      </c>
      <c r="E8" s="292">
        <f t="shared" si="1"/>
        <v>0</v>
      </c>
      <c r="F8" s="292">
        <f t="shared" si="2"/>
        <v>0</v>
      </c>
      <c r="G8" s="292">
        <f t="shared" si="3"/>
        <v>0</v>
      </c>
      <c r="H8" s="291"/>
      <c r="I8" s="286">
        <f t="shared" si="4"/>
        <v>423640.20000000007</v>
      </c>
      <c r="K8" s="228">
        <v>46023</v>
      </c>
      <c r="L8" s="292">
        <f>+SUMIFS(Tabla1[Avance_km],Tabla1[Fecha],"&gt;="&amp;$A8,Tabla1[Fecha],"&lt;="&amp;EOMONTH($A8,0),Tabla1[Codigo_actividad],L$4)</f>
        <v>36.840000000000011</v>
      </c>
      <c r="M8" s="292">
        <f>+SUMIFS(Tabla1[Avance_km],Tabla1[Fecha],"&gt;="&amp;$A8,Tabla1[Fecha],"&lt;="&amp;EOMONTH($A8,0),Tabla1[Codigo_actividad],M$4)</f>
        <v>15.313000000000004</v>
      </c>
      <c r="N8" s="292">
        <f>+SUMIFS(Tabla1[Avance_km],Tabla1[Fecha],"&gt;="&amp;$A8,Tabla1[Fecha],"&lt;="&amp;EOMONTH($A8,0),Tabla1[Codigo_actividad],N$4)</f>
        <v>6.7009999999999996</v>
      </c>
      <c r="O8" s="292">
        <f>+SUMIFS(Tabla1[Observaciones],Tabla1[Fecha],"&gt;="&amp;$A8,Tabla1[Fecha],"&lt;="&amp;EOMONTH($A8,0),Tabla1[Codigo_actividad],O$4,Tabla1[Actividades],"&lt;&gt;"&amp;"METALOGRAFIAS",Tabla1[Length],O$1)</f>
        <v>0</v>
      </c>
      <c r="P8" s="292">
        <f>+SUMIFS(Tabla1[Observaciones],Tabla1[Fecha],"&gt;="&amp;$A8,Tabla1[Fecha],"&lt;="&amp;EOMONTH($A8,0),Tabla1[Codigo_actividad],P$4,Tabla1[Actividades],"&lt;&gt;"&amp;"METALOGRAFIAS",Tabla1[Length],P$1)</f>
        <v>0</v>
      </c>
      <c r="Q8" s="292">
        <f>+SUMIFS(Tabla1[Observaciones],Tabla1[Fecha],"&gt;="&amp;$A8,Tabla1[Fecha],"&lt;="&amp;EOMONTH($A8,0),Tabla1[Codigo_actividad],Q$4,Tabla1[Actividades],"&lt;&gt;"&amp;"METALOGRAFIAS",Tabla1[Length],Q$1)</f>
        <v>0</v>
      </c>
      <c r="R8" s="291"/>
      <c r="S8" s="286">
        <f t="shared" si="5"/>
        <v>58.854000000000013</v>
      </c>
      <c r="T8" s="425">
        <f t="shared" si="6"/>
        <v>0</v>
      </c>
      <c r="U8" s="292">
        <f>+SUMIFS(Tabla1[Observaciones],Tabla1[Fecha],"&gt;="&amp;$A8,Tabla1[Fecha],"&lt;="&amp;EOMONTH($A8,0),Tabla1[Codigo_actividad],U$4,Tabla1[Actividades],"&lt;&gt;"&amp;"METALOGRAFIAS",Tabla1[Length],U$1)</f>
        <v>0</v>
      </c>
      <c r="V8" s="292">
        <f>+SUMIFS(Tabla1[Observaciones],Tabla1[Fecha],"&gt;="&amp;$A8,Tabla1[Fecha],"&lt;="&amp;EOMONTH($A8,0),Tabla1[Codigo_actividad],V$4,Tabla1[Actividades],"&lt;&gt;"&amp;"METALOGRAFIAS",Tabla1[Length],V$1)</f>
        <v>0</v>
      </c>
      <c r="W8" s="292">
        <f>+SUMIFS(Tabla1[Observaciones],Tabla1[Fecha],"&gt;="&amp;$A8,Tabla1[Fecha],"&lt;="&amp;EOMONTH($A8,0),Tabla1[Codigo_actividad],W$4,Tabla1[Actividades],"&lt;&gt;"&amp;"METALOGRAFIAS",Tabla1[Length],W$1)</f>
        <v>0</v>
      </c>
      <c r="X8" s="425"/>
      <c r="Y8" s="425"/>
      <c r="Z8" s="425"/>
      <c r="AA8" s="425"/>
    </row>
    <row r="9" spans="1:57" x14ac:dyDescent="0.25">
      <c r="A9" s="228">
        <v>46054</v>
      </c>
      <c r="B9" s="292">
        <f>+SUMIFS(Tabla1[Avance_km],Tabla1[Fecha],"&gt;="&amp;$A9,Tabla1[Fecha],"&lt;="&amp;EOMONTH($A9,0),Tabla1[Codigo_actividad],B$4)*B$3</f>
        <v>0</v>
      </c>
      <c r="C9" s="292">
        <f>+SUMIFS(Tabla1[Avance_km],Tabla1[Fecha],"&gt;="&amp;$A9,Tabla1[Fecha],"&lt;="&amp;EOMONTH($A9,0),Tabla1[Codigo_actividad],C$4)*C$3</f>
        <v>0</v>
      </c>
      <c r="D9" s="292">
        <f>+SUMIFS(Tabla1[Avance_km],Tabla1[Fecha],"&gt;="&amp;$A9,Tabla1[Fecha],"&lt;="&amp;EOMONTH($A9,0),Tabla1[Codigo_actividad],D$4)*D$3</f>
        <v>0</v>
      </c>
      <c r="E9" s="292">
        <f t="shared" si="1"/>
        <v>0</v>
      </c>
      <c r="F9" s="292">
        <f t="shared" si="2"/>
        <v>0</v>
      </c>
      <c r="G9" s="292">
        <f t="shared" si="3"/>
        <v>0</v>
      </c>
      <c r="H9" s="291"/>
      <c r="I9" s="286">
        <f t="shared" si="4"/>
        <v>0</v>
      </c>
      <c r="K9" s="228">
        <v>46054</v>
      </c>
      <c r="L9" s="292">
        <f>+SUMIFS(Tabla1[Avance_km],Tabla1[Fecha],"&gt;="&amp;$A9,Tabla1[Fecha],"&lt;="&amp;EOMONTH($A9,0),Tabla1[Codigo_actividad],L$4)</f>
        <v>0</v>
      </c>
      <c r="M9" s="292">
        <f>+SUMIFS(Tabla1[Avance_km],Tabla1[Fecha],"&gt;="&amp;$A9,Tabla1[Fecha],"&lt;="&amp;EOMONTH($A9,0),Tabla1[Codigo_actividad],M$4)</f>
        <v>0</v>
      </c>
      <c r="N9" s="292">
        <f>+SUMIFS(Tabla1[Avance_km],Tabla1[Fecha],"&gt;="&amp;$A9,Tabla1[Fecha],"&lt;="&amp;EOMONTH($A9,0),Tabla1[Codigo_actividad],N$4)</f>
        <v>0</v>
      </c>
      <c r="O9" s="292">
        <f>+SUMIFS(Tabla1[Observaciones],Tabla1[Fecha],"&gt;="&amp;$A9,Tabla1[Fecha],"&lt;="&amp;EOMONTH($A9,0),Tabla1[Codigo_actividad],O$4,Tabla1[Actividades],"&lt;&gt;"&amp;"METALOGRAFIAS",Tabla1[Length],O$1)</f>
        <v>0</v>
      </c>
      <c r="P9" s="292">
        <f>+SUMIFS(Tabla1[Observaciones],Tabla1[Fecha],"&gt;="&amp;$A9,Tabla1[Fecha],"&lt;="&amp;EOMONTH($A9,0),Tabla1[Codigo_actividad],P$4,Tabla1[Actividades],"&lt;&gt;"&amp;"METALOGRAFIAS",Tabla1[Length],P$1)</f>
        <v>0</v>
      </c>
      <c r="Q9" s="292">
        <f>+SUMIFS(Tabla1[Observaciones],Tabla1[Fecha],"&gt;="&amp;$A9,Tabla1[Fecha],"&lt;="&amp;EOMONTH($A9,0),Tabla1[Codigo_actividad],Q$4,Tabla1[Actividades],"&lt;&gt;"&amp;"METALOGRAFIAS",Tabla1[Length],Q$1)</f>
        <v>0</v>
      </c>
      <c r="R9" s="291"/>
      <c r="S9" s="286">
        <f t="shared" si="5"/>
        <v>0</v>
      </c>
      <c r="T9" s="425">
        <f t="shared" si="6"/>
        <v>0</v>
      </c>
      <c r="U9" s="292">
        <f>+SUMIFS(Tabla1[Observaciones],Tabla1[Fecha],"&gt;="&amp;$A9,Tabla1[Fecha],"&lt;="&amp;EOMONTH($A9,0),Tabla1[Codigo_actividad],U$4,Tabla1[Actividades],"&lt;&gt;"&amp;"METALOGRAFIAS",Tabla1[Length],U$1)</f>
        <v>0</v>
      </c>
      <c r="V9" s="292">
        <f>+SUMIFS(Tabla1[Observaciones],Tabla1[Fecha],"&gt;="&amp;$A9,Tabla1[Fecha],"&lt;="&amp;EOMONTH($A9,0),Tabla1[Codigo_actividad],V$4,Tabla1[Actividades],"&lt;&gt;"&amp;"METALOGRAFIAS",Tabla1[Length],V$1)</f>
        <v>0</v>
      </c>
      <c r="W9" s="292">
        <f>+SUMIFS(Tabla1[Observaciones],Tabla1[Fecha],"&gt;="&amp;$A9,Tabla1[Fecha],"&lt;="&amp;EOMONTH($A9,0),Tabla1[Codigo_actividad],W$4,Tabla1[Actividades],"&lt;&gt;"&amp;"METALOGRAFIAS",Tabla1[Length],W$1)</f>
        <v>0</v>
      </c>
      <c r="X9" s="425"/>
      <c r="Y9" s="425"/>
      <c r="Z9" s="425"/>
      <c r="AA9" s="425"/>
    </row>
    <row r="10" spans="1:57" x14ac:dyDescent="0.25">
      <c r="A10" s="228">
        <v>46082</v>
      </c>
      <c r="B10" s="292">
        <f>+SUMIFS(Tabla1[Avance_km],Tabla1[Fecha],"&gt;="&amp;$A10,Tabla1[Fecha],"&lt;="&amp;EOMONTH($A10,0),Tabla1[Codigo_actividad],B$4)*B$3</f>
        <v>0</v>
      </c>
      <c r="C10" s="292">
        <f>+SUMIFS(Tabla1[Avance_km],Tabla1[Fecha],"&gt;="&amp;$A10,Tabla1[Fecha],"&lt;="&amp;EOMONTH($A10,0),Tabla1[Codigo_actividad],C$4)*C$3</f>
        <v>0</v>
      </c>
      <c r="D10" s="292">
        <f>+SUMIFS(Tabla1[Avance_km],Tabla1[Fecha],"&gt;="&amp;$A10,Tabla1[Fecha],"&lt;="&amp;EOMONTH($A10,0),Tabla1[Codigo_actividad],D$4)*D$3</f>
        <v>5760</v>
      </c>
      <c r="E10" s="292">
        <f t="shared" si="1"/>
        <v>0</v>
      </c>
      <c r="F10" s="292">
        <f t="shared" si="2"/>
        <v>0</v>
      </c>
      <c r="G10" s="292">
        <f t="shared" si="3"/>
        <v>0</v>
      </c>
      <c r="H10" s="291"/>
      <c r="I10" s="286">
        <f t="shared" si="4"/>
        <v>5760</v>
      </c>
      <c r="K10" s="228">
        <v>46082</v>
      </c>
      <c r="L10" s="292">
        <f>+SUMIFS(Tabla1[Avance_km],Tabla1[Fecha],"&gt;="&amp;$A10,Tabla1[Fecha],"&lt;="&amp;EOMONTH($A10,0),Tabla1[Codigo_actividad],L$4)</f>
        <v>0</v>
      </c>
      <c r="M10" s="292">
        <f>+SUMIFS(Tabla1[Avance_km],Tabla1[Fecha],"&gt;="&amp;$A10,Tabla1[Fecha],"&lt;="&amp;EOMONTH($A10,0),Tabla1[Codigo_actividad],M$4)</f>
        <v>0</v>
      </c>
      <c r="N10" s="292">
        <f>+SUMIFS(Tabla1[Avance_km],Tabla1[Fecha],"&gt;="&amp;$A10,Tabla1[Fecha],"&lt;="&amp;EOMONTH($A10,0),Tabla1[Codigo_actividad],N$4)</f>
        <v>3.6</v>
      </c>
      <c r="O10" s="292">
        <f>+SUMIFS(Tabla1[Observaciones],Tabla1[Fecha],"&gt;="&amp;$A10,Tabla1[Fecha],"&lt;="&amp;EOMONTH($A10,0),Tabla1[Codigo_actividad],O$4,Tabla1[Actividades],"&lt;&gt;"&amp;"METALOGRAFIAS",Tabla1[Length],O$1)</f>
        <v>0</v>
      </c>
      <c r="P10" s="292">
        <f>+SUMIFS(Tabla1[Observaciones],Tabla1[Fecha],"&gt;="&amp;$A10,Tabla1[Fecha],"&lt;="&amp;EOMONTH($A10,0),Tabla1[Codigo_actividad],P$4,Tabla1[Actividades],"&lt;&gt;"&amp;"METALOGRAFIAS",Tabla1[Length],P$1)</f>
        <v>0</v>
      </c>
      <c r="Q10" s="292">
        <f>+SUMIFS(Tabla1[Observaciones],Tabla1[Fecha],"&gt;="&amp;$A10,Tabla1[Fecha],"&lt;="&amp;EOMONTH($A10,0),Tabla1[Codigo_actividad],Q$4,Tabla1[Actividades],"&lt;&gt;"&amp;"METALOGRAFIAS",Tabla1[Length],Q$1)</f>
        <v>0</v>
      </c>
      <c r="R10" s="291"/>
      <c r="S10" s="286">
        <f t="shared" si="5"/>
        <v>3.6</v>
      </c>
      <c r="T10" s="425">
        <f t="shared" si="6"/>
        <v>0</v>
      </c>
      <c r="U10" s="292">
        <f>+SUMIFS(Tabla1[Observaciones],Tabla1[Fecha],"&gt;="&amp;$A10,Tabla1[Fecha],"&lt;="&amp;EOMONTH($A10,0),Tabla1[Codigo_actividad],U$4,Tabla1[Actividades],"&lt;&gt;"&amp;"METALOGRAFIAS",Tabla1[Length],U$1)</f>
        <v>0</v>
      </c>
      <c r="V10" s="292">
        <f>+SUMIFS(Tabla1[Observaciones],Tabla1[Fecha],"&gt;="&amp;$A10,Tabla1[Fecha],"&lt;="&amp;EOMONTH($A10,0),Tabla1[Codigo_actividad],V$4,Tabla1[Actividades],"&lt;&gt;"&amp;"METALOGRAFIAS",Tabla1[Length],V$1)</f>
        <v>0</v>
      </c>
      <c r="W10" s="292">
        <f>+SUMIFS(Tabla1[Observaciones],Tabla1[Fecha],"&gt;="&amp;$A10,Tabla1[Fecha],"&lt;="&amp;EOMONTH($A10,0),Tabla1[Codigo_actividad],W$4,Tabla1[Actividades],"&lt;&gt;"&amp;"METALOGRAFIAS",Tabla1[Length],W$1)</f>
        <v>0</v>
      </c>
      <c r="X10" s="425"/>
      <c r="Y10" s="425"/>
      <c r="Z10" s="425"/>
      <c r="AA10" s="425"/>
    </row>
    <row r="11" spans="1:57" x14ac:dyDescent="0.25">
      <c r="A11" s="228">
        <v>46113</v>
      </c>
      <c r="B11" s="292">
        <f>+SUMIFS(Tabla1[Avance_km],Tabla1[Fecha],"&gt;="&amp;$A11,Tabla1[Fecha],"&lt;="&amp;EOMONTH($A11,0),Tabla1[Codigo_actividad],B$4)*B$3</f>
        <v>0</v>
      </c>
      <c r="C11" s="292">
        <f>+SUMIFS(Tabla1[Avance_km],Tabla1[Fecha],"&gt;="&amp;$A11,Tabla1[Fecha],"&lt;="&amp;EOMONTH($A11,0),Tabla1[Codigo_actividad],C$4)*C$3</f>
        <v>46174.200000000004</v>
      </c>
      <c r="D11" s="292">
        <f>+SUMIFS(Tabla1[Avance_km],Tabla1[Fecha],"&gt;="&amp;$A11,Tabla1[Fecha],"&lt;="&amp;EOMONTH($A11,0),Tabla1[Codigo_actividad],D$4)*D$3</f>
        <v>34617.599999999999</v>
      </c>
      <c r="E11" s="292">
        <f t="shared" si="1"/>
        <v>0</v>
      </c>
      <c r="F11" s="292">
        <f t="shared" si="2"/>
        <v>0</v>
      </c>
      <c r="G11" s="292">
        <f t="shared" si="3"/>
        <v>0</v>
      </c>
      <c r="H11" s="291"/>
      <c r="I11" s="286">
        <f t="shared" si="4"/>
        <v>80791.8</v>
      </c>
      <c r="K11" s="228">
        <v>46113</v>
      </c>
      <c r="L11" s="292">
        <f>+SUMIFS(Tabla1[Avance_km],Tabla1[Fecha],"&gt;="&amp;$A11,Tabla1[Fecha],"&lt;="&amp;EOMONTH($A11,0),Tabla1[Codigo_actividad],L$4)</f>
        <v>0</v>
      </c>
      <c r="M11" s="292">
        <f>+SUMIFS(Tabla1[Avance_km],Tabla1[Fecha],"&gt;="&amp;$A11,Tabla1[Fecha],"&lt;="&amp;EOMONTH($A11,0),Tabla1[Codigo_actividad],M$4)</f>
        <v>5.6310000000000002</v>
      </c>
      <c r="N11" s="292">
        <f>+SUMIFS(Tabla1[Avance_km],Tabla1[Fecha],"&gt;="&amp;$A11,Tabla1[Fecha],"&lt;="&amp;EOMONTH($A11,0),Tabla1[Codigo_actividad],N$4)</f>
        <v>21.635999999999999</v>
      </c>
      <c r="O11" s="292">
        <f>+SUMIFS(Tabla1[Observaciones],Tabla1[Fecha],"&gt;="&amp;$A11,Tabla1[Fecha],"&lt;="&amp;EOMONTH($A11,0),Tabla1[Codigo_actividad],O$4,Tabla1[Actividades],"&lt;&gt;"&amp;"METALOGRAFIAS",Tabla1[Length],O$1)</f>
        <v>0</v>
      </c>
      <c r="P11" s="292">
        <f>+SUMIFS(Tabla1[Observaciones],Tabla1[Fecha],"&gt;="&amp;$A11,Tabla1[Fecha],"&lt;="&amp;EOMONTH($A11,0),Tabla1[Codigo_actividad],P$4,Tabla1[Actividades],"&lt;&gt;"&amp;"METALOGRAFIAS",Tabla1[Length],P$1)</f>
        <v>0</v>
      </c>
      <c r="Q11" s="292">
        <f>+SUMIFS(Tabla1[Observaciones],Tabla1[Fecha],"&gt;="&amp;$A11,Tabla1[Fecha],"&lt;="&amp;EOMONTH($A11,0),Tabla1[Codigo_actividad],Q$4,Tabla1[Actividades],"&lt;&gt;"&amp;"METALOGRAFIAS",Tabla1[Length],Q$1)</f>
        <v>0</v>
      </c>
      <c r="R11" s="291"/>
      <c r="S11" s="286">
        <f t="shared" si="5"/>
        <v>27.266999999999999</v>
      </c>
      <c r="T11" s="425">
        <f t="shared" si="6"/>
        <v>0</v>
      </c>
      <c r="U11" s="292">
        <f>+SUMIFS(Tabla1[Observaciones],Tabla1[Fecha],"&gt;="&amp;$A11,Tabla1[Fecha],"&lt;="&amp;EOMONTH($A11,0),Tabla1[Codigo_actividad],U$4,Tabla1[Actividades],"&lt;&gt;"&amp;"METALOGRAFIAS",Tabla1[Length],U$1)</f>
        <v>0</v>
      </c>
      <c r="V11" s="292">
        <f>+SUMIFS(Tabla1[Observaciones],Tabla1[Fecha],"&gt;="&amp;$A11,Tabla1[Fecha],"&lt;="&amp;EOMONTH($A11,0),Tabla1[Codigo_actividad],V$4,Tabla1[Actividades],"&lt;&gt;"&amp;"METALOGRAFIAS",Tabla1[Length],V$1)</f>
        <v>0</v>
      </c>
      <c r="W11" s="292">
        <f>+SUMIFS(Tabla1[Observaciones],Tabla1[Fecha],"&gt;="&amp;$A11,Tabla1[Fecha],"&lt;="&amp;EOMONTH($A11,0),Tabla1[Codigo_actividad],W$4,Tabla1[Actividades],"&lt;&gt;"&amp;"METALOGRAFIAS",Tabla1[Length],W$1)</f>
        <v>0</v>
      </c>
      <c r="X11" s="425"/>
      <c r="Y11" s="425"/>
      <c r="Z11" s="425"/>
      <c r="AA11" s="425"/>
    </row>
    <row r="12" spans="1:57" x14ac:dyDescent="0.25">
      <c r="A12" s="228">
        <v>46143</v>
      </c>
      <c r="B12" s="292">
        <f>+SUMIFS(Tabla1[Avance_km],Tabla1[Fecha],"&gt;="&amp;$A12,Tabla1[Fecha],"&lt;="&amp;EOMONTH($A12,0),Tabla1[Codigo_actividad],B$4)*B$3</f>
        <v>87773.4</v>
      </c>
      <c r="C12" s="292">
        <f>+SUMIFS(Tabla1[Avance_km],Tabla1[Fecha],"&gt;="&amp;$A12,Tabla1[Fecha],"&lt;="&amp;EOMONTH($A12,0),Tabla1[Codigo_actividad],C$4)*C$3</f>
        <v>154406</v>
      </c>
      <c r="D12" s="292">
        <f>+SUMIFS(Tabla1[Avance_km],Tabla1[Fecha],"&gt;="&amp;$A12,Tabla1[Fecha],"&lt;="&amp;EOMONTH($A12,0),Tabla1[Codigo_actividad],D$4)*D$3</f>
        <v>5803.2</v>
      </c>
      <c r="E12" s="292">
        <f t="shared" si="1"/>
        <v>0</v>
      </c>
      <c r="F12" s="292">
        <f t="shared" si="2"/>
        <v>0</v>
      </c>
      <c r="G12" s="292">
        <f t="shared" si="3"/>
        <v>0</v>
      </c>
      <c r="H12" s="291"/>
      <c r="I12" s="286">
        <f t="shared" si="4"/>
        <v>247982.6</v>
      </c>
      <c r="K12" s="228">
        <v>46143</v>
      </c>
      <c r="L12" s="292">
        <f>+SUMIFS(Tabla1[Avance_km],Tabla1[Fecha],"&gt;="&amp;$A12,Tabla1[Fecha],"&lt;="&amp;EOMONTH($A12,0),Tabla1[Codigo_actividad],L$4)</f>
        <v>11.253</v>
      </c>
      <c r="M12" s="292">
        <f>+SUMIFS(Tabla1[Avance_km],Tabla1[Fecha],"&gt;="&amp;$A12,Tabla1[Fecha],"&lt;="&amp;EOMONTH($A12,0),Tabla1[Codigo_actividad],M$4)</f>
        <v>18.829999999999998</v>
      </c>
      <c r="N12" s="292">
        <f>+SUMIFS(Tabla1[Avance_km],Tabla1[Fecha],"&gt;="&amp;$A12,Tabla1[Fecha],"&lt;="&amp;EOMONTH($A12,0),Tabla1[Codigo_actividad],N$4)</f>
        <v>3.6269999999999998</v>
      </c>
      <c r="O12" s="292">
        <f>+SUMIFS(Tabla1[Observaciones],Tabla1[Fecha],"&gt;="&amp;$A12,Tabla1[Fecha],"&lt;="&amp;EOMONTH($A12,0),Tabla1[Codigo_actividad],O$4,Tabla1[Actividades],"&lt;&gt;"&amp;"METALOGRAFIAS",Tabla1[Length],O$1)</f>
        <v>0</v>
      </c>
      <c r="P12" s="292">
        <f>+SUMIFS(Tabla1[Observaciones],Tabla1[Fecha],"&gt;="&amp;$A12,Tabla1[Fecha],"&lt;="&amp;EOMONTH($A12,0),Tabla1[Codigo_actividad],P$4,Tabla1[Actividades],"&lt;&gt;"&amp;"METALOGRAFIAS",Tabla1[Length],P$1)</f>
        <v>0</v>
      </c>
      <c r="Q12" s="292">
        <f>+SUMIFS(Tabla1[Observaciones],Tabla1[Fecha],"&gt;="&amp;$A12,Tabla1[Fecha],"&lt;="&amp;EOMONTH($A12,0),Tabla1[Codigo_actividad],Q$4,Tabla1[Actividades],"&lt;&gt;"&amp;"METALOGRAFIAS",Tabla1[Length],Q$1)</f>
        <v>0</v>
      </c>
      <c r="R12" s="291"/>
      <c r="S12" s="286">
        <f t="shared" si="5"/>
        <v>33.71</v>
      </c>
      <c r="T12" s="425">
        <f t="shared" si="6"/>
        <v>0</v>
      </c>
      <c r="U12" s="292">
        <f>+SUMIFS(Tabla1[Observaciones],Tabla1[Fecha],"&gt;="&amp;$A12,Tabla1[Fecha],"&lt;="&amp;EOMONTH($A12,0),Tabla1[Codigo_actividad],U$4,Tabla1[Actividades],"&lt;&gt;"&amp;"METALOGRAFIAS",Tabla1[Length],U$1)</f>
        <v>0</v>
      </c>
      <c r="V12" s="292">
        <f>+SUMIFS(Tabla1[Observaciones],Tabla1[Fecha],"&gt;="&amp;$A12,Tabla1[Fecha],"&lt;="&amp;EOMONTH($A12,0),Tabla1[Codigo_actividad],V$4,Tabla1[Actividades],"&lt;&gt;"&amp;"METALOGRAFIAS",Tabla1[Length],V$1)</f>
        <v>0</v>
      </c>
      <c r="W12" s="292">
        <f>+SUMIFS(Tabla1[Observaciones],Tabla1[Fecha],"&gt;="&amp;$A12,Tabla1[Fecha],"&lt;="&amp;EOMONTH($A12,0),Tabla1[Codigo_actividad],W$4,Tabla1[Actividades],"&lt;&gt;"&amp;"METALOGRAFIAS",Tabla1[Length],W$1)</f>
        <v>0</v>
      </c>
      <c r="X12" s="425"/>
      <c r="Y12" s="425"/>
      <c r="Z12" s="425"/>
      <c r="AA12" s="425"/>
    </row>
    <row r="13" spans="1:57" x14ac:dyDescent="0.25">
      <c r="A13" s="228">
        <v>46174</v>
      </c>
      <c r="B13" s="292">
        <f>+SUMIFS(Tabla1[Avance_km],Tabla1[Fecha],"&gt;="&amp;$A13,Tabla1[Fecha],"&lt;="&amp;EOMONTH($A13,0),Tabla1[Codigo_actividad],B$4)*B$3</f>
        <v>158558.40000000002</v>
      </c>
      <c r="C13" s="292">
        <f>+SUMIFS(Tabla1[Avance_km],Tabla1[Fecha],"&gt;="&amp;$A13,Tabla1[Fecha],"&lt;="&amp;EOMONTH($A13,0),Tabla1[Codigo_actividad],C$4)*C$3</f>
        <v>0</v>
      </c>
      <c r="D13" s="292">
        <f>+SUMIFS(Tabla1[Avance_km],Tabla1[Fecha],"&gt;="&amp;$A13,Tabla1[Fecha],"&lt;="&amp;EOMONTH($A13,0),Tabla1[Codigo_actividad],D$4)*D$3</f>
        <v>8667.1999999999989</v>
      </c>
      <c r="E13" s="292">
        <f t="shared" si="1"/>
        <v>0</v>
      </c>
      <c r="F13" s="292">
        <f t="shared" si="2"/>
        <v>0</v>
      </c>
      <c r="G13" s="292">
        <f t="shared" si="3"/>
        <v>0</v>
      </c>
      <c r="H13" s="291"/>
      <c r="I13" s="286">
        <f t="shared" si="4"/>
        <v>167225.60000000003</v>
      </c>
      <c r="K13" s="228">
        <v>46174</v>
      </c>
      <c r="L13" s="292">
        <f>+SUMIFS(Tabla1[Avance_km],Tabla1[Fecha],"&gt;="&amp;$A13,Tabla1[Fecha],"&lt;="&amp;EOMONTH($A13,0),Tabla1[Codigo_actividad],L$4)</f>
        <v>20.328000000000003</v>
      </c>
      <c r="M13" s="292">
        <f>+SUMIFS(Tabla1[Avance_km],Tabla1[Fecha],"&gt;="&amp;$A13,Tabla1[Fecha],"&lt;="&amp;EOMONTH($A13,0),Tabla1[Codigo_actividad],M$4)</f>
        <v>0</v>
      </c>
      <c r="N13" s="292">
        <f>+SUMIFS(Tabla1[Avance_km],Tabla1[Fecha],"&gt;="&amp;$A13,Tabla1[Fecha],"&lt;="&amp;EOMONTH($A13,0),Tabla1[Codigo_actividad],N$4)</f>
        <v>5.4169999999999998</v>
      </c>
      <c r="O13" s="292">
        <f>+SUMIFS(Tabla1[Observaciones],Tabla1[Fecha],"&gt;="&amp;$A13,Tabla1[Fecha],"&lt;="&amp;EOMONTH($A13,0),Tabla1[Codigo_actividad],O$4,Tabla1[Actividades],"&lt;&gt;"&amp;"METALOGRAFIAS",Tabla1[Length],O$1)</f>
        <v>0</v>
      </c>
      <c r="P13" s="292">
        <f>+SUMIFS(Tabla1[Observaciones],Tabla1[Fecha],"&gt;="&amp;$A13,Tabla1[Fecha],"&lt;="&amp;EOMONTH($A13,0),Tabla1[Codigo_actividad],P$4,Tabla1[Actividades],"&lt;&gt;"&amp;"METALOGRAFIAS",Tabla1[Length],P$1)</f>
        <v>0</v>
      </c>
      <c r="Q13" s="292">
        <f>+SUMIFS(Tabla1[Observaciones],Tabla1[Fecha],"&gt;="&amp;$A13,Tabla1[Fecha],"&lt;="&amp;EOMONTH($A13,0),Tabla1[Codigo_actividad],Q$4,Tabla1[Actividades],"&lt;&gt;"&amp;"METALOGRAFIAS",Tabla1[Length],Q$1)</f>
        <v>0</v>
      </c>
      <c r="R13" s="291"/>
      <c r="S13" s="286">
        <f t="shared" si="5"/>
        <v>25.745000000000005</v>
      </c>
      <c r="T13" s="425">
        <f t="shared" si="6"/>
        <v>0</v>
      </c>
      <c r="U13" s="292">
        <f>+SUMIFS(Tabla1[Observaciones],Tabla1[Fecha],"&gt;="&amp;$A13,Tabla1[Fecha],"&lt;="&amp;EOMONTH($A13,0),Tabla1[Codigo_actividad],U$4,Tabla1[Actividades],"&lt;&gt;"&amp;"METALOGRAFIAS",Tabla1[Length],U$1)</f>
        <v>0</v>
      </c>
      <c r="V13" s="292">
        <f>+SUMIFS(Tabla1[Observaciones],Tabla1[Fecha],"&gt;="&amp;$A13,Tabla1[Fecha],"&lt;="&amp;EOMONTH($A13,0),Tabla1[Codigo_actividad],V$4,Tabla1[Actividades],"&lt;&gt;"&amp;"METALOGRAFIAS",Tabla1[Length],V$1)</f>
        <v>0</v>
      </c>
      <c r="W13" s="292">
        <f>+SUMIFS(Tabla1[Observaciones],Tabla1[Fecha],"&gt;="&amp;$A13,Tabla1[Fecha],"&lt;="&amp;EOMONTH($A13,0),Tabla1[Codigo_actividad],W$4,Tabla1[Actividades],"&lt;&gt;"&amp;"METALOGRAFIAS",Tabla1[Length],W$1)</f>
        <v>0</v>
      </c>
      <c r="X13" s="425"/>
      <c r="Y13" s="425"/>
      <c r="Z13" s="425"/>
      <c r="AA13" s="425"/>
    </row>
    <row r="14" spans="1:57" x14ac:dyDescent="0.25">
      <c r="A14" s="228">
        <v>46204</v>
      </c>
      <c r="B14" s="292">
        <f>+SUMIFS(Tabla1[Avance_km],Tabla1[Fecha],"&gt;="&amp;$A14,Tabla1[Fecha],"&lt;="&amp;EOMONTH($A14,0),Tabla1[Codigo_actividad],B$4)*B$3</f>
        <v>105830.39999999999</v>
      </c>
      <c r="C14" s="292">
        <f>+SUMIFS(Tabla1[Avance_km],Tabla1[Fecha],"&gt;="&amp;$A14,Tabla1[Fecha],"&lt;="&amp;EOMONTH($A14,0),Tabla1[Codigo_actividad],C$4)*C$3</f>
        <v>86411.6</v>
      </c>
      <c r="D14" s="292">
        <f>+SUMIFS(Tabla1[Avance_km],Tabla1[Fecha],"&gt;="&amp;$A14,Tabla1[Fecha],"&lt;="&amp;EOMONTH($A14,0),Tabla1[Codigo_actividad],D$4)*D$3</f>
        <v>22136</v>
      </c>
      <c r="E14" s="292">
        <f t="shared" si="1"/>
        <v>0</v>
      </c>
      <c r="F14" s="292">
        <f t="shared" si="2"/>
        <v>0</v>
      </c>
      <c r="G14" s="292">
        <f t="shared" si="3"/>
        <v>0</v>
      </c>
      <c r="H14" s="291"/>
      <c r="I14" s="286">
        <f t="shared" si="4"/>
        <v>214378</v>
      </c>
      <c r="K14" s="228">
        <v>46204</v>
      </c>
      <c r="L14" s="292">
        <f>+SUMIFS(Tabla1[Avance_km],Tabla1[Fecha],"&gt;="&amp;$A14,Tabla1[Fecha],"&lt;="&amp;EOMONTH($A14,0),Tabla1[Codigo_actividad],L$4)</f>
        <v>13.568</v>
      </c>
      <c r="M14" s="292">
        <f>+SUMIFS(Tabla1[Avance_km],Tabla1[Fecha],"&gt;="&amp;$A14,Tabla1[Fecha],"&lt;="&amp;EOMONTH($A14,0),Tabla1[Codigo_actividad],M$4)</f>
        <v>10.538</v>
      </c>
      <c r="N14" s="292">
        <f>+SUMIFS(Tabla1[Avance_km],Tabla1[Fecha],"&gt;="&amp;$A14,Tabla1[Fecha],"&lt;="&amp;EOMONTH($A14,0),Tabla1[Codigo_actividad],N$4)</f>
        <v>13.835000000000001</v>
      </c>
      <c r="O14" s="292">
        <f>+SUMIFS(Tabla1[Observaciones],Tabla1[Fecha],"&gt;="&amp;$A14,Tabla1[Fecha],"&lt;="&amp;EOMONTH($A14,0),Tabla1[Codigo_actividad],O$4,Tabla1[Actividades],"&lt;&gt;"&amp;"METALOGRAFIAS",Tabla1[Length],O$1)</f>
        <v>0</v>
      </c>
      <c r="P14" s="292">
        <f>+SUMIFS(Tabla1[Observaciones],Tabla1[Fecha],"&gt;="&amp;$A14,Tabla1[Fecha],"&lt;="&amp;EOMONTH($A14,0),Tabla1[Codigo_actividad],P$4,Tabla1[Actividades],"&lt;&gt;"&amp;"METALOGRAFIAS",Tabla1[Length],P$1)</f>
        <v>0</v>
      </c>
      <c r="Q14" s="292">
        <f>+SUMIFS(Tabla1[Observaciones],Tabla1[Fecha],"&gt;="&amp;$A14,Tabla1[Fecha],"&lt;="&amp;EOMONTH($A14,0),Tabla1[Codigo_actividad],Q$4,Tabla1[Actividades],"&lt;&gt;"&amp;"METALOGRAFIAS",Tabla1[Length],Q$1)</f>
        <v>0</v>
      </c>
      <c r="R14" s="291"/>
      <c r="S14" s="286">
        <f t="shared" si="5"/>
        <v>37.941000000000003</v>
      </c>
      <c r="T14" s="425">
        <f t="shared" si="6"/>
        <v>0</v>
      </c>
      <c r="U14" s="292">
        <f>+SUMIFS(Tabla1[Observaciones],Tabla1[Fecha],"&gt;="&amp;$A14,Tabla1[Fecha],"&lt;="&amp;EOMONTH($A14,0),Tabla1[Codigo_actividad],U$4,Tabla1[Actividades],"&lt;&gt;"&amp;"METALOGRAFIAS",Tabla1[Length],U$1)</f>
        <v>0</v>
      </c>
      <c r="V14" s="292">
        <f>+SUMIFS(Tabla1[Observaciones],Tabla1[Fecha],"&gt;="&amp;$A14,Tabla1[Fecha],"&lt;="&amp;EOMONTH($A14,0),Tabla1[Codigo_actividad],V$4,Tabla1[Actividades],"&lt;&gt;"&amp;"METALOGRAFIAS",Tabla1[Length],V$1)</f>
        <v>0</v>
      </c>
      <c r="W14" s="292">
        <f>+SUMIFS(Tabla1[Observaciones],Tabla1[Fecha],"&gt;="&amp;$A14,Tabla1[Fecha],"&lt;="&amp;EOMONTH($A14,0),Tabla1[Codigo_actividad],W$4,Tabla1[Actividades],"&lt;&gt;"&amp;"METALOGRAFIAS",Tabla1[Length],W$1)</f>
        <v>0</v>
      </c>
      <c r="X14" s="425"/>
      <c r="Y14" s="425"/>
      <c r="Z14" s="425"/>
      <c r="AA14" s="425"/>
    </row>
    <row r="15" spans="1:57" x14ac:dyDescent="0.25">
      <c r="A15" s="228">
        <v>46235</v>
      </c>
      <c r="B15" s="292">
        <f>+SUMIFS(Tabla1[Avance_km],Tabla1[Fecha],"&gt;="&amp;$A15,Tabla1[Fecha],"&lt;="&amp;EOMONTH($A15,0),Tabla1[Codigo_actividad],B$4)*B$3</f>
        <v>78257.400000000009</v>
      </c>
      <c r="C15" s="292">
        <f>+SUMIFS(Tabla1[Avance_km],Tabla1[Fecha],"&gt;="&amp;$A15,Tabla1[Fecha],"&lt;="&amp;EOMONTH($A15,0),Tabla1[Codigo_actividad],C$4)*C$3</f>
        <v>101639</v>
      </c>
      <c r="D15" s="292">
        <f>+SUMIFS(Tabla1[Avance_km],Tabla1[Fecha],"&gt;="&amp;$A15,Tabla1[Fecha],"&lt;="&amp;EOMONTH($A15,0),Tabla1[Codigo_actividad],D$4)*D$3</f>
        <v>19472</v>
      </c>
      <c r="E15" s="292">
        <f t="shared" si="1"/>
        <v>55735</v>
      </c>
      <c r="F15" s="292">
        <f t="shared" si="2"/>
        <v>0</v>
      </c>
      <c r="G15" s="292">
        <f t="shared" si="3"/>
        <v>0</v>
      </c>
      <c r="H15" s="291"/>
      <c r="I15" s="286">
        <f t="shared" si="4"/>
        <v>255103.40000000002</v>
      </c>
      <c r="K15" s="228">
        <v>46235</v>
      </c>
      <c r="L15" s="292">
        <f>+SUMIFS(Tabla1[Avance_km],Tabla1[Fecha],"&gt;="&amp;$A15,Tabla1[Fecha],"&lt;="&amp;EOMONTH($A15,0),Tabla1[Codigo_actividad],L$4)</f>
        <v>10.033000000000001</v>
      </c>
      <c r="M15" s="292">
        <f>+SUMIFS(Tabla1[Avance_km],Tabla1[Fecha],"&gt;="&amp;$A15,Tabla1[Fecha],"&lt;="&amp;EOMONTH($A15,0),Tabla1[Codigo_actividad],M$4)</f>
        <v>12.395</v>
      </c>
      <c r="N15" s="292">
        <f>+SUMIFS(Tabla1[Avance_km],Tabla1[Fecha],"&gt;="&amp;$A15,Tabla1[Fecha],"&lt;="&amp;EOMONTH($A15,0),Tabla1[Codigo_actividad],N$4)</f>
        <v>12.17</v>
      </c>
      <c r="O15" s="292">
        <f>+SUMIFS(Tabla1[Observaciones],Tabla1[Fecha],"&gt;="&amp;$A15,Tabla1[Fecha],"&lt;="&amp;EOMONTH($A15,0),Tabla1[Codigo_actividad],O$4,Tabla1[Actividades],"&lt;&gt;"&amp;"METALOGRAFIAS",Tabla1[Length],O$1)</f>
        <v>157</v>
      </c>
      <c r="P15" s="292">
        <f>+SUMIFS(Tabla1[Observaciones],Tabla1[Fecha],"&gt;="&amp;$A15,Tabla1[Fecha],"&lt;="&amp;EOMONTH($A15,0),Tabla1[Codigo_actividad],P$4,Tabla1[Actividades],"&lt;&gt;"&amp;"METALOGRAFIAS",Tabla1[Length],P$1)</f>
        <v>0</v>
      </c>
      <c r="Q15" s="292">
        <f>+SUMIFS(Tabla1[Observaciones],Tabla1[Fecha],"&gt;="&amp;$A15,Tabla1[Fecha],"&lt;="&amp;EOMONTH($A15,0),Tabla1[Codigo_actividad],Q$4,Tabla1[Actividades],"&lt;&gt;"&amp;"METALOGRAFIAS",Tabla1[Length],Q$1)</f>
        <v>0</v>
      </c>
      <c r="R15" s="357"/>
      <c r="S15" s="286">
        <f t="shared" si="5"/>
        <v>34.597999999999999</v>
      </c>
      <c r="T15" s="425">
        <f t="shared" si="6"/>
        <v>157</v>
      </c>
      <c r="U15" s="292">
        <f>+SUMIFS(Tabla1[Observaciones],Tabla1[Fecha],"&gt;="&amp;$A15,Tabla1[Fecha],"&lt;="&amp;EOMONTH($A15,0),Tabla1[Codigo_actividad],U$4,Tabla1[Actividades],"&lt;&gt;"&amp;"METALOGRAFIAS",Tabla1[Length],U$1)</f>
        <v>157</v>
      </c>
      <c r="V15" s="292">
        <f>+SUMIFS(Tabla1[Observaciones],Tabla1[Fecha],"&gt;="&amp;$A15,Tabla1[Fecha],"&lt;="&amp;EOMONTH($A15,0),Tabla1[Codigo_actividad],V$4,Tabla1[Actividades],"&lt;&gt;"&amp;"METALOGRAFIAS",Tabla1[Length],V$1)</f>
        <v>0</v>
      </c>
      <c r="W15" s="292">
        <f>+SUMIFS(Tabla1[Observaciones],Tabla1[Fecha],"&gt;="&amp;$A15,Tabla1[Fecha],"&lt;="&amp;EOMONTH($A15,0),Tabla1[Codigo_actividad],W$4,Tabla1[Actividades],"&lt;&gt;"&amp;"METALOGRAFIAS",Tabla1[Length],W$1)</f>
        <v>0</v>
      </c>
      <c r="X15" s="425"/>
      <c r="Y15" s="425"/>
      <c r="Z15" s="425"/>
      <c r="AA15" s="425"/>
    </row>
    <row r="16" spans="1:57" x14ac:dyDescent="0.25">
      <c r="A16" s="228">
        <v>46266</v>
      </c>
      <c r="B16" s="292">
        <f>+SUMIFS(Tabla1[Avance_km],Tabla1[Fecha],"&gt;="&amp;$A16,Tabla1[Fecha],"&lt;="&amp;EOMONTH($A16,0),Tabla1[Codigo_actividad],B$4)*B$3</f>
        <v>83615.999999999985</v>
      </c>
      <c r="C16" s="292">
        <f>+SUMIFS(Tabla1[Avance_km],Tabla1[Fecha],"&gt;="&amp;$A16,Tabla1[Fecha],"&lt;="&amp;EOMONTH($A16,0),Tabla1[Codigo_actividad],C$4)*C$3</f>
        <v>0</v>
      </c>
      <c r="D16" s="292">
        <f>+SUMIFS(Tabla1[Avance_km],Tabla1[Fecha],"&gt;="&amp;$A16,Tabla1[Fecha],"&lt;="&amp;EOMONTH($A16,0),Tabla1[Codigo_actividad],D$4)*D$3</f>
        <v>32112</v>
      </c>
      <c r="E16" s="292">
        <f t="shared" si="1"/>
        <v>71000</v>
      </c>
      <c r="F16" s="292">
        <f t="shared" si="2"/>
        <v>0</v>
      </c>
      <c r="G16" s="292">
        <f t="shared" si="3"/>
        <v>0</v>
      </c>
      <c r="H16" s="291"/>
      <c r="I16" s="286">
        <f t="shared" si="4"/>
        <v>186728</v>
      </c>
      <c r="K16" s="228">
        <v>46266</v>
      </c>
      <c r="L16" s="292">
        <f>+SUMIFS(Tabla1[Avance_km],Tabla1[Fecha],"&gt;="&amp;$A16,Tabla1[Fecha],"&lt;="&amp;EOMONTH($A16,0),Tabla1[Codigo_actividad],L$4)</f>
        <v>10.719999999999999</v>
      </c>
      <c r="M16" s="292">
        <f>+SUMIFS(Tabla1[Avance_km],Tabla1[Fecha],"&gt;="&amp;$A16,Tabla1[Fecha],"&lt;="&amp;EOMONTH($A16,0),Tabla1[Codigo_actividad],M$4)</f>
        <v>0</v>
      </c>
      <c r="N16" s="292">
        <f>+SUMIFS(Tabla1[Avance_km],Tabla1[Fecha],"&gt;="&amp;$A16,Tabla1[Fecha],"&lt;="&amp;EOMONTH($A16,0),Tabla1[Codigo_actividad],N$4)</f>
        <v>20.07</v>
      </c>
      <c r="O16" s="292">
        <f>+SUMIFS(Tabla1[Observaciones],Tabla1[Fecha],"&gt;="&amp;$A16,Tabla1[Fecha],"&lt;="&amp;EOMONTH($A16,0),Tabla1[Codigo_actividad],O$4,Tabla1[Actividades],"&lt;&gt;"&amp;"METALOGRAFIAS",Tabla1[Length],O$1)</f>
        <v>200</v>
      </c>
      <c r="P16" s="292">
        <f>+SUMIFS(Tabla1[Observaciones],Tabla1[Fecha],"&gt;="&amp;$A16,Tabla1[Fecha],"&lt;="&amp;EOMONTH($A16,0),Tabla1[Codigo_actividad],P$4,Tabla1[Actividades],"&lt;&gt;"&amp;"METALOGRAFIAS",Tabla1[Length],P$1)</f>
        <v>0</v>
      </c>
      <c r="Q16" s="292">
        <f>+SUMIFS(Tabla1[Observaciones],Tabla1[Fecha],"&gt;="&amp;$A16,Tabla1[Fecha],"&lt;="&amp;EOMONTH($A16,0),Tabla1[Codigo_actividad],Q$4,Tabla1[Actividades],"&lt;&gt;"&amp;"METALOGRAFIAS",Tabla1[Length],Q$1)</f>
        <v>0</v>
      </c>
      <c r="R16" s="357"/>
      <c r="S16" s="286">
        <f t="shared" si="5"/>
        <v>30.79</v>
      </c>
      <c r="T16" s="425">
        <f t="shared" si="6"/>
        <v>200</v>
      </c>
      <c r="U16" s="292">
        <f>+SUMIFS(Tabla1[Observaciones],Tabla1[Fecha],"&gt;="&amp;$A16,Tabla1[Fecha],"&lt;="&amp;EOMONTH($A16,0),Tabla1[Codigo_actividad],U$4,Tabla1[Actividades],"&lt;&gt;"&amp;"METALOGRAFIAS",Tabla1[Length],U$1)</f>
        <v>200</v>
      </c>
      <c r="V16" s="292">
        <f>+SUMIFS(Tabla1[Observaciones],Tabla1[Fecha],"&gt;="&amp;$A16,Tabla1[Fecha],"&lt;="&amp;EOMONTH($A16,0),Tabla1[Codigo_actividad],V$4,Tabla1[Actividades],"&lt;&gt;"&amp;"METALOGRAFIAS",Tabla1[Length],V$1)</f>
        <v>0</v>
      </c>
      <c r="W16" s="292">
        <f>+SUMIFS(Tabla1[Observaciones],Tabla1[Fecha],"&gt;="&amp;$A16,Tabla1[Fecha],"&lt;="&amp;EOMONTH($A16,0),Tabla1[Codigo_actividad],W$4,Tabla1[Actividades],"&lt;&gt;"&amp;"METALOGRAFIAS",Tabla1[Length],W$1)</f>
        <v>0</v>
      </c>
      <c r="X16" s="425"/>
      <c r="Y16" s="425"/>
      <c r="Z16" s="425"/>
      <c r="AA16" s="425"/>
      <c r="BE16"/>
    </row>
    <row r="17" spans="1:65" x14ac:dyDescent="0.25">
      <c r="A17" s="228">
        <v>46296</v>
      </c>
      <c r="B17" s="292">
        <f>+SUMIFS(Tabla1[Avance_km],Tabla1[Fecha],"&gt;="&amp;$A17,Tabla1[Fecha],"&lt;="&amp;EOMONTH($A17,0),Tabla1[Codigo_actividad],B$4)*B$3</f>
        <v>114016.5</v>
      </c>
      <c r="C17" s="292">
        <f>+SUMIFS(Tabla1[Avance_km],Tabla1[Fecha],"&gt;="&amp;$A17,Tabla1[Fecha],"&lt;="&amp;EOMONTH($A17,0),Tabla1[Codigo_actividad],C$4)*C$3</f>
        <v>13320.899999999994</v>
      </c>
      <c r="D17" s="292">
        <f>+SUMIFS(Tabla1[Avance_km],Tabla1[Fecha],"&gt;="&amp;$A17,Tabla1[Fecha],"&lt;="&amp;EOMONTH($A17,0),Tabla1[Codigo_actividad],D$4)*D$3</f>
        <v>2599.1999999999989</v>
      </c>
      <c r="E17" s="292">
        <f>+O17*$E$3</f>
        <v>0</v>
      </c>
      <c r="F17" s="292">
        <f t="shared" si="2"/>
        <v>69000</v>
      </c>
      <c r="G17" s="292">
        <f t="shared" si="3"/>
        <v>60770</v>
      </c>
      <c r="H17" s="291"/>
      <c r="I17" s="286">
        <f t="shared" si="4"/>
        <v>259706.59999999998</v>
      </c>
      <c r="K17" s="228">
        <v>46296</v>
      </c>
      <c r="L17" s="292">
        <f>+SUMIFS(Tabla1[Avance_km],Tabla1[Fecha],"&gt;="&amp;$A17,Tabla1[Fecha],"&lt;="&amp;EOMONTH($A17,0),Tabla1[Codigo_actividad],L$4)</f>
        <v>14.6175</v>
      </c>
      <c r="M17" s="292">
        <f>+SUMIFS(Tabla1[Avance_km],Tabla1[Fecha],"&gt;="&amp;$A17,Tabla1[Fecha],"&lt;="&amp;EOMONTH($A17,0),Tabla1[Codigo_actividad],M$4)</f>
        <v>1.6244999999999994</v>
      </c>
      <c r="N17" s="292">
        <f>+SUMIFS(Tabla1[Avance_km],Tabla1[Fecha],"&gt;="&amp;$A17,Tabla1[Fecha],"&lt;="&amp;EOMONTH($A17,0),Tabla1[Codigo_actividad],N$4)</f>
        <v>1.6244999999999994</v>
      </c>
      <c r="O17" s="292">
        <f>+SUMIFS(Tabla1[Observaciones],Tabla1[Fecha],"&gt;="&amp;$A17,Tabla1[Fecha],"&lt;="&amp;EOMONTH($A17,0),Tabla1[Codigo_actividad],O$4,Tabla1[Actividades],"&lt;&gt;"&amp;"METALOGRAFIAS",Tabla1[Length],O$1)</f>
        <v>0</v>
      </c>
      <c r="P17" s="292">
        <f>+SUMIFS(Tabla1[Observaciones],Tabla1[Fecha],"&gt;="&amp;$A17,Tabla1[Fecha],"&lt;="&amp;EOMONTH($A17,0),Tabla1[Codigo_actividad],P$4,Tabla1[Actividades],"&lt;&gt;"&amp;"METALOGRAFIAS",Tabla1[Length],P$1)</f>
        <v>46</v>
      </c>
      <c r="Q17" s="292">
        <f>+SUMIFS(Tabla1[Observaciones],Tabla1[Fecha],"&gt;="&amp;$A17,Tabla1[Fecha],"&lt;="&amp;EOMONTH($A17,0),Tabla1[Codigo_actividad],Q$4,Tabla1[Actividades],"&lt;&gt;"&amp;"METALOGRAFIAS",Tabla1[Length],Q$1)</f>
        <v>206</v>
      </c>
      <c r="R17" s="357"/>
      <c r="S17" s="286">
        <f>SUM(L17:N17)</f>
        <v>17.866499999999995</v>
      </c>
      <c r="T17" s="425">
        <f t="shared" si="6"/>
        <v>252</v>
      </c>
      <c r="U17" s="292">
        <f>+SUMIFS(Tabla1[Observaciones],Tabla1[Fecha],"&gt;="&amp;$A17,Tabla1[Fecha],"&lt;="&amp;EOMONTH($A17,0),Tabla1[Codigo_actividad],U$4,Tabla1[Actividades],"&lt;&gt;"&amp;"METALOGRAFIAS",Tabla1[Length],U$1)</f>
        <v>0</v>
      </c>
      <c r="V17" s="292">
        <f>+SUMIFS(Tabla1[Observaciones],Tabla1[Fecha],"&gt;="&amp;$A17,Tabla1[Fecha],"&lt;="&amp;EOMONTH($A17,0),Tabla1[Codigo_actividad],V$4,Tabla1[Actividades],"&lt;&gt;"&amp;"METALOGRAFIAS",Tabla1[Length],V$1)</f>
        <v>46</v>
      </c>
      <c r="W17" s="292">
        <f>+SUMIFS(Tabla1[Observaciones],Tabla1[Fecha],"&gt;="&amp;$A17,Tabla1[Fecha],"&lt;="&amp;EOMONTH($A17,0),Tabla1[Codigo_actividad],W$4,Tabla1[Actividades],"&lt;&gt;"&amp;"METALOGRAFIAS",Tabla1[Length],W$1)</f>
        <v>206</v>
      </c>
      <c r="X17" s="425"/>
      <c r="Y17" s="425"/>
      <c r="Z17" s="425"/>
      <c r="AA17" s="425"/>
      <c r="BE17"/>
    </row>
    <row r="18" spans="1:65" x14ac:dyDescent="0.25">
      <c r="A18" s="228">
        <v>46327</v>
      </c>
      <c r="B18" s="292">
        <f>+SUMIFS(Tabla1[Avance_km],Tabla1[Fecha],"&gt;="&amp;$A18,Tabla1[Fecha],"&lt;="&amp;EOMONTH($A18,0),Tabla1[Codigo_actividad],B$4)*B$3</f>
        <v>0</v>
      </c>
      <c r="C18" s="292">
        <f>+SUMIFS(Tabla1[Avance_km],Tabla1[Fecha],"&gt;="&amp;$A18,Tabla1[Fecha],"&lt;="&amp;EOMONTH($A18,0),Tabla1[Codigo_actividad],C$4)*C$3</f>
        <v>0</v>
      </c>
      <c r="D18" s="292">
        <f>+SUMIFS(Tabla1[Avance_km],Tabla1[Fecha],"&gt;="&amp;$A18,Tabla1[Fecha],"&lt;="&amp;EOMONTH($A18,0),Tabla1[Codigo_actividad],D$4)*D$3</f>
        <v>0</v>
      </c>
      <c r="E18" s="292">
        <f t="shared" si="1"/>
        <v>0</v>
      </c>
      <c r="F18" s="292">
        <f t="shared" si="2"/>
        <v>0</v>
      </c>
      <c r="G18" s="292">
        <f t="shared" si="3"/>
        <v>0</v>
      </c>
      <c r="H18" s="291"/>
      <c r="I18" s="286">
        <f t="shared" si="4"/>
        <v>0</v>
      </c>
      <c r="K18" s="228">
        <v>46327</v>
      </c>
      <c r="L18" s="292">
        <f>+SUMIFS(Tabla1[Avance_km],Tabla1[Fecha],"&gt;="&amp;$A18,Tabla1[Fecha],"&lt;="&amp;EOMONTH($A18,0),Tabla1[Codigo_actividad],L$4)</f>
        <v>0</v>
      </c>
      <c r="M18" s="292">
        <f>+SUMIFS(Tabla1[Avance_km],Tabla1[Fecha],"&gt;="&amp;$A18,Tabla1[Fecha],"&lt;="&amp;EOMONTH($A18,0),Tabla1[Codigo_actividad],M$4)</f>
        <v>0</v>
      </c>
      <c r="N18" s="292">
        <f>+SUMIFS(Tabla1[Avance_km],Tabla1[Fecha],"&gt;="&amp;$A18,Tabla1[Fecha],"&lt;="&amp;EOMONTH($A18,0),Tabla1[Codigo_actividad],N$4)</f>
        <v>0</v>
      </c>
      <c r="O18" s="292">
        <f>+SUMIFS(Tabla1[Observaciones],Tabla1[Fecha],"&gt;="&amp;$A18,Tabla1[Fecha],"&lt;="&amp;EOMONTH($A18,0),Tabla1[Codigo_actividad],O$4,Tabla1[Actividades],"&lt;&gt;"&amp;"METALOGRAFIAS",Tabla1[Length],O$1)</f>
        <v>0</v>
      </c>
      <c r="P18" s="292">
        <f>+SUMIFS(Tabla1[Observaciones],Tabla1[Fecha],"&gt;="&amp;$A18,Tabla1[Fecha],"&lt;="&amp;EOMONTH($A18,0),Tabla1[Codigo_actividad],P$4,Tabla1[Actividades],"&lt;&gt;"&amp;"METALOGRAFIAS",Tabla1[Length],P$1)</f>
        <v>0</v>
      </c>
      <c r="Q18" s="292">
        <f>+SUMIFS(Tabla1[Observaciones],Tabla1[Fecha],"&gt;="&amp;$A18,Tabla1[Fecha],"&lt;="&amp;EOMONTH($A18,0),Tabla1[Codigo_actividad],Q$4,Tabla1[Actividades],"&lt;&gt;"&amp;"METALOGRAFIAS",Tabla1[Length],Q$1)</f>
        <v>0</v>
      </c>
      <c r="R18" s="291"/>
      <c r="S18" s="286">
        <f t="shared" si="5"/>
        <v>0</v>
      </c>
      <c r="T18" s="425">
        <f t="shared" si="6"/>
        <v>0</v>
      </c>
      <c r="U18" s="292">
        <f>+SUMIFS(Tabla1[Observaciones],Tabla1[Fecha],"&gt;="&amp;$A18,Tabla1[Fecha],"&lt;="&amp;EOMONTH($A18,0),Tabla1[Codigo_actividad],U$4,Tabla1[Actividades],"&lt;&gt;"&amp;"METALOGRAFIAS",Tabla1[Length],U$1)</f>
        <v>0</v>
      </c>
      <c r="V18" s="292">
        <f>+SUMIFS(Tabla1[Observaciones],Tabla1[Fecha],"&gt;="&amp;$A18,Tabla1[Fecha],"&lt;="&amp;EOMONTH($A18,0),Tabla1[Codigo_actividad],V$4,Tabla1[Actividades],"&lt;&gt;"&amp;"METALOGRAFIAS",Tabla1[Length],V$1)</f>
        <v>0</v>
      </c>
      <c r="W18" s="292">
        <f>+SUMIFS(Tabla1[Observaciones],Tabla1[Fecha],"&gt;="&amp;$A18,Tabla1[Fecha],"&lt;="&amp;EOMONTH($A18,0),Tabla1[Codigo_actividad],W$4,Tabla1[Actividades],"&lt;&gt;"&amp;"METALOGRAFIAS",Tabla1[Length],W$1)</f>
        <v>0</v>
      </c>
      <c r="X18" s="425"/>
      <c r="Y18" s="425"/>
      <c r="Z18" s="425"/>
      <c r="AA18" s="425"/>
      <c r="BE18"/>
    </row>
    <row r="19" spans="1:65" x14ac:dyDescent="0.25">
      <c r="A19" s="228">
        <v>46357</v>
      </c>
      <c r="B19" s="292">
        <f>+SUMIFS(Tabla1[Avance_km],Tabla1[Fecha],"&gt;="&amp;$A19,Tabla1[Fecha],"&lt;="&amp;EOMONTH($A19,0),Tabla1[Codigo_actividad],B$4)*B$3</f>
        <v>0</v>
      </c>
      <c r="C19" s="292">
        <f>+SUMIFS(Tabla1[Avance_km],Tabla1[Fecha],"&gt;="&amp;$A19,Tabla1[Fecha],"&lt;="&amp;EOMONTH($A19,0),Tabla1[Codigo_actividad],C$4)*C$3</f>
        <v>0</v>
      </c>
      <c r="D19" s="292">
        <f>+SUMIFS(Tabla1[Avance_km],Tabla1[Fecha],"&gt;="&amp;$A19,Tabla1[Fecha],"&lt;="&amp;EOMONTH($A19,0),Tabla1[Codigo_actividad],D$4)*D$3</f>
        <v>0</v>
      </c>
      <c r="E19" s="292">
        <f t="shared" si="1"/>
        <v>0</v>
      </c>
      <c r="F19" s="292">
        <f t="shared" si="2"/>
        <v>0</v>
      </c>
      <c r="G19" s="292">
        <f t="shared" si="3"/>
        <v>0</v>
      </c>
      <c r="H19" s="291"/>
      <c r="I19" s="286">
        <f t="shared" si="4"/>
        <v>0</v>
      </c>
      <c r="K19" s="228">
        <v>46357</v>
      </c>
      <c r="L19" s="292">
        <f>+SUMIFS(Tabla1[Avance_km],Tabla1[Fecha],"&gt;="&amp;$A19,Tabla1[Fecha],"&lt;="&amp;EOMONTH($A19,0),Tabla1[Codigo_actividad],L$4)</f>
        <v>0</v>
      </c>
      <c r="M19" s="292">
        <f>+SUMIFS(Tabla1[Avance_km],Tabla1[Fecha],"&gt;="&amp;$A19,Tabla1[Fecha],"&lt;="&amp;EOMONTH($A19,0),Tabla1[Codigo_actividad],M$4)</f>
        <v>0</v>
      </c>
      <c r="N19" s="292">
        <f>+SUMIFS(Tabla1[Avance_km],Tabla1[Fecha],"&gt;="&amp;$A19,Tabla1[Fecha],"&lt;="&amp;EOMONTH($A19,0),Tabla1[Codigo_actividad],N$4)</f>
        <v>0</v>
      </c>
      <c r="O19" s="292">
        <f>+SUMIFS(Tabla1[Observaciones],Tabla1[Fecha],"&gt;="&amp;$A19,Tabla1[Fecha],"&lt;="&amp;EOMONTH($A19,0),Tabla1[Codigo_actividad],O$4,Tabla1[Actividades],"&lt;&gt;"&amp;"METALOGRAFIAS",Tabla1[Length],O$1)</f>
        <v>0</v>
      </c>
      <c r="P19" s="292">
        <f>+SUMIFS(Tabla1[Observaciones],Tabla1[Fecha],"&gt;="&amp;$A19,Tabla1[Fecha],"&lt;="&amp;EOMONTH($A19,0),Tabla1[Codigo_actividad],P$4,Tabla1[Actividades],"&lt;&gt;"&amp;"METALOGRAFIAS",Tabla1[Length],P$1)</f>
        <v>0</v>
      </c>
      <c r="Q19" s="292">
        <f>+SUMIFS(Tabla1[Observaciones],Tabla1[Fecha],"&gt;="&amp;$A19,Tabla1[Fecha],"&lt;="&amp;EOMONTH($A19,0),Tabla1[Codigo_actividad],Q$4,Tabla1[Actividades],"&lt;&gt;"&amp;"METALOGRAFIAS",Tabla1[Length],Q$1)</f>
        <v>0</v>
      </c>
      <c r="R19" s="291"/>
      <c r="S19" s="286">
        <f t="shared" si="5"/>
        <v>0</v>
      </c>
      <c r="T19" s="425">
        <f t="shared" si="6"/>
        <v>0</v>
      </c>
      <c r="U19" s="292">
        <f>+SUMIFS(Tabla1[Observaciones],Tabla1[Fecha],"&gt;="&amp;$A19,Tabla1[Fecha],"&lt;="&amp;EOMONTH($A19,0),Tabla1[Codigo_actividad],U$4,Tabla1[Actividades],"&lt;&gt;"&amp;"METALOGRAFIAS",Tabla1[Length],U$1)</f>
        <v>0</v>
      </c>
      <c r="V19" s="292">
        <f>+SUMIFS(Tabla1[Observaciones],Tabla1[Fecha],"&gt;="&amp;$A19,Tabla1[Fecha],"&lt;="&amp;EOMONTH($A19,0),Tabla1[Codigo_actividad],V$4,Tabla1[Actividades],"&lt;&gt;"&amp;"METALOGRAFIAS",Tabla1[Length],V$1)</f>
        <v>0</v>
      </c>
      <c r="W19" s="292">
        <f>+SUMIFS(Tabla1[Observaciones],Tabla1[Fecha],"&gt;="&amp;$A19,Tabla1[Fecha],"&lt;="&amp;EOMONTH($A19,0),Tabla1[Codigo_actividad],W$4,Tabla1[Actividades],"&lt;&gt;"&amp;"METALOGRAFIAS",Tabla1[Length],W$1)</f>
        <v>0</v>
      </c>
      <c r="X19" s="425"/>
      <c r="Y19" s="425"/>
      <c r="Z19" s="425"/>
      <c r="AA19" s="425"/>
    </row>
    <row r="20" spans="1:65" ht="30" x14ac:dyDescent="0.25">
      <c r="A20" s="368" t="s">
        <v>499</v>
      </c>
      <c r="I20" s="287">
        <f>SUM(I5:I19)</f>
        <v>1676021.6000000006</v>
      </c>
      <c r="K20" s="61" t="s">
        <v>445</v>
      </c>
      <c r="L20" s="369">
        <f>SUM(L6:L19)</f>
        <v>180.42550000000003</v>
      </c>
      <c r="M20" s="369">
        <f>SUM(M6:M19)</f>
        <v>148.92450000000002</v>
      </c>
      <c r="N20" s="369">
        <f>SUM(N6:N19)</f>
        <v>181.88550000000001</v>
      </c>
      <c r="O20" s="436">
        <f>SUM(O6:O19)</f>
        <v>357</v>
      </c>
      <c r="P20" s="424">
        <f t="shared" ref="P20:Q20" si="7">SUM(P6:P19)</f>
        <v>46</v>
      </c>
      <c r="Q20" s="424">
        <f t="shared" si="7"/>
        <v>206</v>
      </c>
      <c r="S20" s="287">
        <f>SUM(S6:S19)</f>
        <v>511.2355</v>
      </c>
      <c r="T20" s="426">
        <f>SUM(T6:T19)</f>
        <v>609</v>
      </c>
      <c r="U20" s="436">
        <f>SUM(U6:U19)</f>
        <v>357</v>
      </c>
      <c r="V20" s="424">
        <f t="shared" ref="V20:W20" si="8">SUM(V6:V19)</f>
        <v>46</v>
      </c>
      <c r="W20" s="424">
        <f t="shared" si="8"/>
        <v>206</v>
      </c>
      <c r="X20" s="426"/>
      <c r="Y20" s="426"/>
      <c r="Z20" s="426"/>
      <c r="AA20" s="426"/>
    </row>
    <row r="21" spans="1:65" x14ac:dyDescent="0.25">
      <c r="A21"/>
      <c r="B21" s="288">
        <f t="shared" ref="B21:G21" si="9">SUM(B6:B19)</f>
        <v>1407318.9</v>
      </c>
      <c r="C21" s="288">
        <f t="shared" si="9"/>
        <v>1221180.8999999999</v>
      </c>
      <c r="D21" s="288">
        <f t="shared" si="9"/>
        <v>291016.8000000001</v>
      </c>
      <c r="E21" s="288">
        <f t="shared" si="9"/>
        <v>126735</v>
      </c>
      <c r="F21" s="288">
        <f t="shared" si="9"/>
        <v>69000</v>
      </c>
      <c r="G21" s="288">
        <f t="shared" si="9"/>
        <v>60770</v>
      </c>
      <c r="H21" s="229"/>
      <c r="I21" s="286">
        <f>+IF(SUM(I6:I19)=SUM(B21:G21),SUM(I6:I19),"Diferencia en los montos")</f>
        <v>3176021.6</v>
      </c>
      <c r="K21"/>
      <c r="R21" s="229"/>
      <c r="S21" s="286">
        <f>+IF(SUM(S6:S19)=SUM(L20:N20),SUM(S6:S19))</f>
        <v>511.2355</v>
      </c>
    </row>
    <row r="22" spans="1:65" x14ac:dyDescent="0.25">
      <c r="A22"/>
      <c r="B22"/>
      <c r="C22"/>
      <c r="L22" s="365"/>
      <c r="M22" s="365"/>
      <c r="N22" s="365"/>
      <c r="O22" s="365"/>
      <c r="P22" s="365"/>
      <c r="Q22" s="36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05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70"/>
      <c r="C24" s="270"/>
      <c r="D24" s="270"/>
      <c r="E24" s="270"/>
      <c r="F24" s="270"/>
      <c r="G24" s="270"/>
      <c r="H24" s="270"/>
      <c r="I24" s="270"/>
      <c r="J24" s="270"/>
      <c r="K24" s="270"/>
      <c r="L24" s="546"/>
      <c r="M24" s="546"/>
      <c r="N24" s="546"/>
      <c r="O24" s="263"/>
      <c r="P24" s="263"/>
      <c r="Q24" s="263"/>
      <c r="R24" s="263"/>
      <c r="S24" s="270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285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285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285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299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285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285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285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285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285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285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285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285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285">
        <f t="shared" si="10"/>
        <v>259706.59999999998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290">
        <f>SUM(B26:B37)</f>
        <v>3176021.6</v>
      </c>
      <c r="C38" s="271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299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372">
        <v>1500000</v>
      </c>
      <c r="E76" s="372"/>
      <c r="F76" s="372"/>
      <c r="G76" s="372"/>
      <c r="H76"/>
      <c r="I76"/>
      <c r="J76"/>
      <c r="K76"/>
      <c r="L76"/>
    </row>
    <row r="77" spans="1:12" x14ac:dyDescent="0.25">
      <c r="A77"/>
      <c r="B77"/>
      <c r="C77"/>
      <c r="D77" s="372">
        <f>+D76/1.16</f>
        <v>1293103.4482758623</v>
      </c>
      <c r="E77" s="372"/>
      <c r="F77" s="372"/>
      <c r="G77" s="372"/>
      <c r="H77" t="s">
        <v>507</v>
      </c>
      <c r="I77"/>
      <c r="J77"/>
      <c r="K77"/>
      <c r="L77"/>
    </row>
    <row r="78" spans="1:12" x14ac:dyDescent="0.25">
      <c r="A78"/>
      <c r="B78"/>
      <c r="C78"/>
      <c r="D78" s="372">
        <f>+D77*0.16</f>
        <v>206896.55172413797</v>
      </c>
      <c r="E78" s="372"/>
      <c r="F78" s="372"/>
      <c r="G78" s="372"/>
      <c r="H78" t="s">
        <v>506</v>
      </c>
      <c r="I78"/>
      <c r="J78"/>
      <c r="K78"/>
      <c r="L78"/>
    </row>
    <row r="79" spans="1:12" x14ac:dyDescent="0.25">
      <c r="A79"/>
      <c r="B79"/>
      <c r="C79"/>
      <c r="D79" s="372">
        <f>+D77+D78</f>
        <v>1500000.0000000002</v>
      </c>
      <c r="E79" s="372"/>
      <c r="F79" s="372"/>
      <c r="G79" s="372"/>
      <c r="H79" t="s">
        <v>508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62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6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46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62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62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62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62" t="s">
        <v>494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494</v>
      </c>
    </row>
    <row r="44" spans="1:12" x14ac:dyDescent="0.3">
      <c r="A44" s="101" t="s">
        <v>496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496</v>
      </c>
    </row>
    <row r="45" spans="1:12" x14ac:dyDescent="0.3">
      <c r="A45" s="101" t="s">
        <v>353</v>
      </c>
      <c r="B45" s="52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19" t="s">
        <v>180</v>
      </c>
      <c r="G2" s="320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19" t="s">
        <v>181</v>
      </c>
      <c r="G3" s="320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19" t="s">
        <v>211</v>
      </c>
      <c r="G4" s="320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19" t="s">
        <v>352</v>
      </c>
      <c r="G5" s="320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19" t="s">
        <v>380</v>
      </c>
      <c r="G6" s="320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19" t="s">
        <v>272</v>
      </c>
      <c r="G7" s="320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19" t="s">
        <v>273</v>
      </c>
      <c r="G8" s="320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367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1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13"/>
  </cols>
  <sheetData>
    <row r="3" spans="2:6" ht="31.5" customHeight="1" x14ac:dyDescent="0.25">
      <c r="C3" s="458" t="s">
        <v>584</v>
      </c>
      <c r="D3" s="458" t="s">
        <v>585</v>
      </c>
      <c r="E3" s="458" t="s">
        <v>586</v>
      </c>
      <c r="F3" s="458" t="s">
        <v>587</v>
      </c>
    </row>
    <row r="4" spans="2:6" ht="34.5" customHeight="1" x14ac:dyDescent="0.25">
      <c r="B4" s="462">
        <v>46294</v>
      </c>
      <c r="C4" s="459" t="s">
        <v>588</v>
      </c>
      <c r="D4" s="460" t="s">
        <v>589</v>
      </c>
      <c r="E4" s="461" t="s">
        <v>590</v>
      </c>
      <c r="F4" s="521" t="s">
        <v>641</v>
      </c>
    </row>
    <row r="5" spans="2:6" ht="34.5" customHeight="1" x14ac:dyDescent="0.25">
      <c r="B5" s="462">
        <v>46294</v>
      </c>
      <c r="C5" s="459" t="s">
        <v>591</v>
      </c>
      <c r="D5" s="460" t="s">
        <v>592</v>
      </c>
      <c r="E5" s="461" t="s">
        <v>590</v>
      </c>
      <c r="F5" s="521" t="s">
        <v>641</v>
      </c>
    </row>
    <row r="6" spans="2:6" ht="34.5" customHeight="1" x14ac:dyDescent="0.25">
      <c r="B6" s="462">
        <v>46297</v>
      </c>
      <c r="C6" s="459" t="s">
        <v>593</v>
      </c>
      <c r="D6" s="460" t="s">
        <v>594</v>
      </c>
      <c r="E6" s="461" t="s">
        <v>595</v>
      </c>
      <c r="F6" s="521" t="s">
        <v>641</v>
      </c>
    </row>
    <row r="7" spans="2:6" ht="34.5" customHeight="1" x14ac:dyDescent="0.25">
      <c r="B7" s="462">
        <v>46296</v>
      </c>
      <c r="C7" s="459" t="s">
        <v>596</v>
      </c>
      <c r="D7" s="460" t="s">
        <v>597</v>
      </c>
      <c r="E7" s="461" t="s">
        <v>595</v>
      </c>
      <c r="F7" s="521" t="s">
        <v>641</v>
      </c>
    </row>
    <row r="8" spans="2:6" ht="34.5" customHeight="1" x14ac:dyDescent="0.25">
      <c r="B8" s="462">
        <v>46294</v>
      </c>
      <c r="C8" s="459" t="s">
        <v>598</v>
      </c>
      <c r="D8" s="460" t="s">
        <v>599</v>
      </c>
      <c r="E8" s="461" t="s">
        <v>595</v>
      </c>
      <c r="F8" s="521" t="s">
        <v>641</v>
      </c>
    </row>
    <row r="9" spans="2:6" ht="34.5" customHeight="1" x14ac:dyDescent="0.25">
      <c r="B9" s="462">
        <v>46296</v>
      </c>
      <c r="C9" s="459" t="s">
        <v>600</v>
      </c>
      <c r="D9" s="460" t="s">
        <v>601</v>
      </c>
      <c r="E9" s="461" t="s">
        <v>602</v>
      </c>
      <c r="F9" s="521" t="s">
        <v>641</v>
      </c>
    </row>
    <row r="10" spans="2:6" ht="34.5" customHeight="1" x14ac:dyDescent="0.25">
      <c r="B10" s="462">
        <v>46297</v>
      </c>
      <c r="C10" s="459" t="s">
        <v>603</v>
      </c>
      <c r="D10" s="460" t="s">
        <v>604</v>
      </c>
      <c r="E10" s="461" t="s">
        <v>602</v>
      </c>
      <c r="F10" s="521" t="s">
        <v>641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02">
        <v>2532.81</v>
      </c>
      <c r="C1" s="302">
        <v>3250.01</v>
      </c>
      <c r="D1" s="302">
        <v>985.32</v>
      </c>
      <c r="E1" s="302">
        <v>1062.92</v>
      </c>
      <c r="F1" s="302">
        <v>1337.25</v>
      </c>
      <c r="G1" s="302">
        <v>1581.21</v>
      </c>
      <c r="H1" s="302">
        <v>14521.41</v>
      </c>
      <c r="I1" s="303">
        <v>13555.63</v>
      </c>
      <c r="J1" s="302">
        <v>13555.63</v>
      </c>
      <c r="K1" s="303">
        <v>13696.28</v>
      </c>
      <c r="L1" s="302">
        <v>4658</v>
      </c>
      <c r="M1" s="302">
        <v>2257.42</v>
      </c>
      <c r="N1" s="302">
        <v>3540.12</v>
      </c>
      <c r="O1" s="302">
        <v>2646.28</v>
      </c>
      <c r="P1" s="302">
        <v>1970.65</v>
      </c>
      <c r="Q1" s="302">
        <v>7585.99</v>
      </c>
      <c r="R1" s="302">
        <v>1765.59</v>
      </c>
      <c r="S1" s="302">
        <v>1934.59</v>
      </c>
      <c r="T1" s="302">
        <v>1960.59</v>
      </c>
      <c r="U1" s="302">
        <v>2220.59</v>
      </c>
      <c r="V1" s="302">
        <v>2220.59</v>
      </c>
      <c r="W1" s="302">
        <v>2090.59</v>
      </c>
      <c r="X1" s="302">
        <v>2090.59</v>
      </c>
      <c r="Y1" s="302">
        <v>656</v>
      </c>
      <c r="Z1" s="302">
        <v>4676</v>
      </c>
      <c r="AA1" s="302">
        <v>4124.2700000000004</v>
      </c>
      <c r="AB1" s="302">
        <v>5020.99</v>
      </c>
      <c r="AC1" s="302">
        <v>3652.99</v>
      </c>
      <c r="AD1" s="302">
        <v>3201.98</v>
      </c>
      <c r="AE1" s="302">
        <v>6840</v>
      </c>
      <c r="AF1" s="302">
        <v>2052</v>
      </c>
      <c r="AG1" s="302">
        <v>3420</v>
      </c>
      <c r="AH1" s="302">
        <v>4212.3599999999997</v>
      </c>
      <c r="AI1" s="302">
        <v>1368</v>
      </c>
      <c r="AJ1" s="302">
        <v>7244.35</v>
      </c>
      <c r="AK1" s="302">
        <v>6977.93</v>
      </c>
      <c r="AL1" s="302">
        <v>8275.99</v>
      </c>
      <c r="AM1" s="302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58">
        <v>3.1</v>
      </c>
      <c r="Q2" s="358">
        <v>3.2</v>
      </c>
      <c r="R2" s="358" t="s">
        <v>122</v>
      </c>
      <c r="S2" s="358" t="s">
        <v>124</v>
      </c>
      <c r="T2" s="358" t="s">
        <v>127</v>
      </c>
      <c r="U2" s="358" t="s">
        <v>129</v>
      </c>
      <c r="V2" s="358" t="s">
        <v>131</v>
      </c>
      <c r="W2" s="358" t="s">
        <v>133</v>
      </c>
      <c r="X2" s="358" t="s">
        <v>135</v>
      </c>
      <c r="Y2" s="358" t="s">
        <v>137</v>
      </c>
      <c r="Z2" s="358" t="s">
        <v>139</v>
      </c>
      <c r="AA2" s="35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515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21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0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21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0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21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0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21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0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21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0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21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0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21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04">
        <f>-[1]Dashboard!D67</f>
        <v>-85730.795280000006</v>
      </c>
      <c r="AP9" s="13">
        <f t="shared" si="0"/>
        <v>8126.7120000000004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21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04">
        <f>-[1]Dashboard!D68</f>
        <v>-85734.352079999997</v>
      </c>
      <c r="AP10" s="13">
        <f t="shared" si="0"/>
        <v>129565.31577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21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0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21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0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21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0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21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0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21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04">
        <f>-[1]Dashboard!D73</f>
        <v>-102830.79528000001</v>
      </c>
      <c r="AP15" s="13">
        <f t="shared" si="0"/>
        <v>734377.50459999999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21">
        <f>+SUMIFS(Tabla1[Avance_km],Tabla1[Fecha],"&gt;="&amp;$A16,Tabla1[Fecha],"&lt;="&amp;EOMONTH($A16,0),Tabla1[Codigo_actividad],K$2)</f>
        <v>43.176456672906802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04"/>
      <c r="AP16" s="13">
        <f t="shared" si="0"/>
        <v>829311.8504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21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0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21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04"/>
      <c r="AP18" s="13">
        <f t="shared" si="0"/>
        <v>0</v>
      </c>
    </row>
    <row r="19" spans="1:44" x14ac:dyDescent="0.25">
      <c r="A19" s="228"/>
      <c r="B19" s="1">
        <f>SUM(B3:B18)</f>
        <v>0</v>
      </c>
      <c r="C19" s="1">
        <f t="shared" ref="C19:O19" si="1">SUM(C3:C18)</f>
        <v>0</v>
      </c>
      <c r="D19" s="1">
        <f t="shared" si="1"/>
        <v>0</v>
      </c>
      <c r="E19" s="1">
        <f t="shared" si="1"/>
        <v>0</v>
      </c>
      <c r="F19" s="1">
        <f t="shared" si="1"/>
        <v>0</v>
      </c>
      <c r="G19" s="1">
        <f t="shared" si="1"/>
        <v>0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21">
        <f t="shared" si="1"/>
        <v>97.248375471295844</v>
      </c>
      <c r="L19" s="1">
        <f t="shared" si="1"/>
        <v>396</v>
      </c>
      <c r="M19" s="254">
        <f t="shared" si="1"/>
        <v>181.88550000000001</v>
      </c>
      <c r="N19" s="1">
        <f t="shared" si="1"/>
        <v>0</v>
      </c>
      <c r="O19" s="1">
        <f t="shared" si="1"/>
        <v>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8244876.9073000019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58">
        <v>3.1</v>
      </c>
      <c r="Q22" s="358">
        <v>3.2</v>
      </c>
      <c r="R22" s="358" t="s">
        <v>122</v>
      </c>
      <c r="S22" s="358" t="s">
        <v>124</v>
      </c>
      <c r="T22" s="358" t="s">
        <v>127</v>
      </c>
      <c r="U22" s="358" t="s">
        <v>129</v>
      </c>
      <c r="V22" s="358" t="s">
        <v>131</v>
      </c>
      <c r="W22" s="358" t="s">
        <v>133</v>
      </c>
      <c r="X22" s="358" t="s">
        <v>135</v>
      </c>
      <c r="Y22" s="358" t="s">
        <v>137</v>
      </c>
      <c r="Z22" s="358" t="s">
        <v>139</v>
      </c>
      <c r="AA22" s="358">
        <v>3.4</v>
      </c>
      <c r="AB22" s="358">
        <v>4.0999999999999996</v>
      </c>
      <c r="AC22" s="358">
        <v>4.2</v>
      </c>
      <c r="AD22" s="358">
        <v>4.3</v>
      </c>
      <c r="AE22" s="358">
        <v>4.4000000000000004</v>
      </c>
      <c r="AF22" s="358">
        <v>4.5</v>
      </c>
      <c r="AG22" s="358">
        <v>4.5999999999999996</v>
      </c>
      <c r="AH22" s="358">
        <v>4.7</v>
      </c>
      <c r="AI22" s="358">
        <v>4.8</v>
      </c>
      <c r="AJ22" s="358">
        <v>4.9000000000000004</v>
      </c>
      <c r="AK22" s="358" t="s">
        <v>515</v>
      </c>
      <c r="AL22" s="358">
        <v>4.1100000000000003</v>
      </c>
      <c r="AM22" s="35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292">
        <f>+B3*B$1</f>
        <v>0</v>
      </c>
      <c r="C23" s="292">
        <f t="shared" ref="C23:P23" si="2">+C3*C$1</f>
        <v>0</v>
      </c>
      <c r="D23" s="292">
        <f t="shared" si="2"/>
        <v>0</v>
      </c>
      <c r="E23" s="292">
        <f t="shared" si="2"/>
        <v>0</v>
      </c>
      <c r="F23" s="292">
        <f t="shared" si="2"/>
        <v>0</v>
      </c>
      <c r="G23" s="292">
        <f t="shared" si="2"/>
        <v>0</v>
      </c>
      <c r="H23" s="292">
        <f t="shared" si="2"/>
        <v>0</v>
      </c>
      <c r="I23" s="357">
        <f t="shared" si="2"/>
        <v>0</v>
      </c>
      <c r="J23" s="292">
        <f t="shared" si="2"/>
        <v>0</v>
      </c>
      <c r="K23" s="487">
        <f t="shared" si="2"/>
        <v>0</v>
      </c>
      <c r="L23" s="292">
        <f t="shared" si="2"/>
        <v>0</v>
      </c>
      <c r="M23" s="292">
        <f t="shared" si="2"/>
        <v>0</v>
      </c>
      <c r="N23" s="292">
        <f t="shared" si="2"/>
        <v>0</v>
      </c>
      <c r="O23" s="292">
        <f t="shared" si="2"/>
        <v>0</v>
      </c>
      <c r="P23" s="292">
        <f t="shared" si="2"/>
        <v>0</v>
      </c>
      <c r="Q23" s="292">
        <f t="shared" ref="Q23:AM23" si="3">+Q3*Q$1</f>
        <v>0</v>
      </c>
      <c r="R23" s="292">
        <f t="shared" si="3"/>
        <v>0</v>
      </c>
      <c r="S23" s="292">
        <f t="shared" si="3"/>
        <v>0</v>
      </c>
      <c r="T23" s="292">
        <f t="shared" si="3"/>
        <v>0</v>
      </c>
      <c r="U23" s="292">
        <f t="shared" si="3"/>
        <v>0</v>
      </c>
      <c r="V23" s="292">
        <f t="shared" si="3"/>
        <v>0</v>
      </c>
      <c r="W23" s="292">
        <f t="shared" si="3"/>
        <v>0</v>
      </c>
      <c r="X23" s="292">
        <f t="shared" si="3"/>
        <v>0</v>
      </c>
      <c r="Y23" s="292">
        <f t="shared" si="3"/>
        <v>0</v>
      </c>
      <c r="Z23" s="292">
        <f t="shared" si="3"/>
        <v>0</v>
      </c>
      <c r="AA23" s="292">
        <f t="shared" si="3"/>
        <v>0</v>
      </c>
      <c r="AB23" s="292">
        <f t="shared" si="3"/>
        <v>0</v>
      </c>
      <c r="AC23" s="292">
        <f t="shared" si="3"/>
        <v>0</v>
      </c>
      <c r="AD23" s="292">
        <f t="shared" si="3"/>
        <v>0</v>
      </c>
      <c r="AE23" s="292">
        <f t="shared" si="3"/>
        <v>0</v>
      </c>
      <c r="AF23" s="292">
        <f t="shared" si="3"/>
        <v>0</v>
      </c>
      <c r="AG23" s="292">
        <f t="shared" si="3"/>
        <v>0</v>
      </c>
      <c r="AH23" s="292">
        <f t="shared" si="3"/>
        <v>0</v>
      </c>
      <c r="AI23" s="292">
        <f t="shared" si="3"/>
        <v>0</v>
      </c>
      <c r="AJ23" s="292">
        <f t="shared" si="3"/>
        <v>0</v>
      </c>
      <c r="AK23" s="292">
        <f t="shared" si="3"/>
        <v>0</v>
      </c>
      <c r="AL23" s="292">
        <f t="shared" si="3"/>
        <v>0</v>
      </c>
      <c r="AM23" s="292">
        <f t="shared" si="3"/>
        <v>0</v>
      </c>
      <c r="AN23" s="411">
        <f>-[1]Dashboard!D61</f>
        <v>-91574.907240000015</v>
      </c>
      <c r="AO23" s="291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292">
        <f t="shared" ref="B24:AM24" si="4">+B4*B$1</f>
        <v>0</v>
      </c>
      <c r="C24" s="292">
        <f t="shared" si="4"/>
        <v>0</v>
      </c>
      <c r="D24" s="292">
        <f t="shared" si="4"/>
        <v>0</v>
      </c>
      <c r="E24" s="292">
        <f t="shared" si="4"/>
        <v>0</v>
      </c>
      <c r="F24" s="292">
        <f t="shared" si="4"/>
        <v>0</v>
      </c>
      <c r="G24" s="292">
        <f t="shared" si="4"/>
        <v>0</v>
      </c>
      <c r="H24" s="292">
        <f t="shared" si="4"/>
        <v>0</v>
      </c>
      <c r="I24" s="357">
        <f t="shared" si="4"/>
        <v>0</v>
      </c>
      <c r="J24" s="292">
        <f t="shared" si="4"/>
        <v>0</v>
      </c>
      <c r="K24" s="487">
        <f t="shared" si="4"/>
        <v>0</v>
      </c>
      <c r="L24" s="292">
        <f t="shared" si="4"/>
        <v>0</v>
      </c>
      <c r="M24" s="292">
        <f t="shared" si="4"/>
        <v>0</v>
      </c>
      <c r="N24" s="292">
        <f t="shared" si="4"/>
        <v>0</v>
      </c>
      <c r="O24" s="292">
        <f t="shared" si="4"/>
        <v>0</v>
      </c>
      <c r="P24" s="292">
        <f t="shared" si="4"/>
        <v>0</v>
      </c>
      <c r="Q24" s="292">
        <f t="shared" si="4"/>
        <v>0</v>
      </c>
      <c r="R24" s="292">
        <f t="shared" si="4"/>
        <v>0</v>
      </c>
      <c r="S24" s="292">
        <f t="shared" si="4"/>
        <v>0</v>
      </c>
      <c r="T24" s="292">
        <f t="shared" si="4"/>
        <v>0</v>
      </c>
      <c r="U24" s="292">
        <f t="shared" si="4"/>
        <v>0</v>
      </c>
      <c r="V24" s="292">
        <f t="shared" si="4"/>
        <v>0</v>
      </c>
      <c r="W24" s="292">
        <f t="shared" si="4"/>
        <v>0</v>
      </c>
      <c r="X24" s="292">
        <f t="shared" si="4"/>
        <v>0</v>
      </c>
      <c r="Y24" s="292">
        <f t="shared" si="4"/>
        <v>0</v>
      </c>
      <c r="Z24" s="292">
        <f t="shared" si="4"/>
        <v>0</v>
      </c>
      <c r="AA24" s="292">
        <f t="shared" si="4"/>
        <v>0</v>
      </c>
      <c r="AB24" s="292">
        <f t="shared" si="4"/>
        <v>0</v>
      </c>
      <c r="AC24" s="292">
        <f t="shared" si="4"/>
        <v>0</v>
      </c>
      <c r="AD24" s="292">
        <f t="shared" si="4"/>
        <v>0</v>
      </c>
      <c r="AE24" s="292">
        <f t="shared" si="4"/>
        <v>0</v>
      </c>
      <c r="AF24" s="292">
        <f t="shared" si="4"/>
        <v>0</v>
      </c>
      <c r="AG24" s="292">
        <f t="shared" si="4"/>
        <v>0</v>
      </c>
      <c r="AH24" s="292">
        <f t="shared" si="4"/>
        <v>0</v>
      </c>
      <c r="AI24" s="292">
        <f t="shared" si="4"/>
        <v>0</v>
      </c>
      <c r="AJ24" s="292">
        <f t="shared" si="4"/>
        <v>0</v>
      </c>
      <c r="AK24" s="292">
        <f t="shared" si="4"/>
        <v>0</v>
      </c>
      <c r="AL24" s="292">
        <f t="shared" si="4"/>
        <v>0</v>
      </c>
      <c r="AM24" s="292">
        <f t="shared" si="4"/>
        <v>0</v>
      </c>
      <c r="AN24" s="411">
        <f>-[1]Dashboard!D62</f>
        <v>-131427.58128000001</v>
      </c>
      <c r="AO24" s="291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292">
        <f t="shared" ref="B25:AM25" si="6">+B5*B$1</f>
        <v>0</v>
      </c>
      <c r="C25" s="292">
        <f t="shared" si="6"/>
        <v>0</v>
      </c>
      <c r="D25" s="292">
        <f t="shared" si="6"/>
        <v>0</v>
      </c>
      <c r="E25" s="292">
        <f t="shared" si="6"/>
        <v>0</v>
      </c>
      <c r="F25" s="292">
        <f t="shared" si="6"/>
        <v>0</v>
      </c>
      <c r="G25" s="292">
        <f t="shared" si="6"/>
        <v>0</v>
      </c>
      <c r="H25" s="292">
        <f t="shared" si="6"/>
        <v>458135.96408999996</v>
      </c>
      <c r="I25" s="357">
        <f t="shared" si="6"/>
        <v>0</v>
      </c>
      <c r="J25" s="292">
        <f t="shared" si="6"/>
        <v>719112.61586999998</v>
      </c>
      <c r="K25" s="487">
        <f t="shared" si="6"/>
        <v>0</v>
      </c>
      <c r="L25" s="292">
        <f t="shared" si="6"/>
        <v>456484</v>
      </c>
      <c r="M25" s="292">
        <f t="shared" si="6"/>
        <v>162583.90324000004</v>
      </c>
      <c r="N25" s="292">
        <f t="shared" si="6"/>
        <v>0</v>
      </c>
      <c r="O25" s="292">
        <f t="shared" si="6"/>
        <v>0</v>
      </c>
      <c r="P25" s="292">
        <f t="shared" si="6"/>
        <v>0</v>
      </c>
      <c r="Q25" s="292">
        <f t="shared" si="6"/>
        <v>0</v>
      </c>
      <c r="R25" s="292">
        <f t="shared" si="6"/>
        <v>0</v>
      </c>
      <c r="S25" s="292">
        <f t="shared" si="6"/>
        <v>0</v>
      </c>
      <c r="T25" s="292">
        <f t="shared" si="6"/>
        <v>0</v>
      </c>
      <c r="U25" s="292">
        <f t="shared" si="6"/>
        <v>0</v>
      </c>
      <c r="V25" s="292">
        <f t="shared" si="6"/>
        <v>0</v>
      </c>
      <c r="W25" s="292">
        <f t="shared" si="6"/>
        <v>0</v>
      </c>
      <c r="X25" s="292">
        <f t="shared" si="6"/>
        <v>0</v>
      </c>
      <c r="Y25" s="292">
        <f t="shared" si="6"/>
        <v>0</v>
      </c>
      <c r="Z25" s="292">
        <f t="shared" si="6"/>
        <v>0</v>
      </c>
      <c r="AA25" s="292">
        <f t="shared" si="6"/>
        <v>0</v>
      </c>
      <c r="AB25" s="292">
        <f t="shared" si="6"/>
        <v>0</v>
      </c>
      <c r="AC25" s="292">
        <f t="shared" si="6"/>
        <v>0</v>
      </c>
      <c r="AD25" s="292">
        <f t="shared" si="6"/>
        <v>0</v>
      </c>
      <c r="AE25" s="292">
        <f t="shared" si="6"/>
        <v>0</v>
      </c>
      <c r="AF25" s="292">
        <f t="shared" si="6"/>
        <v>0</v>
      </c>
      <c r="AG25" s="292">
        <f t="shared" si="6"/>
        <v>0</v>
      </c>
      <c r="AH25" s="292">
        <f t="shared" si="6"/>
        <v>0</v>
      </c>
      <c r="AI25" s="292">
        <f t="shared" si="6"/>
        <v>0</v>
      </c>
      <c r="AJ25" s="292">
        <f t="shared" si="6"/>
        <v>0</v>
      </c>
      <c r="AK25" s="292">
        <f t="shared" si="6"/>
        <v>0</v>
      </c>
      <c r="AL25" s="292">
        <f t="shared" si="6"/>
        <v>0</v>
      </c>
      <c r="AM25" s="292">
        <f t="shared" si="6"/>
        <v>0</v>
      </c>
      <c r="AN25" s="411">
        <f>-[1]Dashboard!D63</f>
        <v>-162389.24028</v>
      </c>
      <c r="AO25" s="291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292">
        <f t="shared" ref="B26:AM26" si="7">+B6*B$1</f>
        <v>0</v>
      </c>
      <c r="C26" s="292">
        <f t="shared" si="7"/>
        <v>0</v>
      </c>
      <c r="D26" s="292">
        <f t="shared" si="7"/>
        <v>0</v>
      </c>
      <c r="E26" s="292">
        <f t="shared" si="7"/>
        <v>0</v>
      </c>
      <c r="F26" s="292">
        <f t="shared" si="7"/>
        <v>0</v>
      </c>
      <c r="G26" s="292">
        <f t="shared" si="7"/>
        <v>0</v>
      </c>
      <c r="H26" s="292">
        <f t="shared" si="7"/>
        <v>457671.27897000004</v>
      </c>
      <c r="I26" s="357">
        <f t="shared" si="7"/>
        <v>0</v>
      </c>
      <c r="J26" s="292">
        <f t="shared" si="7"/>
        <v>427598.79271999991</v>
      </c>
      <c r="K26" s="487">
        <f t="shared" si="7"/>
        <v>0</v>
      </c>
      <c r="L26" s="292">
        <f t="shared" si="7"/>
        <v>605540</v>
      </c>
      <c r="M26" s="292">
        <f t="shared" si="7"/>
        <v>47818.927860000003</v>
      </c>
      <c r="N26" s="292">
        <f t="shared" si="7"/>
        <v>0</v>
      </c>
      <c r="O26" s="292">
        <f t="shared" si="7"/>
        <v>0</v>
      </c>
      <c r="P26" s="292">
        <f t="shared" si="7"/>
        <v>0</v>
      </c>
      <c r="Q26" s="292">
        <f t="shared" si="7"/>
        <v>0</v>
      </c>
      <c r="R26" s="292">
        <f t="shared" si="7"/>
        <v>0</v>
      </c>
      <c r="S26" s="292">
        <f t="shared" si="7"/>
        <v>0</v>
      </c>
      <c r="T26" s="292">
        <f t="shared" si="7"/>
        <v>0</v>
      </c>
      <c r="U26" s="292">
        <f t="shared" si="7"/>
        <v>0</v>
      </c>
      <c r="V26" s="292">
        <f t="shared" si="7"/>
        <v>0</v>
      </c>
      <c r="W26" s="292">
        <f t="shared" si="7"/>
        <v>0</v>
      </c>
      <c r="X26" s="292">
        <f t="shared" si="7"/>
        <v>0</v>
      </c>
      <c r="Y26" s="292">
        <f t="shared" si="7"/>
        <v>0</v>
      </c>
      <c r="Z26" s="292">
        <f t="shared" si="7"/>
        <v>0</v>
      </c>
      <c r="AA26" s="292">
        <f t="shared" si="7"/>
        <v>0</v>
      </c>
      <c r="AB26" s="292">
        <f t="shared" si="7"/>
        <v>0</v>
      </c>
      <c r="AC26" s="292">
        <f t="shared" si="7"/>
        <v>0</v>
      </c>
      <c r="AD26" s="292">
        <f t="shared" si="7"/>
        <v>0</v>
      </c>
      <c r="AE26" s="292">
        <f t="shared" si="7"/>
        <v>0</v>
      </c>
      <c r="AF26" s="292">
        <f t="shared" si="7"/>
        <v>0</v>
      </c>
      <c r="AG26" s="292">
        <f t="shared" si="7"/>
        <v>0</v>
      </c>
      <c r="AH26" s="292">
        <f t="shared" si="7"/>
        <v>0</v>
      </c>
      <c r="AI26" s="292">
        <f t="shared" si="7"/>
        <v>0</v>
      </c>
      <c r="AJ26" s="292">
        <f t="shared" si="7"/>
        <v>0</v>
      </c>
      <c r="AK26" s="292">
        <f t="shared" si="7"/>
        <v>0</v>
      </c>
      <c r="AL26" s="292">
        <f t="shared" si="7"/>
        <v>0</v>
      </c>
      <c r="AM26" s="292">
        <f t="shared" si="7"/>
        <v>0</v>
      </c>
      <c r="AN26" s="411">
        <f>-[1]Dashboard!D64</f>
        <v>-2103203.6595120002</v>
      </c>
      <c r="AO26" s="291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292">
        <f t="shared" ref="B27:AM27" si="9">+B7*B$1</f>
        <v>0</v>
      </c>
      <c r="C27" s="292">
        <f t="shared" si="9"/>
        <v>0</v>
      </c>
      <c r="D27" s="292">
        <f t="shared" si="9"/>
        <v>0</v>
      </c>
      <c r="E27" s="292">
        <f t="shared" si="9"/>
        <v>0</v>
      </c>
      <c r="F27" s="292">
        <f t="shared" si="9"/>
        <v>0</v>
      </c>
      <c r="G27" s="292">
        <f t="shared" si="9"/>
        <v>0</v>
      </c>
      <c r="H27" s="292">
        <f t="shared" si="9"/>
        <v>534968.7444000002</v>
      </c>
      <c r="I27" s="357">
        <f t="shared" si="9"/>
        <v>0</v>
      </c>
      <c r="J27" s="292">
        <f t="shared" si="9"/>
        <v>207577.36219000004</v>
      </c>
      <c r="K27" s="487">
        <f t="shared" si="9"/>
        <v>0</v>
      </c>
      <c r="L27" s="292">
        <f t="shared" si="9"/>
        <v>605540</v>
      </c>
      <c r="M27" s="292">
        <f t="shared" si="9"/>
        <v>15126.97142</v>
      </c>
      <c r="N27" s="292">
        <f t="shared" si="9"/>
        <v>0</v>
      </c>
      <c r="O27" s="292">
        <f t="shared" si="9"/>
        <v>0</v>
      </c>
      <c r="P27" s="292">
        <f t="shared" si="9"/>
        <v>0</v>
      </c>
      <c r="Q27" s="292">
        <f t="shared" si="9"/>
        <v>0</v>
      </c>
      <c r="R27" s="292">
        <f t="shared" si="9"/>
        <v>0</v>
      </c>
      <c r="S27" s="292">
        <f t="shared" si="9"/>
        <v>0</v>
      </c>
      <c r="T27" s="292">
        <f t="shared" si="9"/>
        <v>0</v>
      </c>
      <c r="U27" s="292">
        <f t="shared" si="9"/>
        <v>0</v>
      </c>
      <c r="V27" s="292">
        <f t="shared" si="9"/>
        <v>0</v>
      </c>
      <c r="W27" s="292">
        <f t="shared" si="9"/>
        <v>0</v>
      </c>
      <c r="X27" s="292">
        <f t="shared" si="9"/>
        <v>0</v>
      </c>
      <c r="Y27" s="292">
        <f t="shared" si="9"/>
        <v>0</v>
      </c>
      <c r="Z27" s="292">
        <f t="shared" si="9"/>
        <v>0</v>
      </c>
      <c r="AA27" s="292">
        <f t="shared" si="9"/>
        <v>0</v>
      </c>
      <c r="AB27" s="292">
        <f t="shared" si="9"/>
        <v>0</v>
      </c>
      <c r="AC27" s="292">
        <f t="shared" si="9"/>
        <v>0</v>
      </c>
      <c r="AD27" s="292">
        <f t="shared" si="9"/>
        <v>0</v>
      </c>
      <c r="AE27" s="292">
        <f t="shared" si="9"/>
        <v>0</v>
      </c>
      <c r="AF27" s="292">
        <f t="shared" si="9"/>
        <v>0</v>
      </c>
      <c r="AG27" s="292">
        <f t="shared" si="9"/>
        <v>0</v>
      </c>
      <c r="AH27" s="292">
        <f t="shared" si="9"/>
        <v>0</v>
      </c>
      <c r="AI27" s="292">
        <f t="shared" si="9"/>
        <v>0</v>
      </c>
      <c r="AJ27" s="292">
        <f t="shared" si="9"/>
        <v>0</v>
      </c>
      <c r="AK27" s="292">
        <f t="shared" si="9"/>
        <v>0</v>
      </c>
      <c r="AL27" s="292">
        <f t="shared" si="9"/>
        <v>0</v>
      </c>
      <c r="AM27" s="292">
        <f t="shared" si="9"/>
        <v>0</v>
      </c>
      <c r="AN27" s="411">
        <f>-[1]Dashboard!D65</f>
        <v>-284577.85708800005</v>
      </c>
      <c r="AO27" s="291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292">
        <f t="shared" ref="B28:AM28" si="10">+B8*B$1</f>
        <v>0</v>
      </c>
      <c r="C28" s="292">
        <f t="shared" si="10"/>
        <v>0</v>
      </c>
      <c r="D28" s="292">
        <f t="shared" si="10"/>
        <v>0</v>
      </c>
      <c r="E28" s="292">
        <f t="shared" si="10"/>
        <v>0</v>
      </c>
      <c r="F28" s="292">
        <f t="shared" si="10"/>
        <v>0</v>
      </c>
      <c r="G28" s="292">
        <f t="shared" si="10"/>
        <v>0</v>
      </c>
      <c r="H28" s="292">
        <f t="shared" si="10"/>
        <v>0</v>
      </c>
      <c r="I28" s="357">
        <f t="shared" si="10"/>
        <v>0</v>
      </c>
      <c r="J28" s="292">
        <f t="shared" si="10"/>
        <v>0</v>
      </c>
      <c r="K28" s="487">
        <f t="shared" si="10"/>
        <v>0</v>
      </c>
      <c r="L28" s="292">
        <f t="shared" si="10"/>
        <v>83844</v>
      </c>
      <c r="M28" s="292">
        <f t="shared" si="10"/>
        <v>0</v>
      </c>
      <c r="N28" s="292">
        <f t="shared" si="10"/>
        <v>0</v>
      </c>
      <c r="O28" s="292">
        <f t="shared" si="10"/>
        <v>0</v>
      </c>
      <c r="P28" s="292">
        <f t="shared" si="10"/>
        <v>0</v>
      </c>
      <c r="Q28" s="292">
        <f t="shared" si="10"/>
        <v>0</v>
      </c>
      <c r="R28" s="292">
        <f t="shared" si="10"/>
        <v>0</v>
      </c>
      <c r="S28" s="292">
        <f t="shared" si="10"/>
        <v>0</v>
      </c>
      <c r="T28" s="292">
        <f t="shared" si="10"/>
        <v>0</v>
      </c>
      <c r="U28" s="292">
        <f t="shared" si="10"/>
        <v>0</v>
      </c>
      <c r="V28" s="292">
        <f t="shared" si="10"/>
        <v>0</v>
      </c>
      <c r="W28" s="292">
        <f t="shared" si="10"/>
        <v>0</v>
      </c>
      <c r="X28" s="292">
        <f t="shared" si="10"/>
        <v>0</v>
      </c>
      <c r="Y28" s="292">
        <f t="shared" si="10"/>
        <v>0</v>
      </c>
      <c r="Z28" s="292">
        <f t="shared" si="10"/>
        <v>0</v>
      </c>
      <c r="AA28" s="292">
        <f t="shared" si="10"/>
        <v>0</v>
      </c>
      <c r="AB28" s="292">
        <f t="shared" si="10"/>
        <v>0</v>
      </c>
      <c r="AC28" s="292">
        <f t="shared" si="10"/>
        <v>0</v>
      </c>
      <c r="AD28" s="292">
        <f t="shared" si="10"/>
        <v>0</v>
      </c>
      <c r="AE28" s="292">
        <f t="shared" si="10"/>
        <v>0</v>
      </c>
      <c r="AF28" s="292">
        <f t="shared" si="10"/>
        <v>0</v>
      </c>
      <c r="AG28" s="292">
        <f t="shared" si="10"/>
        <v>0</v>
      </c>
      <c r="AH28" s="292">
        <f t="shared" si="10"/>
        <v>0</v>
      </c>
      <c r="AI28" s="292">
        <f t="shared" si="10"/>
        <v>0</v>
      </c>
      <c r="AJ28" s="292">
        <f t="shared" si="10"/>
        <v>0</v>
      </c>
      <c r="AK28" s="292">
        <f t="shared" si="10"/>
        <v>0</v>
      </c>
      <c r="AL28" s="292">
        <f t="shared" si="10"/>
        <v>0</v>
      </c>
      <c r="AM28" s="292">
        <f t="shared" si="10"/>
        <v>0</v>
      </c>
      <c r="AN28" s="411">
        <f>-[1]Dashboard!D66</f>
        <v>-4104758.7796800006</v>
      </c>
      <c r="AO28" s="291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292">
        <f t="shared" ref="B29:AM29" si="11">+B9*B$1</f>
        <v>0</v>
      </c>
      <c r="C29" s="292">
        <f t="shared" si="11"/>
        <v>0</v>
      </c>
      <c r="D29" s="292">
        <f t="shared" si="11"/>
        <v>0</v>
      </c>
      <c r="E29" s="292">
        <f t="shared" si="11"/>
        <v>0</v>
      </c>
      <c r="F29" s="292">
        <f t="shared" si="11"/>
        <v>0</v>
      </c>
      <c r="G29" s="292">
        <f t="shared" si="11"/>
        <v>0</v>
      </c>
      <c r="H29" s="292">
        <f t="shared" si="11"/>
        <v>0</v>
      </c>
      <c r="I29" s="357">
        <f t="shared" si="11"/>
        <v>0</v>
      </c>
      <c r="J29" s="292">
        <f t="shared" si="11"/>
        <v>0</v>
      </c>
      <c r="K29" s="487">
        <f t="shared" si="11"/>
        <v>0</v>
      </c>
      <c r="L29" s="292">
        <f t="shared" si="11"/>
        <v>0</v>
      </c>
      <c r="M29" s="292">
        <f t="shared" si="11"/>
        <v>8126.7120000000004</v>
      </c>
      <c r="N29" s="292">
        <f t="shared" si="11"/>
        <v>0</v>
      </c>
      <c r="O29" s="292">
        <f t="shared" si="11"/>
        <v>0</v>
      </c>
      <c r="P29" s="292">
        <f t="shared" si="11"/>
        <v>0</v>
      </c>
      <c r="Q29" s="292">
        <f t="shared" si="11"/>
        <v>0</v>
      </c>
      <c r="R29" s="292">
        <f t="shared" si="11"/>
        <v>0</v>
      </c>
      <c r="S29" s="292">
        <f t="shared" si="11"/>
        <v>0</v>
      </c>
      <c r="T29" s="292">
        <f t="shared" si="11"/>
        <v>0</v>
      </c>
      <c r="U29" s="292">
        <f t="shared" si="11"/>
        <v>0</v>
      </c>
      <c r="V29" s="292">
        <f t="shared" si="11"/>
        <v>0</v>
      </c>
      <c r="W29" s="292">
        <f t="shared" si="11"/>
        <v>0</v>
      </c>
      <c r="X29" s="292">
        <f t="shared" si="11"/>
        <v>0</v>
      </c>
      <c r="Y29" s="292">
        <f t="shared" si="11"/>
        <v>0</v>
      </c>
      <c r="Z29" s="292">
        <f t="shared" si="11"/>
        <v>0</v>
      </c>
      <c r="AA29" s="292">
        <f t="shared" si="11"/>
        <v>0</v>
      </c>
      <c r="AB29" s="292">
        <f t="shared" si="11"/>
        <v>0</v>
      </c>
      <c r="AC29" s="292">
        <f t="shared" si="11"/>
        <v>0</v>
      </c>
      <c r="AD29" s="292">
        <f t="shared" si="11"/>
        <v>0</v>
      </c>
      <c r="AE29" s="292">
        <f t="shared" si="11"/>
        <v>0</v>
      </c>
      <c r="AF29" s="292">
        <f t="shared" si="11"/>
        <v>0</v>
      </c>
      <c r="AG29" s="292">
        <f t="shared" si="11"/>
        <v>0</v>
      </c>
      <c r="AH29" s="292">
        <f t="shared" si="11"/>
        <v>0</v>
      </c>
      <c r="AI29" s="292">
        <f t="shared" si="11"/>
        <v>0</v>
      </c>
      <c r="AJ29" s="292">
        <f t="shared" si="11"/>
        <v>0</v>
      </c>
      <c r="AK29" s="292">
        <f t="shared" si="11"/>
        <v>0</v>
      </c>
      <c r="AL29" s="292">
        <f t="shared" si="11"/>
        <v>0</v>
      </c>
      <c r="AM29" s="292">
        <f t="shared" si="11"/>
        <v>0</v>
      </c>
      <c r="AN29" s="411">
        <f>-[1]Dashboard!D67</f>
        <v>-85730.795280000006</v>
      </c>
      <c r="AO29" s="291"/>
      <c r="AP29" s="13">
        <f t="shared" si="5"/>
        <v>-76303.809360000014</v>
      </c>
      <c r="AQ29" s="13">
        <f t="shared" si="8"/>
        <v>-1407112.8639584009</v>
      </c>
    </row>
    <row r="30" spans="1:44" x14ac:dyDescent="0.25">
      <c r="A30" s="244">
        <v>46113</v>
      </c>
      <c r="B30" s="292">
        <f t="shared" ref="B30:AM30" si="12">+B10*B$1</f>
        <v>0</v>
      </c>
      <c r="C30" s="292">
        <f t="shared" si="12"/>
        <v>0</v>
      </c>
      <c r="D30" s="292">
        <f t="shared" si="12"/>
        <v>0</v>
      </c>
      <c r="E30" s="292">
        <f t="shared" si="12"/>
        <v>0</v>
      </c>
      <c r="F30" s="292">
        <f t="shared" si="12"/>
        <v>0</v>
      </c>
      <c r="G30" s="292">
        <f t="shared" si="12"/>
        <v>0</v>
      </c>
      <c r="H30" s="292">
        <f t="shared" si="12"/>
        <v>0</v>
      </c>
      <c r="I30" s="357">
        <f t="shared" si="12"/>
        <v>0</v>
      </c>
      <c r="J30" s="292">
        <f t="shared" si="12"/>
        <v>80723.77665</v>
      </c>
      <c r="K30" s="487">
        <f t="shared" si="12"/>
        <v>0</v>
      </c>
      <c r="L30" s="292">
        <f t="shared" si="12"/>
        <v>0</v>
      </c>
      <c r="M30" s="292">
        <f t="shared" si="12"/>
        <v>48841.539120000001</v>
      </c>
      <c r="N30" s="292">
        <f t="shared" si="12"/>
        <v>0</v>
      </c>
      <c r="O30" s="292">
        <f t="shared" si="12"/>
        <v>0</v>
      </c>
      <c r="P30" s="292">
        <f t="shared" si="12"/>
        <v>0</v>
      </c>
      <c r="Q30" s="292">
        <f t="shared" si="12"/>
        <v>0</v>
      </c>
      <c r="R30" s="292">
        <f t="shared" si="12"/>
        <v>0</v>
      </c>
      <c r="S30" s="292">
        <f t="shared" si="12"/>
        <v>0</v>
      </c>
      <c r="T30" s="292">
        <f t="shared" si="12"/>
        <v>0</v>
      </c>
      <c r="U30" s="292">
        <f t="shared" si="12"/>
        <v>0</v>
      </c>
      <c r="V30" s="292">
        <f t="shared" si="12"/>
        <v>0</v>
      </c>
      <c r="W30" s="292">
        <f t="shared" si="12"/>
        <v>0</v>
      </c>
      <c r="X30" s="292">
        <f t="shared" si="12"/>
        <v>0</v>
      </c>
      <c r="Y30" s="292">
        <f t="shared" si="12"/>
        <v>0</v>
      </c>
      <c r="Z30" s="292">
        <f t="shared" si="12"/>
        <v>0</v>
      </c>
      <c r="AA30" s="292">
        <f t="shared" si="12"/>
        <v>0</v>
      </c>
      <c r="AB30" s="292">
        <f t="shared" si="12"/>
        <v>0</v>
      </c>
      <c r="AC30" s="292">
        <f t="shared" si="12"/>
        <v>0</v>
      </c>
      <c r="AD30" s="292">
        <f t="shared" si="12"/>
        <v>0</v>
      </c>
      <c r="AE30" s="292">
        <f t="shared" si="12"/>
        <v>0</v>
      </c>
      <c r="AF30" s="292">
        <f t="shared" si="12"/>
        <v>0</v>
      </c>
      <c r="AG30" s="292">
        <f t="shared" si="12"/>
        <v>0</v>
      </c>
      <c r="AH30" s="292">
        <f t="shared" si="12"/>
        <v>0</v>
      </c>
      <c r="AI30" s="292">
        <f t="shared" si="12"/>
        <v>0</v>
      </c>
      <c r="AJ30" s="292">
        <f t="shared" si="12"/>
        <v>0</v>
      </c>
      <c r="AK30" s="292">
        <f t="shared" si="12"/>
        <v>0</v>
      </c>
      <c r="AL30" s="292">
        <f t="shared" si="12"/>
        <v>0</v>
      </c>
      <c r="AM30" s="292">
        <f t="shared" si="12"/>
        <v>0</v>
      </c>
      <c r="AN30" s="411">
        <f>-[1]Dashboard!D68</f>
        <v>-85734.352079999997</v>
      </c>
      <c r="AO30" s="291"/>
      <c r="AP30" s="13">
        <f t="shared" si="5"/>
        <v>64561.414213199998</v>
      </c>
      <c r="AQ30" s="13">
        <f t="shared" si="8"/>
        <v>-1342551.4497452008</v>
      </c>
    </row>
    <row r="31" spans="1:44" x14ac:dyDescent="0.25">
      <c r="A31" s="244">
        <v>46143</v>
      </c>
      <c r="B31" s="292">
        <f t="shared" ref="B31:AM31" si="13">+B11*B$1</f>
        <v>0</v>
      </c>
      <c r="C31" s="292">
        <f t="shared" si="13"/>
        <v>0</v>
      </c>
      <c r="D31" s="292">
        <f t="shared" si="13"/>
        <v>0</v>
      </c>
      <c r="E31" s="292">
        <f t="shared" si="13"/>
        <v>0</v>
      </c>
      <c r="F31" s="292">
        <f t="shared" si="13"/>
        <v>0</v>
      </c>
      <c r="G31" s="292">
        <f t="shared" si="13"/>
        <v>0</v>
      </c>
      <c r="H31" s="292">
        <f t="shared" si="13"/>
        <v>163409.42673000001</v>
      </c>
      <c r="I31" s="357">
        <f t="shared" si="13"/>
        <v>0</v>
      </c>
      <c r="J31" s="292">
        <f t="shared" si="13"/>
        <v>269838.37078</v>
      </c>
      <c r="K31" s="487">
        <f t="shared" si="13"/>
        <v>0</v>
      </c>
      <c r="L31" s="292">
        <f t="shared" si="13"/>
        <v>0</v>
      </c>
      <c r="M31" s="292">
        <f t="shared" si="13"/>
        <v>8187.6623399999999</v>
      </c>
      <c r="N31" s="292">
        <f t="shared" si="13"/>
        <v>0</v>
      </c>
      <c r="O31" s="292">
        <f t="shared" si="13"/>
        <v>0</v>
      </c>
      <c r="P31" s="292">
        <f t="shared" si="13"/>
        <v>0</v>
      </c>
      <c r="Q31" s="292">
        <f t="shared" si="13"/>
        <v>0</v>
      </c>
      <c r="R31" s="292">
        <f t="shared" si="13"/>
        <v>0</v>
      </c>
      <c r="S31" s="292">
        <f t="shared" si="13"/>
        <v>0</v>
      </c>
      <c r="T31" s="292">
        <f t="shared" si="13"/>
        <v>0</v>
      </c>
      <c r="U31" s="292">
        <f t="shared" si="13"/>
        <v>0</v>
      </c>
      <c r="V31" s="292">
        <f t="shared" si="13"/>
        <v>0</v>
      </c>
      <c r="W31" s="292">
        <f t="shared" si="13"/>
        <v>0</v>
      </c>
      <c r="X31" s="292">
        <f t="shared" si="13"/>
        <v>0</v>
      </c>
      <c r="Y31" s="292">
        <f t="shared" si="13"/>
        <v>0</v>
      </c>
      <c r="Z31" s="292">
        <f t="shared" si="13"/>
        <v>0</v>
      </c>
      <c r="AA31" s="292">
        <f t="shared" si="13"/>
        <v>0</v>
      </c>
      <c r="AB31" s="292">
        <f t="shared" si="13"/>
        <v>0</v>
      </c>
      <c r="AC31" s="292">
        <f t="shared" si="13"/>
        <v>0</v>
      </c>
      <c r="AD31" s="292">
        <f t="shared" si="13"/>
        <v>0</v>
      </c>
      <c r="AE31" s="292">
        <f t="shared" si="13"/>
        <v>0</v>
      </c>
      <c r="AF31" s="292">
        <f t="shared" si="13"/>
        <v>0</v>
      </c>
      <c r="AG31" s="292">
        <f t="shared" si="13"/>
        <v>0</v>
      </c>
      <c r="AH31" s="292">
        <f t="shared" si="13"/>
        <v>0</v>
      </c>
      <c r="AI31" s="292">
        <f t="shared" si="13"/>
        <v>0</v>
      </c>
      <c r="AJ31" s="292">
        <f t="shared" si="13"/>
        <v>0</v>
      </c>
      <c r="AK31" s="292">
        <f t="shared" si="13"/>
        <v>0</v>
      </c>
      <c r="AL31" s="292">
        <f t="shared" si="13"/>
        <v>0</v>
      </c>
      <c r="AM31" s="292">
        <f t="shared" si="13"/>
        <v>0</v>
      </c>
      <c r="AN31" s="411">
        <f>-[1]Dashboard!D69</f>
        <v>-85734.352079999997</v>
      </c>
      <c r="AO31" s="291"/>
      <c r="AP31" s="13">
        <f t="shared" si="5"/>
        <v>426330.78134599997</v>
      </c>
      <c r="AQ31" s="13">
        <f t="shared" si="8"/>
        <v>-916220.66839920077</v>
      </c>
    </row>
    <row r="32" spans="1:44" x14ac:dyDescent="0.25">
      <c r="A32" s="244">
        <v>46174</v>
      </c>
      <c r="B32" s="292">
        <f t="shared" ref="B32:AM32" si="14">+B12*B$1</f>
        <v>0</v>
      </c>
      <c r="C32" s="292">
        <f t="shared" si="14"/>
        <v>0</v>
      </c>
      <c r="D32" s="292">
        <f t="shared" si="14"/>
        <v>0</v>
      </c>
      <c r="E32" s="292">
        <f t="shared" si="14"/>
        <v>0</v>
      </c>
      <c r="F32" s="292">
        <f t="shared" si="14"/>
        <v>0</v>
      </c>
      <c r="G32" s="292">
        <f t="shared" si="14"/>
        <v>0</v>
      </c>
      <c r="H32" s="292">
        <f t="shared" si="14"/>
        <v>295191.22248000005</v>
      </c>
      <c r="I32" s="357">
        <f t="shared" si="14"/>
        <v>0</v>
      </c>
      <c r="J32" s="292">
        <f t="shared" si="14"/>
        <v>0</v>
      </c>
      <c r="K32" s="487">
        <f t="shared" si="14"/>
        <v>0</v>
      </c>
      <c r="L32" s="292">
        <f t="shared" si="14"/>
        <v>0</v>
      </c>
      <c r="M32" s="292">
        <f t="shared" si="14"/>
        <v>12228.44414</v>
      </c>
      <c r="N32" s="292">
        <f t="shared" si="14"/>
        <v>0</v>
      </c>
      <c r="O32" s="292">
        <f t="shared" si="14"/>
        <v>0</v>
      </c>
      <c r="P32" s="292">
        <f t="shared" si="14"/>
        <v>0</v>
      </c>
      <c r="Q32" s="292">
        <f t="shared" si="14"/>
        <v>0</v>
      </c>
      <c r="R32" s="292">
        <f t="shared" si="14"/>
        <v>0</v>
      </c>
      <c r="S32" s="292">
        <f t="shared" si="14"/>
        <v>0</v>
      </c>
      <c r="T32" s="292">
        <f t="shared" si="14"/>
        <v>0</v>
      </c>
      <c r="U32" s="292">
        <f t="shared" si="14"/>
        <v>0</v>
      </c>
      <c r="V32" s="292">
        <f t="shared" si="14"/>
        <v>0</v>
      </c>
      <c r="W32" s="292">
        <f t="shared" si="14"/>
        <v>0</v>
      </c>
      <c r="X32" s="292">
        <f t="shared" si="14"/>
        <v>0</v>
      </c>
      <c r="Y32" s="292">
        <f t="shared" si="14"/>
        <v>0</v>
      </c>
      <c r="Z32" s="292">
        <f t="shared" si="14"/>
        <v>0</v>
      </c>
      <c r="AA32" s="292">
        <f t="shared" si="14"/>
        <v>0</v>
      </c>
      <c r="AB32" s="292">
        <f t="shared" si="14"/>
        <v>0</v>
      </c>
      <c r="AC32" s="292">
        <f t="shared" si="14"/>
        <v>0</v>
      </c>
      <c r="AD32" s="292">
        <f t="shared" si="14"/>
        <v>0</v>
      </c>
      <c r="AE32" s="292">
        <f t="shared" si="14"/>
        <v>0</v>
      </c>
      <c r="AF32" s="292">
        <f t="shared" si="14"/>
        <v>0</v>
      </c>
      <c r="AG32" s="292">
        <f t="shared" si="14"/>
        <v>0</v>
      </c>
      <c r="AH32" s="292">
        <f t="shared" si="14"/>
        <v>0</v>
      </c>
      <c r="AI32" s="292">
        <f t="shared" si="14"/>
        <v>0</v>
      </c>
      <c r="AJ32" s="292">
        <f t="shared" si="14"/>
        <v>0</v>
      </c>
      <c r="AK32" s="292">
        <f t="shared" si="14"/>
        <v>0</v>
      </c>
      <c r="AL32" s="292">
        <f t="shared" si="14"/>
        <v>0</v>
      </c>
      <c r="AM32" s="292">
        <f t="shared" si="14"/>
        <v>0</v>
      </c>
      <c r="AN32" s="411">
        <f>-[1]Dashboard!D70</f>
        <v>-102830.79528000001</v>
      </c>
      <c r="AO32" s="291"/>
      <c r="AP32" s="13">
        <f t="shared" si="5"/>
        <v>253776.01799919998</v>
      </c>
      <c r="AQ32" s="13">
        <f t="shared" si="8"/>
        <v>-662444.65040000086</v>
      </c>
    </row>
    <row r="33" spans="1:47" x14ac:dyDescent="0.25">
      <c r="A33" s="244">
        <v>46204</v>
      </c>
      <c r="B33" s="292">
        <f t="shared" ref="B33:AM33" si="15">+B13*B$1</f>
        <v>0</v>
      </c>
      <c r="C33" s="292">
        <f t="shared" si="15"/>
        <v>0</v>
      </c>
      <c r="D33" s="292">
        <f t="shared" si="15"/>
        <v>0</v>
      </c>
      <c r="E33" s="292">
        <f t="shared" si="15"/>
        <v>0</v>
      </c>
      <c r="F33" s="292">
        <f t="shared" si="15"/>
        <v>0</v>
      </c>
      <c r="G33" s="292">
        <f t="shared" si="15"/>
        <v>0</v>
      </c>
      <c r="H33" s="292">
        <f t="shared" si="15"/>
        <v>197026.49088</v>
      </c>
      <c r="I33" s="357">
        <f t="shared" si="15"/>
        <v>0</v>
      </c>
      <c r="J33" s="292">
        <f t="shared" si="15"/>
        <v>142849.22894</v>
      </c>
      <c r="K33" s="487">
        <f t="shared" si="15"/>
        <v>0</v>
      </c>
      <c r="L33" s="292">
        <f t="shared" si="15"/>
        <v>0</v>
      </c>
      <c r="M33" s="292">
        <f t="shared" si="15"/>
        <v>31231.405700000003</v>
      </c>
      <c r="N33" s="292">
        <f t="shared" si="15"/>
        <v>0</v>
      </c>
      <c r="O33" s="292">
        <f t="shared" si="15"/>
        <v>0</v>
      </c>
      <c r="P33" s="292">
        <f t="shared" si="15"/>
        <v>0</v>
      </c>
      <c r="Q33" s="292">
        <f t="shared" si="15"/>
        <v>0</v>
      </c>
      <c r="R33" s="292">
        <f t="shared" si="15"/>
        <v>0</v>
      </c>
      <c r="S33" s="292">
        <f t="shared" si="15"/>
        <v>0</v>
      </c>
      <c r="T33" s="292">
        <f t="shared" si="15"/>
        <v>0</v>
      </c>
      <c r="U33" s="292">
        <f t="shared" si="15"/>
        <v>0</v>
      </c>
      <c r="V33" s="292">
        <f t="shared" si="15"/>
        <v>0</v>
      </c>
      <c r="W33" s="292">
        <f t="shared" si="15"/>
        <v>0</v>
      </c>
      <c r="X33" s="292">
        <f t="shared" si="15"/>
        <v>0</v>
      </c>
      <c r="Y33" s="292">
        <f t="shared" si="15"/>
        <v>0</v>
      </c>
      <c r="Z33" s="292">
        <f t="shared" si="15"/>
        <v>0</v>
      </c>
      <c r="AA33" s="292">
        <f t="shared" si="15"/>
        <v>0</v>
      </c>
      <c r="AB33" s="292">
        <f t="shared" si="15"/>
        <v>0</v>
      </c>
      <c r="AC33" s="292">
        <f t="shared" si="15"/>
        <v>0</v>
      </c>
      <c r="AD33" s="292">
        <f t="shared" si="15"/>
        <v>0</v>
      </c>
      <c r="AE33" s="292">
        <f t="shared" si="15"/>
        <v>0</v>
      </c>
      <c r="AF33" s="292">
        <f t="shared" si="15"/>
        <v>0</v>
      </c>
      <c r="AG33" s="292">
        <f t="shared" si="15"/>
        <v>0</v>
      </c>
      <c r="AH33" s="292">
        <f t="shared" si="15"/>
        <v>0</v>
      </c>
      <c r="AI33" s="292">
        <f t="shared" si="15"/>
        <v>0</v>
      </c>
      <c r="AJ33" s="292">
        <f t="shared" si="15"/>
        <v>0</v>
      </c>
      <c r="AK33" s="292">
        <f t="shared" si="15"/>
        <v>0</v>
      </c>
      <c r="AL33" s="292">
        <f t="shared" si="15"/>
        <v>0</v>
      </c>
      <c r="AM33" s="292">
        <f t="shared" si="15"/>
        <v>0</v>
      </c>
      <c r="AN33" s="411">
        <f>-[1]Dashboard!D71</f>
        <v>-102830.79528000001</v>
      </c>
      <c r="AO33" s="291"/>
      <c r="AP33" s="13">
        <f t="shared" si="5"/>
        <v>327653.47032319993</v>
      </c>
      <c r="AQ33" s="13">
        <f t="shared" si="8"/>
        <v>-334791.18007680093</v>
      </c>
    </row>
    <row r="34" spans="1:47" x14ac:dyDescent="0.25">
      <c r="A34" s="244">
        <v>46235</v>
      </c>
      <c r="B34" s="292">
        <f t="shared" ref="B34:AM34" si="16">+B14*B$1</f>
        <v>0</v>
      </c>
      <c r="C34" s="292">
        <f t="shared" si="16"/>
        <v>0</v>
      </c>
      <c r="D34" s="292">
        <f t="shared" si="16"/>
        <v>0</v>
      </c>
      <c r="E34" s="292">
        <f t="shared" si="16"/>
        <v>0</v>
      </c>
      <c r="F34" s="292">
        <f t="shared" si="16"/>
        <v>0</v>
      </c>
      <c r="G34" s="292">
        <f t="shared" si="16"/>
        <v>0</v>
      </c>
      <c r="H34" s="292">
        <f t="shared" si="16"/>
        <v>145693.30653000003</v>
      </c>
      <c r="I34" s="357">
        <f t="shared" si="16"/>
        <v>0</v>
      </c>
      <c r="J34" s="292">
        <f t="shared" si="16"/>
        <v>168022.03384999998</v>
      </c>
      <c r="K34" s="487">
        <f t="shared" si="16"/>
        <v>300342.56999999995</v>
      </c>
      <c r="L34" s="292">
        <f t="shared" si="16"/>
        <v>0</v>
      </c>
      <c r="M34" s="292">
        <f t="shared" si="16"/>
        <v>27472.8014</v>
      </c>
      <c r="N34" s="292">
        <f t="shared" si="16"/>
        <v>0</v>
      </c>
      <c r="O34" s="292">
        <f t="shared" si="16"/>
        <v>0</v>
      </c>
      <c r="P34" s="292">
        <f t="shared" si="16"/>
        <v>0</v>
      </c>
      <c r="Q34" s="292">
        <f t="shared" si="16"/>
        <v>15171.98</v>
      </c>
      <c r="R34" s="292">
        <f t="shared" si="16"/>
        <v>3531.18</v>
      </c>
      <c r="S34" s="292">
        <f t="shared" si="16"/>
        <v>3869.18</v>
      </c>
      <c r="T34" s="292">
        <f t="shared" si="16"/>
        <v>3921.18</v>
      </c>
      <c r="U34" s="292">
        <f t="shared" si="16"/>
        <v>0</v>
      </c>
      <c r="V34" s="292">
        <f t="shared" si="16"/>
        <v>4441.18</v>
      </c>
      <c r="W34" s="292">
        <f t="shared" si="16"/>
        <v>0</v>
      </c>
      <c r="X34" s="292">
        <f t="shared" si="16"/>
        <v>0</v>
      </c>
      <c r="Y34" s="292">
        <f t="shared" si="16"/>
        <v>1312</v>
      </c>
      <c r="Z34" s="292">
        <f t="shared" si="16"/>
        <v>9352</v>
      </c>
      <c r="AA34" s="292">
        <f t="shared" si="16"/>
        <v>0</v>
      </c>
      <c r="AB34" s="292">
        <f t="shared" si="16"/>
        <v>0</v>
      </c>
      <c r="AC34" s="292">
        <f t="shared" si="16"/>
        <v>0</v>
      </c>
      <c r="AD34" s="292">
        <f t="shared" si="16"/>
        <v>0</v>
      </c>
      <c r="AE34" s="292">
        <f t="shared" si="16"/>
        <v>0</v>
      </c>
      <c r="AF34" s="292">
        <f t="shared" si="16"/>
        <v>0</v>
      </c>
      <c r="AG34" s="292">
        <f t="shared" si="16"/>
        <v>0</v>
      </c>
      <c r="AH34" s="292">
        <f t="shared" si="16"/>
        <v>0</v>
      </c>
      <c r="AI34" s="292">
        <f t="shared" si="16"/>
        <v>0</v>
      </c>
      <c r="AJ34" s="292">
        <f t="shared" si="16"/>
        <v>173864.40000000002</v>
      </c>
      <c r="AK34" s="292">
        <f t="shared" si="16"/>
        <v>167470.32</v>
      </c>
      <c r="AL34" s="292">
        <f t="shared" si="16"/>
        <v>0</v>
      </c>
      <c r="AM34" s="292">
        <f t="shared" si="16"/>
        <v>0</v>
      </c>
      <c r="AN34" s="411">
        <f>-[1]Dashboard!D72</f>
        <v>-102830.79528000001</v>
      </c>
      <c r="AO34" s="291"/>
      <c r="AP34" s="13">
        <f t="shared" si="5"/>
        <v>1085547.5975848001</v>
      </c>
      <c r="AQ34" s="13">
        <f t="shared" si="8"/>
        <v>750756.41750799911</v>
      </c>
    </row>
    <row r="35" spans="1:47" x14ac:dyDescent="0.25">
      <c r="A35" s="244">
        <v>46266</v>
      </c>
      <c r="B35" s="292">
        <f t="shared" ref="B35:AM35" si="17">+B15*B$1</f>
        <v>0</v>
      </c>
      <c r="C35" s="292">
        <f t="shared" si="17"/>
        <v>0</v>
      </c>
      <c r="D35" s="292">
        <f t="shared" si="17"/>
        <v>0</v>
      </c>
      <c r="E35" s="292">
        <f t="shared" si="17"/>
        <v>0</v>
      </c>
      <c r="F35" s="292">
        <f t="shared" si="17"/>
        <v>0</v>
      </c>
      <c r="G35" s="292">
        <f t="shared" si="17"/>
        <v>0</v>
      </c>
      <c r="H35" s="292">
        <f t="shared" si="17"/>
        <v>155669.51519999999</v>
      </c>
      <c r="I35" s="357">
        <f t="shared" si="17"/>
        <v>0</v>
      </c>
      <c r="J35" s="292">
        <f t="shared" si="17"/>
        <v>0</v>
      </c>
      <c r="K35" s="487">
        <f t="shared" si="17"/>
        <v>440241.56999999995</v>
      </c>
      <c r="L35" s="292">
        <f t="shared" si="17"/>
        <v>93160</v>
      </c>
      <c r="M35" s="292">
        <f t="shared" si="17"/>
        <v>45306.419399999999</v>
      </c>
      <c r="N35" s="292">
        <f t="shared" si="17"/>
        <v>0</v>
      </c>
      <c r="O35" s="292">
        <f t="shared" si="17"/>
        <v>0</v>
      </c>
      <c r="P35" s="292">
        <f t="shared" si="17"/>
        <v>0</v>
      </c>
      <c r="Q35" s="292">
        <f t="shared" si="17"/>
        <v>60687.92</v>
      </c>
      <c r="R35" s="292">
        <f t="shared" si="17"/>
        <v>14124.72</v>
      </c>
      <c r="S35" s="292">
        <f t="shared" si="17"/>
        <v>15476.72</v>
      </c>
      <c r="T35" s="292">
        <f t="shared" si="17"/>
        <v>15684.72</v>
      </c>
      <c r="U35" s="292">
        <f t="shared" si="17"/>
        <v>4441.18</v>
      </c>
      <c r="V35" s="292">
        <f t="shared" si="17"/>
        <v>17764.72</v>
      </c>
      <c r="W35" s="292">
        <f t="shared" si="17"/>
        <v>4181.18</v>
      </c>
      <c r="X35" s="292">
        <f t="shared" si="17"/>
        <v>6271.77</v>
      </c>
      <c r="Y35" s="292">
        <f t="shared" si="17"/>
        <v>5248</v>
      </c>
      <c r="Z35" s="292">
        <f t="shared" si="17"/>
        <v>37408</v>
      </c>
      <c r="AA35" s="292">
        <f t="shared" si="17"/>
        <v>0</v>
      </c>
      <c r="AB35" s="292">
        <f t="shared" si="17"/>
        <v>0</v>
      </c>
      <c r="AC35" s="292">
        <f t="shared" si="17"/>
        <v>0</v>
      </c>
      <c r="AD35" s="292">
        <f t="shared" si="17"/>
        <v>0</v>
      </c>
      <c r="AE35" s="292">
        <f t="shared" si="17"/>
        <v>0</v>
      </c>
      <c r="AF35" s="292">
        <f t="shared" si="17"/>
        <v>0</v>
      </c>
      <c r="AG35" s="292">
        <f t="shared" si="17"/>
        <v>0</v>
      </c>
      <c r="AH35" s="292">
        <f t="shared" si="17"/>
        <v>0</v>
      </c>
      <c r="AI35" s="292">
        <f t="shared" si="17"/>
        <v>0</v>
      </c>
      <c r="AJ35" s="292">
        <f t="shared" si="17"/>
        <v>0</v>
      </c>
      <c r="AK35" s="292">
        <f t="shared" si="17"/>
        <v>0</v>
      </c>
      <c r="AL35" s="292">
        <f t="shared" si="17"/>
        <v>0</v>
      </c>
      <c r="AM35" s="292">
        <f t="shared" si="17"/>
        <v>0</v>
      </c>
      <c r="AN35" s="411">
        <f>-[1]Dashboard!D73</f>
        <v>-102830.79528000001</v>
      </c>
      <c r="AO35" s="291"/>
      <c r="AP35" s="13">
        <f t="shared" si="5"/>
        <v>959342.26885599992</v>
      </c>
      <c r="AQ35" s="13">
        <f t="shared" si="8"/>
        <v>1710098.686363999</v>
      </c>
    </row>
    <row r="36" spans="1:47" x14ac:dyDescent="0.25">
      <c r="A36" s="244">
        <v>46296</v>
      </c>
      <c r="B36" s="292">
        <f t="shared" ref="B36:AM36" si="18">+B16*B$1</f>
        <v>0</v>
      </c>
      <c r="C36" s="292">
        <f t="shared" si="18"/>
        <v>0</v>
      </c>
      <c r="D36" s="292">
        <f t="shared" si="18"/>
        <v>0</v>
      </c>
      <c r="E36" s="292">
        <f t="shared" si="18"/>
        <v>0</v>
      </c>
      <c r="F36" s="292">
        <f t="shared" si="18"/>
        <v>0</v>
      </c>
      <c r="G36" s="292">
        <f t="shared" si="18"/>
        <v>0</v>
      </c>
      <c r="H36" s="292">
        <f t="shared" si="18"/>
        <v>212266.71067499998</v>
      </c>
      <c r="I36" s="357">
        <f t="shared" si="18"/>
        <v>0</v>
      </c>
      <c r="J36" s="292">
        <f t="shared" si="18"/>
        <v>22021.120934999992</v>
      </c>
      <c r="K36" s="487">
        <f t="shared" si="18"/>
        <v>591356.84</v>
      </c>
      <c r="L36" s="292">
        <f t="shared" si="18"/>
        <v>0</v>
      </c>
      <c r="M36" s="292">
        <f t="shared" si="18"/>
        <v>3667.1787899999986</v>
      </c>
      <c r="N36" s="292">
        <f t="shared" si="18"/>
        <v>0</v>
      </c>
      <c r="O36" s="292">
        <f t="shared" si="18"/>
        <v>0</v>
      </c>
      <c r="P36" s="292">
        <f t="shared" si="18"/>
        <v>0</v>
      </c>
      <c r="Q36" s="292">
        <f t="shared" si="18"/>
        <v>30343.96</v>
      </c>
      <c r="R36" s="292">
        <f t="shared" si="18"/>
        <v>8827.9499999999989</v>
      </c>
      <c r="S36" s="292">
        <f t="shared" si="18"/>
        <v>9672.9499999999989</v>
      </c>
      <c r="T36" s="292">
        <f t="shared" si="18"/>
        <v>9802.9499999999989</v>
      </c>
      <c r="U36" s="292">
        <f t="shared" si="18"/>
        <v>0</v>
      </c>
      <c r="V36" s="292">
        <f t="shared" si="18"/>
        <v>11102.95</v>
      </c>
      <c r="W36" s="292">
        <f t="shared" si="18"/>
        <v>0</v>
      </c>
      <c r="X36" s="292">
        <f t="shared" si="18"/>
        <v>0</v>
      </c>
      <c r="Y36" s="292">
        <f t="shared" si="18"/>
        <v>2624</v>
      </c>
      <c r="Z36" s="292">
        <f t="shared" si="18"/>
        <v>18704</v>
      </c>
      <c r="AA36" s="292">
        <f t="shared" si="18"/>
        <v>0</v>
      </c>
      <c r="AB36" s="292">
        <f t="shared" si="18"/>
        <v>0</v>
      </c>
      <c r="AC36" s="292">
        <f t="shared" si="18"/>
        <v>0</v>
      </c>
      <c r="AD36" s="292">
        <f t="shared" si="18"/>
        <v>0</v>
      </c>
      <c r="AE36" s="292">
        <f t="shared" si="18"/>
        <v>0</v>
      </c>
      <c r="AF36" s="292">
        <f t="shared" si="18"/>
        <v>0</v>
      </c>
      <c r="AG36" s="292">
        <f t="shared" si="18"/>
        <v>0</v>
      </c>
      <c r="AH36" s="292">
        <f t="shared" si="18"/>
        <v>0</v>
      </c>
      <c r="AI36" s="292">
        <f t="shared" si="18"/>
        <v>0</v>
      </c>
      <c r="AJ36" s="292">
        <f t="shared" si="18"/>
        <v>0</v>
      </c>
      <c r="AK36" s="292">
        <f t="shared" si="18"/>
        <v>0</v>
      </c>
      <c r="AL36" s="292">
        <f t="shared" si="18"/>
        <v>0</v>
      </c>
      <c r="AM36" s="292">
        <f t="shared" si="18"/>
        <v>0</v>
      </c>
      <c r="AN36" s="411">
        <f>-[1]Dashboard!D74</f>
        <v>-102830.79528000001</v>
      </c>
      <c r="AO36" s="291"/>
      <c r="AP36" s="13">
        <f t="shared" si="5"/>
        <v>964822.3127839996</v>
      </c>
      <c r="AQ36" s="13">
        <f t="shared" si="8"/>
        <v>2674920.9991479986</v>
      </c>
    </row>
    <row r="37" spans="1:47" x14ac:dyDescent="0.25">
      <c r="A37" s="244">
        <v>46327</v>
      </c>
      <c r="B37" s="292">
        <f t="shared" ref="B37:AM37" si="19">+B17*B$1</f>
        <v>0</v>
      </c>
      <c r="C37" s="292">
        <f t="shared" si="19"/>
        <v>0</v>
      </c>
      <c r="D37" s="292">
        <f t="shared" si="19"/>
        <v>0</v>
      </c>
      <c r="E37" s="292">
        <f t="shared" si="19"/>
        <v>0</v>
      </c>
      <c r="F37" s="292">
        <f t="shared" si="19"/>
        <v>0</v>
      </c>
      <c r="G37" s="292">
        <f t="shared" si="19"/>
        <v>0</v>
      </c>
      <c r="H37" s="292">
        <f t="shared" si="19"/>
        <v>0</v>
      </c>
      <c r="I37" s="357">
        <f t="shared" si="19"/>
        <v>0</v>
      </c>
      <c r="J37" s="292">
        <f t="shared" si="19"/>
        <v>0</v>
      </c>
      <c r="K37" s="487">
        <f t="shared" si="19"/>
        <v>0</v>
      </c>
      <c r="L37" s="292">
        <f t="shared" si="19"/>
        <v>0</v>
      </c>
      <c r="M37" s="292">
        <f t="shared" si="19"/>
        <v>0</v>
      </c>
      <c r="N37" s="292">
        <f t="shared" si="19"/>
        <v>0</v>
      </c>
      <c r="O37" s="292">
        <f t="shared" si="19"/>
        <v>0</v>
      </c>
      <c r="P37" s="292">
        <f t="shared" si="19"/>
        <v>0</v>
      </c>
      <c r="Q37" s="292">
        <f t="shared" si="19"/>
        <v>0</v>
      </c>
      <c r="R37" s="292">
        <f t="shared" si="19"/>
        <v>0</v>
      </c>
      <c r="S37" s="292">
        <f t="shared" si="19"/>
        <v>0</v>
      </c>
      <c r="T37" s="292">
        <f t="shared" si="19"/>
        <v>0</v>
      </c>
      <c r="U37" s="292">
        <f t="shared" si="19"/>
        <v>0</v>
      </c>
      <c r="V37" s="292">
        <f t="shared" si="19"/>
        <v>0</v>
      </c>
      <c r="W37" s="292">
        <f t="shared" si="19"/>
        <v>0</v>
      </c>
      <c r="X37" s="292">
        <f t="shared" si="19"/>
        <v>0</v>
      </c>
      <c r="Y37" s="292">
        <f t="shared" si="19"/>
        <v>0</v>
      </c>
      <c r="Z37" s="292">
        <f t="shared" si="19"/>
        <v>0</v>
      </c>
      <c r="AA37" s="292">
        <f t="shared" si="19"/>
        <v>0</v>
      </c>
      <c r="AB37" s="292">
        <f t="shared" si="19"/>
        <v>0</v>
      </c>
      <c r="AC37" s="292">
        <f t="shared" si="19"/>
        <v>0</v>
      </c>
      <c r="AD37" s="292">
        <f t="shared" si="19"/>
        <v>0</v>
      </c>
      <c r="AE37" s="292">
        <f t="shared" si="19"/>
        <v>0</v>
      </c>
      <c r="AF37" s="292">
        <f t="shared" si="19"/>
        <v>0</v>
      </c>
      <c r="AG37" s="292">
        <f t="shared" si="19"/>
        <v>0</v>
      </c>
      <c r="AH37" s="292">
        <f t="shared" si="19"/>
        <v>0</v>
      </c>
      <c r="AI37" s="292">
        <f t="shared" si="19"/>
        <v>0</v>
      </c>
      <c r="AJ37" s="292">
        <f t="shared" si="19"/>
        <v>0</v>
      </c>
      <c r="AK37" s="292">
        <f t="shared" si="19"/>
        <v>0</v>
      </c>
      <c r="AL37" s="292">
        <f t="shared" si="19"/>
        <v>0</v>
      </c>
      <c r="AM37" s="292">
        <f t="shared" si="19"/>
        <v>0</v>
      </c>
      <c r="AN37" s="357"/>
      <c r="AO37" s="291"/>
      <c r="AP37" s="13">
        <f t="shared" si="5"/>
        <v>0</v>
      </c>
      <c r="AQ37" s="13">
        <f t="shared" si="8"/>
        <v>2674920.9991479986</v>
      </c>
    </row>
    <row r="38" spans="1:47" x14ac:dyDescent="0.25">
      <c r="A38" s="244">
        <v>46357</v>
      </c>
      <c r="B38" s="292">
        <f t="shared" ref="B38:AM38" si="20">+B18*B$1</f>
        <v>0</v>
      </c>
      <c r="C38" s="292">
        <f t="shared" si="20"/>
        <v>0</v>
      </c>
      <c r="D38" s="292">
        <f t="shared" si="20"/>
        <v>0</v>
      </c>
      <c r="E38" s="292">
        <f t="shared" si="20"/>
        <v>0</v>
      </c>
      <c r="F38" s="292">
        <f t="shared" si="20"/>
        <v>0</v>
      </c>
      <c r="G38" s="292">
        <f t="shared" si="20"/>
        <v>0</v>
      </c>
      <c r="H38" s="292">
        <f t="shared" si="20"/>
        <v>0</v>
      </c>
      <c r="I38" s="357">
        <f t="shared" si="20"/>
        <v>0</v>
      </c>
      <c r="J38" s="292">
        <f t="shared" si="20"/>
        <v>0</v>
      </c>
      <c r="K38" s="487">
        <f t="shared" si="20"/>
        <v>0</v>
      </c>
      <c r="L38" s="292">
        <f t="shared" si="20"/>
        <v>0</v>
      </c>
      <c r="M38" s="292">
        <f t="shared" si="20"/>
        <v>0</v>
      </c>
      <c r="N38" s="292">
        <f t="shared" si="20"/>
        <v>0</v>
      </c>
      <c r="O38" s="292">
        <f t="shared" si="20"/>
        <v>0</v>
      </c>
      <c r="P38" s="292">
        <f t="shared" si="20"/>
        <v>0</v>
      </c>
      <c r="Q38" s="292">
        <f t="shared" si="20"/>
        <v>0</v>
      </c>
      <c r="R38" s="292">
        <f t="shared" si="20"/>
        <v>0</v>
      </c>
      <c r="S38" s="292">
        <f t="shared" si="20"/>
        <v>0</v>
      </c>
      <c r="T38" s="292">
        <f t="shared" si="20"/>
        <v>0</v>
      </c>
      <c r="U38" s="292">
        <f t="shared" si="20"/>
        <v>0</v>
      </c>
      <c r="V38" s="292">
        <f t="shared" si="20"/>
        <v>0</v>
      </c>
      <c r="W38" s="292">
        <f t="shared" si="20"/>
        <v>0</v>
      </c>
      <c r="X38" s="292">
        <f t="shared" si="20"/>
        <v>0</v>
      </c>
      <c r="Y38" s="292">
        <f t="shared" si="20"/>
        <v>0</v>
      </c>
      <c r="Z38" s="292">
        <f t="shared" si="20"/>
        <v>0</v>
      </c>
      <c r="AA38" s="292">
        <f t="shared" si="20"/>
        <v>0</v>
      </c>
      <c r="AB38" s="292">
        <f t="shared" si="20"/>
        <v>0</v>
      </c>
      <c r="AC38" s="292">
        <f t="shared" si="20"/>
        <v>0</v>
      </c>
      <c r="AD38" s="292">
        <f t="shared" si="20"/>
        <v>0</v>
      </c>
      <c r="AE38" s="292">
        <f t="shared" si="20"/>
        <v>0</v>
      </c>
      <c r="AF38" s="292">
        <f t="shared" si="20"/>
        <v>0</v>
      </c>
      <c r="AG38" s="292">
        <f t="shared" si="20"/>
        <v>0</v>
      </c>
      <c r="AH38" s="292">
        <f t="shared" si="20"/>
        <v>0</v>
      </c>
      <c r="AI38" s="292">
        <f t="shared" si="20"/>
        <v>0</v>
      </c>
      <c r="AJ38" s="292">
        <f t="shared" si="20"/>
        <v>0</v>
      </c>
      <c r="AK38" s="292">
        <f t="shared" si="20"/>
        <v>0</v>
      </c>
      <c r="AL38" s="292">
        <f t="shared" si="20"/>
        <v>0</v>
      </c>
      <c r="AM38" s="292">
        <f t="shared" si="20"/>
        <v>0</v>
      </c>
      <c r="AN38" s="357"/>
      <c r="AO38" s="291"/>
      <c r="AP38" s="13">
        <f t="shared" si="5"/>
        <v>0</v>
      </c>
      <c r="AQ38" s="13">
        <f t="shared" si="8"/>
        <v>2674920.9991479986</v>
      </c>
    </row>
    <row r="39" spans="1:47" x14ac:dyDescent="0.25">
      <c r="A39" t="s">
        <v>75</v>
      </c>
      <c r="B39" s="13">
        <f>SUM(B23:B38)</f>
        <v>0</v>
      </c>
      <c r="C39" s="13">
        <f t="shared" ref="C39:AN39" si="21">SUM(C23:C38)</f>
        <v>0</v>
      </c>
      <c r="D39" s="13">
        <f t="shared" si="21"/>
        <v>0</v>
      </c>
      <c r="E39" s="13">
        <f t="shared" si="21"/>
        <v>0</v>
      </c>
      <c r="F39" s="13">
        <f t="shared" si="21"/>
        <v>0</v>
      </c>
      <c r="G39" s="13">
        <f t="shared" si="21"/>
        <v>0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1331940.98</v>
      </c>
      <c r="L39" s="13">
        <f t="shared" si="21"/>
        <v>1844568</v>
      </c>
      <c r="M39" s="13">
        <f>SUM(M23:M38)</f>
        <v>410591.96541</v>
      </c>
      <c r="N39" s="13">
        <f t="shared" si="21"/>
        <v>0</v>
      </c>
      <c r="O39" s="13">
        <f t="shared" si="21"/>
        <v>0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2674920.9991479986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8244876.907300001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9564057.2124680001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606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2026-10-21T16:55:18Z</dcterms:modified>
  <cp:category/>
  <cp:contentStatus/>
</cp:coreProperties>
</file>