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"/>
    </mc:Choice>
  </mc:AlternateContent>
  <xr:revisionPtr revIDLastSave="2054" documentId="8_{4AADA8ED-8E7D-4B32-A08C-3385DCB314DA}" xr6:coauthVersionLast="47" xr6:coauthVersionMax="47" xr10:uidLastSave="{3B3D9F28-5F98-416C-8195-8E062B69FEBD}"/>
  <bookViews>
    <workbookView xWindow="28680" yWindow="-120" windowWidth="25845" windowHeight="13920" tabRatio="929" activeTab="20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SPIN'!$O$6:$O$20</definedName>
    <definedName name="_xlchart.v5.11" hidden="1">'EV SPIN'!$A$5:$A$20</definedName>
    <definedName name="_xlchart.v5.12" hidden="1">'EV SPIN'!$I$5:$I$20</definedName>
    <definedName name="_xlchart.v5.13" hidden="1">'EV SPIN'!$K$6:$K$20</definedName>
    <definedName name="_xlchart.v5.14" hidden="1">'EV SPIN'!$P$6:$P$20</definedName>
    <definedName name="_xlchart.v5.15" hidden="1">'EV SPIN'!$A$26:$A$38</definedName>
    <definedName name="_xlchart.v5.16" hidden="1">'EV SPIN'!$B$26:$B$38</definedName>
    <definedName name="_xlchart.v5.17" hidden="1">'EV SPIN'!$K$6:$K$20</definedName>
    <definedName name="_xlchart.v5.18" hidden="1">'EV SPIN'!$Q$6:$Q$20</definedName>
    <definedName name="_xlchart.v5.19" hidden="1">'EV SPIN'!$K$6:$K$20</definedName>
    <definedName name="_xlchart.v5.2" hidden="1">'EV (2)'!$A$26:$A$38</definedName>
    <definedName name="_xlchart.v5.20" hidden="1">'EV SPIN'!$L$6:$L$20</definedName>
    <definedName name="_xlchart.v5.21" hidden="1">'EV SPIN'!$K$6:$K$20</definedName>
    <definedName name="_xlchart.v5.22" hidden="1">'EV SPIN'!$M$6:$M$20</definedName>
    <definedName name="_xlchart.v5.23" hidden="1">'EV SPIN'!$K$6:$K$20</definedName>
    <definedName name="_xlchart.v5.24" hidden="1">'EV SPIN'!$L$6:$L$20</definedName>
    <definedName name="_xlchart.v5.25" hidden="1">'EV SPIN'!$K$6:$K$20</definedName>
    <definedName name="_xlchart.v5.26" hidden="1">'EV SPIN'!$M$6:$M$20</definedName>
    <definedName name="_xlchart.v5.27" hidden="1">'EV SPIN'!$A$5:$A$20</definedName>
    <definedName name="_xlchart.v5.28" hidden="1">'EV SPIN'!$I$5:$I$20</definedName>
    <definedName name="_xlchart.v5.29" hidden="1">'EV SPIN'!$K$6:$K$20</definedName>
    <definedName name="_xlchart.v5.3" hidden="1">'EV (2)'!$B$26:$B$38</definedName>
    <definedName name="_xlchart.v5.30" hidden="1">'EV SPIN'!$P$6:$P$20</definedName>
    <definedName name="_xlchart.v5.31" hidden="1">'EV SPIN'!$K$6:$K$20</definedName>
    <definedName name="_xlchart.v5.32" hidden="1">'EV SPIN'!$Q$6:$Q$20</definedName>
    <definedName name="_xlchart.v5.33" hidden="1">'EV SPIN'!$K$6:$K$20</definedName>
    <definedName name="_xlchart.v5.34" hidden="1">'EV SPIN'!$O$6:$O$20</definedName>
    <definedName name="_xlchart.v5.35" hidden="1">'EV SPIN'!$K$6:$K$20</definedName>
    <definedName name="_xlchart.v5.36" hidden="1">'EV SPIN'!$N$6:$N$20</definedName>
    <definedName name="_xlchart.v5.37" hidden="1">waterfall!$A$3:$A$19</definedName>
    <definedName name="_xlchart.v5.38" hidden="1">waterfall!$AP$3:$AP$19</definedName>
    <definedName name="_xlchart.v5.39" hidden="1">waterfall!$AR$74</definedName>
    <definedName name="_xlchart.v5.4" hidden="1">'EV (2)'!$A$5:$A$20</definedName>
    <definedName name="_xlchart.v5.40" hidden="1">waterfall!$A$23:$A$39</definedName>
    <definedName name="_xlchart.v5.41" hidden="1">waterfall!$AP$23:$AP$39</definedName>
    <definedName name="_xlchart.v5.5" hidden="1">'EV (2)'!$AO$5:$AO$20</definedName>
    <definedName name="_xlchart.v5.6" hidden="1">'waterfall ENGIE'!$U$31</definedName>
    <definedName name="_xlchart.v5.7" hidden="1">'EV SPIN'!$K$6:$K$20</definedName>
    <definedName name="_xlchart.v5.8" hidden="1">'EV SPIN'!$N$6:$N$20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M994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<sst xmlns="http://schemas.openxmlformats.org/spreadsheetml/2006/main" count="6052" uniqueCount="651">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</sst>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96.450605565890939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0.48225302782945467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10886644.457299985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90.722037144166549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</cx:strDim>
      <cx:numDim type="val">
        <cx:f>_xlchart.v5.5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_xlchart.v5.6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-276,277.38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_xlchart.v5.40</cx:f>
      </cx:strDim>
      <cx:numDim type="val">
        <cx:f>_xlchart.v5.41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_xlchart.v5.39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48.2%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$10,886,644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10,886,644.46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97.5%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zoomScaleNormal="100" workbookViewId="0">
      <selection activeCell="J1" sqref="J1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6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6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6" x14ac:dyDescent="0.25">
      <c r="A867" s="356">
        <v>46315</v>
      </c>
      <c r="B867" s="201" t="s">
        <v>12</v>
      </c>
      <c r="C867" s="202" t="s">
        <v>13</v>
      </c>
      <c r="D867" s="203" t="s">
        <v>650</v>
      </c>
      <c r="E867" s="378" t="s">
        <v>537</v>
      </c>
      <c r="F867" s="495" t="s">
        <v>643</v>
      </c>
      <c r="G867" s="495" t="s">
        <v>643</v>
      </c>
      <c r="H867" s="504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9">
        <v>14</v>
      </c>
      <c r="P867">
        <f>115-SUM(N867:N870)</f>
        <v>101</v>
      </c>
    </row>
    <row r="868" spans="1:16" x14ac:dyDescent="0.25">
      <c r="A868" s="356"/>
      <c r="B868" s="201" t="s">
        <v>29</v>
      </c>
      <c r="C868" s="202" t="s">
        <v>22</v>
      </c>
      <c r="D868" s="203" t="s">
        <v>650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6" x14ac:dyDescent="0.25">
      <c r="A869" s="356"/>
      <c r="B869" s="201" t="s">
        <v>12</v>
      </c>
      <c r="C869" s="202" t="s">
        <v>13</v>
      </c>
      <c r="D869" s="203" t="s">
        <v>650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6" x14ac:dyDescent="0.25">
      <c r="A870" s="356"/>
      <c r="B870" s="201" t="s">
        <v>29</v>
      </c>
      <c r="C870" s="202" t="s">
        <v>22</v>
      </c>
      <c r="D870" s="203" t="s">
        <v>650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6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6" x14ac:dyDescent="0.25">
      <c r="A872" s="356">
        <v>46315</v>
      </c>
      <c r="B872" s="201" t="s">
        <v>29</v>
      </c>
      <c r="C872" s="202" t="s">
        <v>536</v>
      </c>
      <c r="D872" s="203" t="s">
        <v>536</v>
      </c>
      <c r="E872" s="378" t="s">
        <v>537</v>
      </c>
      <c r="F872" s="495" t="s">
        <v>643</v>
      </c>
      <c r="G872" s="495" t="s">
        <v>643</v>
      </c>
      <c r="H872" s="504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9">
        <v>17</v>
      </c>
    </row>
    <row r="873" spans="1:16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6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6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6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6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6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6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6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>
        <v>37</v>
      </c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>
        <v>37</v>
      </c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>
        <v>37</v>
      </c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>
        <v>37</v>
      </c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13" spans="1:13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>
        <v>37</v>
      </c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14" spans="1:13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>
        <v>37</v>
      </c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15" spans="1:13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3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3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3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3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3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3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3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3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3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3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3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3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3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3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3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3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3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3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3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3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3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3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3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3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3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3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3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3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3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3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3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3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3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3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3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3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3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3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3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3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3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3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3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3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3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607.68610556589113</v>
      </c>
      <c r="L994" s="36"/>
      <c r="M994" s="294">
        <f>+SUBTOTAL(9,Tabla1[EV])</f>
        <v>10867666.575299986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6" t="s">
        <v>84</v>
      </c>
      <c r="E1" s="577"/>
      <c r="F1" s="577"/>
      <c r="G1" s="577"/>
      <c r="H1" s="577"/>
      <c r="I1" s="577"/>
      <c r="J1" s="577"/>
      <c r="K1" s="577"/>
      <c r="L1" s="2"/>
    </row>
    <row r="2" spans="2:15" ht="42.75" customHeight="1" x14ac:dyDescent="0.25">
      <c r="B2" s="2"/>
      <c r="C2" s="2"/>
      <c r="D2" s="577"/>
      <c r="E2" s="577"/>
      <c r="F2" s="577"/>
      <c r="G2" s="577"/>
      <c r="H2" s="577"/>
      <c r="I2" s="577"/>
      <c r="J2" s="577"/>
      <c r="K2" s="577"/>
      <c r="L2" s="2"/>
    </row>
    <row r="3" spans="2:15" x14ac:dyDescent="0.25">
      <c r="B3" s="569" t="s">
        <v>85</v>
      </c>
      <c r="C3" s="569"/>
      <c r="D3" s="569"/>
      <c r="E3" s="569"/>
      <c r="F3" s="569"/>
      <c r="G3" s="569" t="s">
        <v>86</v>
      </c>
      <c r="H3" s="569"/>
      <c r="I3" s="569"/>
      <c r="J3" s="569"/>
      <c r="K3" s="569"/>
      <c r="L3" s="3"/>
    </row>
    <row r="4" spans="2:15" x14ac:dyDescent="0.25">
      <c r="B4" s="578"/>
      <c r="C4" s="578"/>
      <c r="D4" s="578"/>
      <c r="E4" s="578"/>
      <c r="F4" s="578"/>
      <c r="G4" s="579" t="s">
        <v>87</v>
      </c>
      <c r="H4" s="579"/>
      <c r="I4" s="579"/>
      <c r="J4" s="579"/>
      <c r="K4" s="579"/>
      <c r="L4" s="3"/>
    </row>
    <row r="5" spans="2:15" ht="27" x14ac:dyDescent="0.25">
      <c r="B5" s="154" t="s">
        <v>88</v>
      </c>
      <c r="C5" s="569" t="s">
        <v>89</v>
      </c>
      <c r="D5" s="570"/>
      <c r="E5" s="570"/>
      <c r="F5" s="570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2" t="s">
        <v>95</v>
      </c>
      <c r="D6" s="572"/>
      <c r="E6" s="572"/>
      <c r="F6" s="572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8" t="s">
        <v>96</v>
      </c>
      <c r="D7" s="568"/>
      <c r="E7" s="568"/>
      <c r="F7" s="568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68" t="s">
        <v>99</v>
      </c>
      <c r="D8" s="568"/>
      <c r="E8" s="568"/>
      <c r="F8" s="568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68" t="s">
        <v>100</v>
      </c>
      <c r="D9" s="568"/>
      <c r="E9" s="568"/>
      <c r="F9" s="568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5" t="s">
        <v>102</v>
      </c>
      <c r="D10" s="575"/>
      <c r="E10" s="575"/>
      <c r="F10" s="575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68" t="s">
        <v>103</v>
      </c>
      <c r="D11" s="568"/>
      <c r="E11" s="568"/>
      <c r="F11" s="568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68" t="s">
        <v>104</v>
      </c>
      <c r="D12" s="568"/>
      <c r="E12" s="568"/>
      <c r="F12" s="568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2" t="s">
        <v>105</v>
      </c>
      <c r="D13" s="572"/>
      <c r="E13" s="572"/>
      <c r="F13" s="572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8" t="s">
        <v>107</v>
      </c>
      <c r="D14" s="568"/>
      <c r="E14" s="568"/>
      <c r="F14" s="568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68" t="s">
        <v>109</v>
      </c>
      <c r="D15" s="568"/>
      <c r="E15" s="568"/>
      <c r="F15" s="568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68" t="s">
        <v>110</v>
      </c>
      <c r="D16" s="568"/>
      <c r="E16" s="568"/>
      <c r="F16" s="568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68" t="s">
        <v>112</v>
      </c>
      <c r="D18" s="568"/>
      <c r="E18" s="568"/>
      <c r="F18" s="568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68" t="s">
        <v>114</v>
      </c>
      <c r="D19" s="568"/>
      <c r="E19" s="568"/>
      <c r="F19" s="568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68" t="s">
        <v>115</v>
      </c>
      <c r="D20" s="568"/>
      <c r="E20" s="568"/>
      <c r="F20" s="568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68" t="s">
        <v>104</v>
      </c>
      <c r="D21" s="568"/>
      <c r="E21" s="568"/>
      <c r="F21" s="568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2" t="s">
        <v>116</v>
      </c>
      <c r="D22" s="572"/>
      <c r="E22" s="572"/>
      <c r="F22" s="572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8" t="s">
        <v>117</v>
      </c>
      <c r="D23" s="568"/>
      <c r="E23" s="568"/>
      <c r="F23" s="568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68" t="s">
        <v>119</v>
      </c>
      <c r="D24" s="568"/>
      <c r="E24" s="568"/>
      <c r="F24" s="568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3" t="s">
        <v>121</v>
      </c>
      <c r="D25" s="573"/>
      <c r="E25" s="573"/>
      <c r="F25" s="573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68" t="s">
        <v>123</v>
      </c>
      <c r="D26" s="568"/>
      <c r="E26" s="568"/>
      <c r="F26" s="568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68" t="s">
        <v>125</v>
      </c>
      <c r="D27" s="568"/>
      <c r="E27" s="568"/>
      <c r="F27" s="568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68" t="s">
        <v>128</v>
      </c>
      <c r="D28" s="568"/>
      <c r="E28" s="568"/>
      <c r="F28" s="568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68" t="s">
        <v>130</v>
      </c>
      <c r="D29" s="568"/>
      <c r="E29" s="568"/>
      <c r="F29" s="568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68" t="s">
        <v>132</v>
      </c>
      <c r="D30" s="568"/>
      <c r="E30" s="568"/>
      <c r="F30" s="568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68" t="s">
        <v>134</v>
      </c>
      <c r="D31" s="568"/>
      <c r="E31" s="568"/>
      <c r="F31" s="568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68" t="s">
        <v>136</v>
      </c>
      <c r="D32" s="568"/>
      <c r="E32" s="568"/>
      <c r="F32" s="568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68" t="s">
        <v>138</v>
      </c>
      <c r="D33" s="568"/>
      <c r="E33" s="568"/>
      <c r="F33" s="568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68" t="s">
        <v>140</v>
      </c>
      <c r="D34" s="568"/>
      <c r="E34" s="568"/>
      <c r="F34" s="568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68" t="s">
        <v>141</v>
      </c>
      <c r="D35" s="568"/>
      <c r="E35" s="568"/>
      <c r="F35" s="568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2" t="s">
        <v>142</v>
      </c>
      <c r="D36" s="572"/>
      <c r="E36" s="572"/>
      <c r="F36" s="572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8" t="s">
        <v>143</v>
      </c>
      <c r="D37" s="568"/>
      <c r="E37" s="568"/>
      <c r="F37" s="568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68" t="s">
        <v>144</v>
      </c>
      <c r="D38" s="568"/>
      <c r="E38" s="568"/>
      <c r="F38" s="568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68" t="s">
        <v>145</v>
      </c>
      <c r="D39" s="568"/>
      <c r="E39" s="568"/>
      <c r="F39" s="568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68" t="s">
        <v>146</v>
      </c>
      <c r="D40" s="568"/>
      <c r="E40" s="568"/>
      <c r="F40" s="568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68" t="s">
        <v>147</v>
      </c>
      <c r="D41" s="568"/>
      <c r="E41" s="568"/>
      <c r="F41" s="568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68" t="s">
        <v>148</v>
      </c>
      <c r="D42" s="568"/>
      <c r="E42" s="568"/>
      <c r="F42" s="568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68" t="s">
        <v>149</v>
      </c>
      <c r="D43" s="568"/>
      <c r="E43" s="568"/>
      <c r="F43" s="568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68" t="s">
        <v>150</v>
      </c>
      <c r="D44" s="568"/>
      <c r="E44" s="568"/>
      <c r="F44" s="568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68" t="s">
        <v>151</v>
      </c>
      <c r="D45" s="568"/>
      <c r="E45" s="568"/>
      <c r="F45" s="568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68" t="s">
        <v>153</v>
      </c>
      <c r="D46" s="568"/>
      <c r="E46" s="568"/>
      <c r="F46" s="568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68" t="s">
        <v>154</v>
      </c>
      <c r="D47" s="568"/>
      <c r="E47" s="568"/>
      <c r="F47" s="568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68" t="s">
        <v>155</v>
      </c>
      <c r="D48" s="568"/>
      <c r="E48" s="568"/>
      <c r="F48" s="568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2" t="s">
        <v>156</v>
      </c>
      <c r="D49" s="572"/>
      <c r="E49" s="572"/>
      <c r="F49" s="572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68" t="s">
        <v>157</v>
      </c>
      <c r="D50" s="568"/>
      <c r="E50" s="568"/>
      <c r="F50" s="568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68" t="s">
        <v>159</v>
      </c>
      <c r="D51" s="568"/>
      <c r="E51" s="568"/>
      <c r="F51" s="568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1"/>
      <c r="C56" s="571"/>
      <c r="D56" s="571"/>
      <c r="E56" s="571"/>
      <c r="F56" s="571"/>
      <c r="G56" s="571"/>
      <c r="H56" s="571"/>
      <c r="I56" s="571"/>
      <c r="J56" s="571"/>
      <c r="K56" s="571"/>
      <c r="L56" s="3"/>
    </row>
    <row r="57" spans="2:12" ht="20.100000000000001" customHeight="1" x14ac:dyDescent="0.25">
      <c r="B57" s="571"/>
      <c r="C57" s="571"/>
      <c r="D57" s="571"/>
      <c r="E57" s="571"/>
      <c r="F57" s="571"/>
      <c r="G57" s="571"/>
      <c r="H57" s="571"/>
      <c r="I57" s="571"/>
      <c r="J57" s="571"/>
      <c r="K57" s="571"/>
      <c r="L57" s="3"/>
    </row>
    <row r="58" spans="2:12" ht="20.100000000000001" customHeight="1" x14ac:dyDescent="0.25">
      <c r="B58" s="571"/>
      <c r="C58" s="571"/>
      <c r="D58" s="571"/>
      <c r="E58" s="571"/>
      <c r="F58" s="571"/>
      <c r="G58" s="571"/>
      <c r="H58" s="571"/>
      <c r="I58" s="571"/>
      <c r="J58" s="571"/>
      <c r="K58" s="571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1"/>
      <c r="C61" s="571"/>
      <c r="D61" s="571"/>
      <c r="E61" s="571"/>
      <c r="F61" s="571"/>
      <c r="G61" s="571"/>
      <c r="H61" s="571"/>
      <c r="I61" s="571"/>
      <c r="J61" s="571"/>
      <c r="K61" s="571"/>
      <c r="L61" s="3"/>
    </row>
    <row r="62" spans="2:12" ht="20.100000000000001" customHeight="1" x14ac:dyDescent="0.25">
      <c r="B62" s="571"/>
      <c r="C62" s="571"/>
      <c r="D62" s="571"/>
      <c r="E62" s="571"/>
      <c r="F62" s="571"/>
      <c r="G62" s="571"/>
      <c r="H62" s="571"/>
      <c r="I62" s="571"/>
      <c r="J62" s="571"/>
      <c r="K62" s="571"/>
      <c r="L62" s="3"/>
    </row>
    <row r="63" spans="2:12" ht="20.100000000000001" customHeight="1" x14ac:dyDescent="0.25">
      <c r="B63" s="571"/>
      <c r="C63" s="571"/>
      <c r="D63" s="571"/>
      <c r="E63" s="571"/>
      <c r="F63" s="571"/>
      <c r="G63" s="571"/>
      <c r="H63" s="571"/>
      <c r="I63" s="571"/>
      <c r="J63" s="571"/>
      <c r="K63" s="571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9" t="s">
        <v>163</v>
      </c>
      <c r="D66" s="570"/>
      <c r="E66" s="570"/>
      <c r="F66" s="570"/>
    </row>
    <row r="67" spans="2:12" x14ac:dyDescent="0.25">
      <c r="B67" s="5">
        <v>6.1</v>
      </c>
      <c r="C67" s="568" t="s">
        <v>164</v>
      </c>
      <c r="D67" s="568"/>
      <c r="E67" s="568"/>
      <c r="F67" s="568"/>
    </row>
    <row r="68" spans="2:12" x14ac:dyDescent="0.25">
      <c r="B68" s="5">
        <v>6.2</v>
      </c>
      <c r="C68" s="568" t="s">
        <v>165</v>
      </c>
      <c r="D68" s="568"/>
      <c r="E68" s="568"/>
      <c r="F68" s="568"/>
    </row>
    <row r="69" spans="2:12" x14ac:dyDescent="0.25">
      <c r="B69" s="5">
        <v>6.3</v>
      </c>
      <c r="C69" s="568" t="s">
        <v>166</v>
      </c>
      <c r="D69" s="568"/>
      <c r="E69" s="568"/>
      <c r="F69" s="568"/>
    </row>
    <row r="70" spans="2:12" x14ac:dyDescent="0.25">
      <c r="B70" s="5">
        <v>6.4</v>
      </c>
      <c r="C70" s="568" t="s">
        <v>167</v>
      </c>
      <c r="D70" s="568"/>
      <c r="E70" s="568"/>
      <c r="F70" s="568"/>
    </row>
    <row r="71" spans="2:12" x14ac:dyDescent="0.25">
      <c r="B71" s="5">
        <v>6.5</v>
      </c>
      <c r="C71" s="568" t="s">
        <v>168</v>
      </c>
      <c r="D71" s="568"/>
      <c r="E71" s="568"/>
      <c r="F71" s="568"/>
    </row>
    <row r="72" spans="2:12" x14ac:dyDescent="0.25">
      <c r="B72" s="5">
        <v>6.6</v>
      </c>
      <c r="C72" s="568" t="s">
        <v>169</v>
      </c>
      <c r="D72" s="568"/>
      <c r="E72" s="568"/>
      <c r="F72" s="568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99</v>
      </c>
      <c r="C10" s="233">
        <f>+SUMIFS(Tabla1[Avance_Med],Tabla1[Fecha],"&gt;="&amp;$A10,Tabla1[Fecha],"&lt;="&amp;EOMONTH($A10,0),Tabla1[Codigo_actividad],C$2)</f>
        <v>99</v>
      </c>
      <c r="D10" s="233">
        <f>+SUMIFS(Tabla1[Avance_Med],Tabla1[Fecha],"&gt;="&amp;$A10,Tabla1[Fecha],"&lt;="&amp;EOMONTH($A10,0),Tabla1[Codigo_actividad],D$2)</f>
        <v>99</v>
      </c>
      <c r="E10" s="233">
        <f>+SUMIFS(Tabla1[Avance_Med],Tabla1[Fecha],"&gt;="&amp;$A10,Tabla1[Fecha],"&lt;="&amp;EOMONTH($A10,0),Tabla1[Codigo_actividad],E$2)</f>
        <v>99</v>
      </c>
      <c r="F10" s="233">
        <f>+SUMIFS(Tabla1[Avance_Med],Tabla1[Fecha],"&gt;="&amp;$A10,Tabla1[Fecha],"&lt;="&amp;EOMONTH($A10,0),Tabla1[Codigo_actividad],F$2)</f>
        <v>99</v>
      </c>
      <c r="G10" s="233">
        <f>+SUMIFS(Tabla1[Avance_Med],Tabla1[Fecha],"&gt;="&amp;$A10,Tabla1[Fecha],"&lt;="&amp;EOMONTH($A10,0),Tabla1[Codigo_actividad],G$2)</f>
        <v>99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54</v>
      </c>
      <c r="Q10" s="238"/>
      <c r="R10" s="13">
        <f t="shared" si="0"/>
        <v>1512809.8920000002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17</v>
      </c>
      <c r="C11" s="233">
        <f>+SUMIFS(Tabla1[Avance_Med],Tabla1[Fecha],"&gt;="&amp;$A11,Tabla1[Fecha],"&lt;="&amp;EOMONTH($A11,0),Tabla1[Codigo_actividad],C$2)</f>
        <v>17</v>
      </c>
      <c r="D11" s="233">
        <f>+SUMIFS(Tabla1[Avance_Med],Tabla1[Fecha],"&gt;="&amp;$A11,Tabla1[Fecha],"&lt;="&amp;EOMONTH($A11,0),Tabla1[Codigo_actividad],D$2)</f>
        <v>17</v>
      </c>
      <c r="E11" s="233">
        <f>+SUMIFS(Tabla1[Avance_Med],Tabla1[Fecha],"&gt;="&amp;$A11,Tabla1[Fecha],"&lt;="&amp;EOMONTH($A11,0),Tabla1[Codigo_actividad],E$2)</f>
        <v>17</v>
      </c>
      <c r="F11" s="233">
        <f>+SUMIFS(Tabla1[Avance_Med],Tabla1[Fecha],"&gt;="&amp;$A11,Tabla1[Fecha],"&lt;="&amp;EOMONTH($A11,0),Tabla1[Codigo_actividad],F$2)</f>
        <v>17</v>
      </c>
      <c r="G11" s="233">
        <f>+SUMIFS(Tabla1[Avance_Med],Tabla1[Fecha],"&gt;="&amp;$A11,Tabla1[Fecha],"&lt;="&amp;EOMONTH($A11,0),Tabla1[Codigo_actividad],G$2)</f>
        <v>17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312307.15577000007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34</v>
      </c>
      <c r="Q16" s="238"/>
      <c r="R16" s="13">
        <f t="shared" si="0"/>
        <v>571475.63459999999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4</v>
      </c>
      <c r="P17" s="233">
        <f>+SUMIFS(Tabla1[Avance_Med],Tabla1[Fecha],"&gt;="&amp;$A17,Tabla1[Fecha],"&lt;="&amp;EOMONTH($A17,0),Tabla1[Codigo_actividad],P$2)</f>
        <v>4</v>
      </c>
      <c r="Q17" s="238"/>
      <c r="R17" s="13">
        <f t="shared" si="0"/>
        <v>270583.21039999998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9"/>
      <c r="R20" s="13">
        <f>SUM(R4:R19)</f>
        <v>-2252592.9926999984</v>
      </c>
      <c r="S20" s="13">
        <f>+R4-R20</f>
        <v>-8910328.8473000005</v>
      </c>
      <c r="T20" s="253">
        <f>$S$20/$R$4</f>
        <v>0.79820758176158657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9" t="s">
        <v>85</v>
      </c>
      <c r="C3" s="569"/>
      <c r="D3" s="569" t="s">
        <v>86</v>
      </c>
      <c r="E3" s="569"/>
      <c r="F3" s="569"/>
      <c r="G3" s="569"/>
      <c r="H3" s="569"/>
    </row>
    <row r="4" spans="1:21" x14ac:dyDescent="0.25">
      <c r="B4" s="578"/>
      <c r="C4" s="578"/>
      <c r="D4" s="579" t="s">
        <v>87</v>
      </c>
      <c r="E4" s="579"/>
      <c r="F4" s="579"/>
      <c r="G4" s="579"/>
      <c r="H4" s="579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O1" sqref="O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96.450605565890939</v>
      </c>
      <c r="M40" s="61" t="s">
        <v>175</v>
      </c>
      <c r="N40" s="74">
        <f ca="1">+$L$40*Catalogo!F17</f>
        <v>1321014.5000000007</v>
      </c>
      <c r="P40" s="74">
        <f ca="1">+$L$40*Catalogo!J17</f>
        <v>653935.10573674052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8233950.4272999996</v>
      </c>
      <c r="P41" s="215">
        <f ca="1">SUM(P35:P40)</f>
        <v>3573451.70573674</v>
      </c>
      <c r="Q41" s="140"/>
      <c r="R41" s="176" t="str">
        <f ca="1">"Ejecutdo SPIN al "&amp;TEXT(TODAY(),"mmm-aaaa")</f>
        <v>Ejecutdo SPIN al oct-2026</v>
      </c>
      <c r="S41" s="245">
        <f ca="1">+P41</f>
        <v>3573451.70573674</v>
      </c>
      <c r="T41" s="247">
        <f ca="1">+P41+R38-1500000</f>
        <v>1714735.1057367404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4660498.7215632591</v>
      </c>
      <c r="P43"/>
      <c r="Q43"/>
      <c r="R43" s="176" t="str">
        <f ca="1">"Por Pagar a "&amp;TEXT(TODAY(),"mmm-aaaa")</f>
        <v>Por Pagar a oct-2026</v>
      </c>
      <c r="S43" s="245">
        <f ca="1">+S41+S42</f>
        <v>2073451.70573674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96.450605565890939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0.48225302782945467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0.48225302782945467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46">
        <f ca="1">100*AC35/12000000</f>
        <v>90.722037144166549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10886644.457299985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96.450605565890939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6291200.5807599993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6294812.4527599998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6297972.8407600001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6304167.2012400003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6306424.6212400002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6308406.6359999999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6308406.6359999999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6308406.6359999999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6310664.0559999999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6315178.8959999997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6321386.801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6328159.0609999998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6330980.8360000001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6330980.8360000001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6333689.7400000002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6338881.8059999999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6343076.0923600001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6343653.9918800006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6343653.9918800006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6343653.9918800006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6343653.9918800006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6343653.9918800006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6343653.9918800006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6386652.0718800006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6540114.1294400012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6564365.1515100012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6569462.0683900015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6569462.0683900015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6585254.377340002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6600599.3505000016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6600599.3505000016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6607119.6085300017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6626382.1587600019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6626382.1587600019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6626382.1587600019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6648654.0588500015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6663999.0320100011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6688344.9434900014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6718085.9957100013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6754198.1940300008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6759661.1129200011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6759661.1129200011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6776334.5378200011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6786663.9278800013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6804977.5840100013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6818655.2146800011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6853651.8127800012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6881620.048440001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6881620.048440001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6896138.1281700013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6913408.0007900009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6926326.5161800012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6963675.5827000011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7000748.7424300015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7026771.1091500018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7026771.1091500018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7039084.0915900012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7043418.3379900008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7044760.3453600006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7045503.0365400007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7047509.8829200007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7048555.068380001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7048555.068380001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7077481.7171000009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7106422.8872300014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7116500.7457700018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7137731.0471900012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7142701.8860300006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7170002.1368300002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7170002.1368300002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7190070.7254499998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7210270.0067600003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7225183.4948299993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7238296.3280599993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7250958.9975799993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7250958.9975799993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7250958.9975799993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7257740.4960499993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7267876.4402299989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7274251.3392199986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7291270.4317399981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7296743.6712499978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7296978.5748699978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7296978.5748699978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7304181.1942299977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7316829.3423399981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7316829.3423399981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7338235.7884899983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7339806.0418899991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7341706.7895299988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7341706.7895299988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7351755.6052499991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7355974.7349999985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7368463.1475999989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7371488.0903999982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7377589.8966599982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7380908.3040599981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7380908.3040599981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7394163.8742999984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7413390.2211399982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7414014.6417699978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7439005.9883799981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7473131.3018799983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7483586.717079998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7508273.1140799979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9511163.3839199916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96.450605565890939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10886644.457299985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250748.19</v>
      </c>
      <c r="C10" s="316">
        <f>+SUMIFS(Tabla1[Avance_Med],Tabla1[Fecha],"&gt;="&amp;$A10,Tabla1[Fecha],"&lt;="&amp;EOMONTH($A10,0),Tabla1[Codigo_actividad],C$4)*C$3</f>
        <v>321750.99000000005</v>
      </c>
      <c r="D10" s="316">
        <f>+SUMIFS(Tabla1[Avance_Med],Tabla1[Fecha],"&gt;="&amp;$A10,Tabla1[Fecha],"&lt;="&amp;EOMONTH($A10,0),Tabla1[Codigo_actividad],D$4)*D$3</f>
        <v>97546.680000000008</v>
      </c>
      <c r="E10" s="316">
        <f>+SUMIFS(Tabla1[Avance_Med],Tabla1[Fecha],"&gt;="&amp;$A10,Tabla1[Fecha],"&lt;="&amp;EOMONTH($A10,0),Tabla1[Codigo_actividad],E$4)*E$3</f>
        <v>105229.08</v>
      </c>
      <c r="F10" s="316">
        <f>+SUMIFS(Tabla1[Avance_Med],Tabla1[Fecha],"&gt;="&amp;$A10,Tabla1[Fecha],"&lt;="&amp;EOMONTH($A10,0),Tabla1[Codigo_actividad],F$4)*F$3</f>
        <v>132387.75</v>
      </c>
      <c r="G10" s="316">
        <f>+SUMIFS(Tabla1[Avance_Med],Tabla1[Fecha],"&gt;="&amp;$A10,Tabla1[Fecha],"&lt;="&amp;EOMONTH($A10,0),Tabla1[Codigo_actividad],G$4)*G$3</f>
        <v>156539.79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106415.1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1512809.8920000002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43057.77</v>
      </c>
      <c r="C11" s="316">
        <f>+SUMIFS(Tabla1[Avance_Med],Tabla1[Fecha],"&gt;="&amp;$A11,Tabla1[Fecha],"&lt;="&amp;EOMONTH($A11,0),Tabla1[Codigo_actividad],C$4)*C$3</f>
        <v>55250.170000000006</v>
      </c>
      <c r="D11" s="316">
        <f>+SUMIFS(Tabla1[Avance_Med],Tabla1[Fecha],"&gt;="&amp;$A11,Tabla1[Fecha],"&lt;="&amp;EOMONTH($A11,0),Tabla1[Codigo_actividad],D$4)*D$3</f>
        <v>16750.440000000002</v>
      </c>
      <c r="E11" s="316">
        <f>+SUMIFS(Tabla1[Avance_Med],Tabla1[Fecha],"&gt;="&amp;$A11,Tabla1[Fecha],"&lt;="&amp;EOMONTH($A11,0),Tabla1[Codigo_actividad],E$4)*E$3</f>
        <v>18069.64</v>
      </c>
      <c r="F11" s="316">
        <f>+SUMIFS(Tabla1[Avance_Med],Tabla1[Fecha],"&gt;="&amp;$A11,Tabla1[Fecha],"&lt;="&amp;EOMONTH($A11,0),Tabla1[Codigo_actividad],F$4)*F$3</f>
        <v>22733.25</v>
      </c>
      <c r="G11" s="316">
        <f>+SUMIFS(Tabla1[Avance_Med],Tabla1[Fecha],"&gt;="&amp;$A11,Tabla1[Fecha],"&lt;="&amp;EOMONTH($A11,0),Tabla1[Codigo_actividad],G$4)*G$3</f>
        <v>26880.57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312307.15577000007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67002.100000000006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1193006.1345999998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580430.36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10585.12</v>
      </c>
      <c r="P17" s="316">
        <f>+SUMIFS(Tabla1[Avance_Med],Tabla1[Fecha],"&gt;="&amp;$A17,Tabla1[Fecha],"&lt;="&amp;EOMONTH($A17,0),Tabla1[Codigo_actividad],P$4)*P$3</f>
        <v>7882.6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942092.33039999974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-276277.38269999844</v>
      </c>
      <c r="AQ20" s="418">
        <f>+AO20/AO5</f>
        <v>2.4749558104941317E-2</v>
      </c>
      <c r="AT20"/>
      <c r="AU20"/>
      <c r="AV20"/>
      <c r="AW20"/>
      <c r="AX20"/>
    </row>
    <row r="21" spans="1:52" x14ac:dyDescent="0.25">
      <c r="A21"/>
      <c r="B21" s="312">
        <f>SUM(B6:B19)</f>
        <v>293805.96000000002</v>
      </c>
      <c r="C21" s="312">
        <f t="shared" ref="C21:AM21" si="2">SUM(C6:C19)</f>
        <v>377001.16000000003</v>
      </c>
      <c r="D21" s="312">
        <f t="shared" si="2"/>
        <v>114297.12000000001</v>
      </c>
      <c r="E21" s="312">
        <f t="shared" si="2"/>
        <v>123298.72</v>
      </c>
      <c r="F21" s="312">
        <f t="shared" si="2"/>
        <v>155121</v>
      </c>
      <c r="G21" s="312">
        <f t="shared" si="2"/>
        <v>183420.36000000002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1321014.5</v>
      </c>
      <c r="L21" s="312">
        <f t="shared" si="2"/>
        <v>1844568</v>
      </c>
      <c r="M21" s="443">
        <f t="shared" si="2"/>
        <v>410591.96541</v>
      </c>
      <c r="N21" s="312">
        <f t="shared" si="2"/>
        <v>325691.03999999998</v>
      </c>
      <c r="O21" s="312">
        <f t="shared" si="2"/>
        <v>243457.76</v>
      </c>
      <c r="P21" s="312">
        <f t="shared" si="2"/>
        <v>181299.80000000002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10886644.457300002</v>
      </c>
      <c r="AQ21" s="419">
        <f>-AO21/AO5</f>
        <v>0.97525044189505872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942092.33040000009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10886644.4573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99</v>
      </c>
      <c r="C9" s="233">
        <f>+SUMIFS(Tabla1[Avance_Med],Tabla1[Fecha],"&gt;="&amp;$A9,Tabla1[Fecha],"&lt;="&amp;EOMONTH($A9,0),Tabla1[Codigo_actividad],C$4)*C$3</f>
        <v>99</v>
      </c>
      <c r="D9" s="233">
        <f>+SUMIFS(Tabla1[Avance_Med],Tabla1[Fecha],"&gt;="&amp;$A9,Tabla1[Fecha],"&lt;="&amp;EOMONTH($A9,0),Tabla1[Codigo_actividad],D$4)*D$3</f>
        <v>99</v>
      </c>
      <c r="E9" s="233">
        <f>+SUMIFS(Tabla1[Avance_Med],Tabla1[Fecha],"&gt;="&amp;$A9,Tabla1[Fecha],"&lt;="&amp;EOMONTH($A9,0),Tabla1[Codigo_actividad],E$4)*E$3</f>
        <v>99</v>
      </c>
      <c r="F9" s="233">
        <f>+SUMIFS(Tabla1[Avance_Med],Tabla1[Fecha],"&gt;="&amp;$A9,Tabla1[Fecha],"&lt;="&amp;EOMONTH($A9,0),Tabla1[Codigo_actividad],F$4)*F$3</f>
        <v>99</v>
      </c>
      <c r="G9" s="233">
        <f>+SUMIFS(Tabla1[Avance_Med],Tabla1[Fecha],"&gt;="&amp;$A9,Tabla1[Fecha],"&lt;="&amp;EOMONTH($A9,0),Tabla1[Codigo_actividad],G$4)*G$3</f>
        <v>99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54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17</v>
      </c>
      <c r="C10" s="233">
        <f>+SUMIFS(Tabla1[Avance_Med],Tabla1[Fecha],"&gt;="&amp;$A10,Tabla1[Fecha],"&lt;="&amp;EOMONTH($A10,0),Tabla1[Codigo_actividad],C$4)*C$3</f>
        <v>17</v>
      </c>
      <c r="D10" s="233">
        <f>+SUMIFS(Tabla1[Avance_Med],Tabla1[Fecha],"&gt;="&amp;$A10,Tabla1[Fecha],"&lt;="&amp;EOMONTH($A10,0),Tabla1[Codigo_actividad],D$4)*D$3</f>
        <v>17</v>
      </c>
      <c r="E10" s="233">
        <f>+SUMIFS(Tabla1[Avance_Med],Tabla1[Fecha],"&gt;="&amp;$A10,Tabla1[Fecha],"&lt;="&amp;EOMONTH($A10,0),Tabla1[Codigo_actividad],E$4)*E$3</f>
        <v>17</v>
      </c>
      <c r="F10" s="233">
        <f>+SUMIFS(Tabla1[Avance_Med],Tabla1[Fecha],"&gt;="&amp;$A10,Tabla1[Fecha],"&lt;="&amp;EOMONTH($A10,0),Tabla1[Codigo_actividad],F$4)*F$3</f>
        <v>17</v>
      </c>
      <c r="G10" s="233">
        <f>+SUMIFS(Tabla1[Avance_Med],Tabla1[Fecha],"&gt;="&amp;$A10,Tabla1[Fecha],"&lt;="&amp;EOMONTH($A10,0),Tabla1[Codigo_actividad],G$4)*G$3</f>
        <v>17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34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42.378999999999998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4</v>
      </c>
      <c r="P16" s="233">
        <f>+SUMIFS(Tabla1[Avance_Med],Tabla1[Fecha],"&gt;="&amp;$A16,Tabla1[Fecha],"&lt;="&amp;EOMONTH($A16,0),Tabla1[Codigo_actividad],P$4)*P$3</f>
        <v>4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116</v>
      </c>
      <c r="C19" s="306">
        <f t="shared" ref="C19:AM19" si="0">SUM(C5:C18)</f>
        <v>116</v>
      </c>
      <c r="D19" s="306">
        <f t="shared" si="0"/>
        <v>116</v>
      </c>
      <c r="E19" s="306">
        <f t="shared" si="0"/>
        <v>116</v>
      </c>
      <c r="F19" s="306">
        <f t="shared" si="0"/>
        <v>116</v>
      </c>
      <c r="G19" s="306">
        <f t="shared" si="0"/>
        <v>116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96.450999999999993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92</v>
      </c>
      <c r="P19" s="306">
        <f t="shared" si="0"/>
        <v>92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1.1047619047619048</v>
      </c>
      <c r="C22" s="330">
        <f t="shared" ref="C22:P22" si="1">+C19/C21</f>
        <v>1.1047619047619048</v>
      </c>
      <c r="D22" s="330">
        <f t="shared" si="1"/>
        <v>1.1047619047619048</v>
      </c>
      <c r="E22" s="330">
        <f t="shared" si="1"/>
        <v>1.1047619047619048</v>
      </c>
      <c r="F22" s="330">
        <f t="shared" si="1"/>
        <v>1.1047619047619048</v>
      </c>
      <c r="G22" s="330">
        <f t="shared" si="1"/>
        <v>1.1047619047619048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0.48225499999999999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0.87619047619047619</v>
      </c>
      <c r="P22" s="341">
        <f t="shared" si="1"/>
        <v>0.87619047619047619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79.854477891156478</v>
      </c>
      <c r="E26" s="336" t="str">
        <f>REPT("█",ROUND(D26/5,0))&amp;REPT("░",20-ROUND(D26/5,0))&amp;" "&amp;ROUND(D26,0)&amp;"%"</f>
        <v>████████████████░░░░ 80%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19.687950937950934</v>
      </c>
      <c r="E27" s="350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79.854477891156478</v>
      </c>
      <c r="D4" s="336" t="str">
        <f>REPT("█",ROUND(C4/5,0))&amp;REPT("░",20-ROUND(C4/5,0))&amp;" "&amp;ROUND(C4,0)&amp;"%"</f>
        <v>████████████████░░░░ 80%</v>
      </c>
    </row>
    <row r="5" spans="2:4" ht="26.25" x14ac:dyDescent="0.35">
      <c r="B5" s="334" t="s">
        <v>448</v>
      </c>
      <c r="C5" s="348">
        <f>+AVERAGE('EV (3)'!P22:AA22)*100</f>
        <v>19.687950937950934</v>
      </c>
      <c r="D5" s="337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abSelected="1" topLeftCell="A10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40">
        <f>IF(SUM(F3:M3)=0,"",SUM(F3:M3))</f>
        <v>116</v>
      </c>
      <c r="O3" s="538">
        <f>IF(N3&lt;&gt;"",_xlfn.XLOOKUP(A3,Catalogo!B6:B69,Catalogo!F6:F69)*N3,"")</f>
        <v>293805.96000000002</v>
      </c>
      <c r="P3" s="555">
        <f>IFERROR($N3/$C3,"")</f>
        <v>1.1047619047619048</v>
      </c>
      <c r="Q3" s="556">
        <f>IFERROR(1-P3,"")</f>
        <v>-0.10476190476190483</v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40">
        <f t="shared" ref="N4:N40" si="0">IF(SUM(F4:M4)=0,"",SUM(F4:M4))</f>
        <v>116</v>
      </c>
      <c r="O4" s="538">
        <f>IF(N4&lt;&gt;"",_xlfn.XLOOKUP(A4,Catalogo!B7:B70,Catalogo!F7:F70)*N4,"")</f>
        <v>377001.16000000003</v>
      </c>
      <c r="P4" s="555">
        <f t="shared" ref="P4:P40" si="1">IFERROR($N4/$C4,"")</f>
        <v>1.1047619047619048</v>
      </c>
      <c r="Q4" s="556">
        <f t="shared" ref="Q4:Q40" si="2">IFERROR(1-P4,"")</f>
        <v>-0.10476190476190483</v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40">
        <f t="shared" si="0"/>
        <v>116</v>
      </c>
      <c r="O5" s="538">
        <f>IF(N5&lt;&gt;"",_xlfn.XLOOKUP(A5,Catalogo!B8:B71,Catalogo!F8:F71)*N5,"")</f>
        <v>114297.12000000001</v>
      </c>
      <c r="P5" s="555">
        <f t="shared" si="1"/>
        <v>1.1047619047619048</v>
      </c>
      <c r="Q5" s="556">
        <f t="shared" si="2"/>
        <v>-0.10476190476190483</v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40">
        <f t="shared" si="0"/>
        <v>116</v>
      </c>
      <c r="O6" s="538">
        <f>IF(N6&lt;&gt;"",_xlfn.XLOOKUP(A6,Catalogo!B9:B72,Catalogo!F9:F72)*N6,"")</f>
        <v>123298.72</v>
      </c>
      <c r="P6" s="555">
        <f t="shared" si="1"/>
        <v>1.1047619047619048</v>
      </c>
      <c r="Q6" s="556">
        <f t="shared" si="2"/>
        <v>-0.10476190476190483</v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40">
        <f t="shared" si="0"/>
        <v>116</v>
      </c>
      <c r="O7" s="538">
        <f>IF(N7&lt;&gt;"",_xlfn.XLOOKUP(A7,Catalogo!B10:B73,Catalogo!F10:F73)*N7,"")</f>
        <v>155121</v>
      </c>
      <c r="P7" s="555">
        <f t="shared" si="1"/>
        <v>1.1047619047619048</v>
      </c>
      <c r="Q7" s="556">
        <f t="shared" si="2"/>
        <v>-0.10476190476190483</v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40">
        <f t="shared" si="0"/>
        <v>116</v>
      </c>
      <c r="O8" s="538">
        <f>IF(N8&lt;&gt;"",_xlfn.XLOOKUP(A8,Catalogo!B11:B74,Catalogo!F11:F74)*N8,"")</f>
        <v>183420.36000000002</v>
      </c>
      <c r="P8" s="555">
        <f t="shared" si="1"/>
        <v>1.1047619047619048</v>
      </c>
      <c r="Q8" s="556">
        <f t="shared" si="2"/>
        <v>-0.10476190476190483</v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23.351051526399864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26.242087632554234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96.450605565890868</v>
      </c>
      <c r="O12" s="538">
        <f>IF(N12&lt;&gt;"",_xlfn.XLOOKUP(A12,Catalogo!B15:B78,Catalogo!F15:F78)*N12,"")</f>
        <v>1321014.4999999998</v>
      </c>
      <c r="P12" s="555">
        <f t="shared" si="1"/>
        <v>0.48225302782945434</v>
      </c>
      <c r="Q12" s="556">
        <f t="shared" si="2"/>
        <v>0.51774697217054566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>
        <f t="shared" si="0"/>
        <v>92</v>
      </c>
      <c r="O15" s="538">
        <f>IF(N15&lt;&gt;"",_xlfn.XLOOKUP(A15,Catalogo!B18:B81,Catalogo!F18:F81)*N15,"")</f>
        <v>325691.03999999998</v>
      </c>
      <c r="P15" s="555">
        <f t="shared" si="1"/>
        <v>0.87619047619047619</v>
      </c>
      <c r="Q15" s="556">
        <f t="shared" si="2"/>
        <v>0.12380952380952381</v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>
        <f t="shared" si="0"/>
        <v>92</v>
      </c>
      <c r="O16" s="538">
        <f>IF(N16&lt;&gt;"",_xlfn.XLOOKUP(A16,Catalogo!B19:B82,Catalogo!F19:F82)*N16,"")</f>
        <v>243457.76</v>
      </c>
      <c r="P16" s="555">
        <f t="shared" si="1"/>
        <v>0.87619047619047619</v>
      </c>
      <c r="Q16" s="556">
        <f t="shared" si="2"/>
        <v>0.12380952380952381</v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>
        <f t="shared" si="0"/>
        <v>92</v>
      </c>
      <c r="O17" s="538">
        <f>IF(N17&lt;&gt;"",_xlfn.XLOOKUP(A17,Catalogo!B20:B83,Catalogo!F20:F83)*N17,"")</f>
        <v>181299.80000000002</v>
      </c>
      <c r="P17" s="555">
        <f t="shared" si="1"/>
        <v>0.87619047619047619</v>
      </c>
      <c r="Q17" s="556">
        <f t="shared" si="2"/>
        <v>0.12380952380952381</v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10886644.457299998</v>
      </c>
      <c r="P42" s="293">
        <f>+'EV (2)'!AN5+'EV (4)'!O42</f>
        <v>-276277.38270000182</v>
      </c>
      <c r="Q42" s="543">
        <f>-O42/'EV (2)'!AO5</f>
        <v>0.97525044189505838</v>
      </c>
      <c r="R42" s="554">
        <f>1-Q42</f>
        <v>2.4749558104941616E-2</v>
      </c>
    </row>
    <row r="43" spans="1:18" x14ac:dyDescent="0.25">
      <c r="C43"/>
      <c r="D43"/>
      <c r="E43"/>
      <c r="F43"/>
      <c r="O43" s="553" t="str">
        <f ca="1">+IF(O42=EV!AC35,"CHECKED","NO CUADRA")</f>
        <v>CHECKED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69000</v>
      </c>
      <c r="G17" s="316">
        <f t="shared" si="3"/>
        <v>59000</v>
      </c>
      <c r="H17" s="315"/>
      <c r="I17" s="310">
        <f t="shared" si="4"/>
        <v>257936.59999999998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46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246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46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1674251.6000000006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46</v>
      </c>
      <c r="Q20" s="464">
        <f t="shared" si="7"/>
        <v>200</v>
      </c>
      <c r="S20" s="311">
        <f>SUM(S6:S19)</f>
        <v>511.2355</v>
      </c>
      <c r="T20" s="466">
        <f>SUM(T6:T19)</f>
        <v>603</v>
      </c>
      <c r="U20" s="476">
        <f>SUM(U6:U19)</f>
        <v>357</v>
      </c>
      <c r="V20" s="464">
        <f t="shared" ref="V20:W20" si="8">SUM(V6:V19)</f>
        <v>46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69000</v>
      </c>
      <c r="G21" s="312">
        <f t="shared" si="9"/>
        <v>59000</v>
      </c>
      <c r="H21" s="229"/>
      <c r="I21" s="310">
        <f>+IF(SUM(I6:I19)=SUM(B21:G21),SUM(I6:I19),"Diferencia en los montos")</f>
        <v>3174251.6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3174251.6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99</v>
      </c>
      <c r="C9" s="233">
        <f>+SUMIFS(Tabla1[Avance_Med],Tabla1[Fecha],"&gt;="&amp;$A9,Tabla1[Fecha],"&lt;="&amp;EOMONTH($A9,0),Tabla1[Codigo_actividad],C$2)</f>
        <v>99</v>
      </c>
      <c r="D9" s="233">
        <f>+SUMIFS(Tabla1[Avance_Med],Tabla1[Fecha],"&gt;="&amp;$A9,Tabla1[Fecha],"&lt;="&amp;EOMONTH($A9,0),Tabla1[Codigo_actividad],D$2)</f>
        <v>99</v>
      </c>
      <c r="E9" s="233">
        <f>+SUMIFS(Tabla1[Avance_Med],Tabla1[Fecha],"&gt;="&amp;$A9,Tabla1[Fecha],"&lt;="&amp;EOMONTH($A9,0),Tabla1[Codigo_actividad],E$2)</f>
        <v>99</v>
      </c>
      <c r="F9" s="233">
        <f>+SUMIFS(Tabla1[Avance_Med],Tabla1[Fecha],"&gt;="&amp;$A9,Tabla1[Fecha],"&lt;="&amp;EOMONTH($A9,0),Tabla1[Codigo_actividad],F$2)</f>
        <v>99</v>
      </c>
      <c r="G9" s="233">
        <f>+SUMIFS(Tabla1[Avance_Med],Tabla1[Fecha],"&gt;="&amp;$A9,Tabla1[Fecha],"&lt;="&amp;EOMONTH($A9,0),Tabla1[Codigo_actividad],G$2)</f>
        <v>99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54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1406394.7920000001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17</v>
      </c>
      <c r="C10" s="233">
        <f>+SUMIFS(Tabla1[Avance_Med],Tabla1[Fecha],"&gt;="&amp;$A10,Tabla1[Fecha],"&lt;="&amp;EOMONTH($A10,0),Tabla1[Codigo_actividad],C$2)</f>
        <v>17</v>
      </c>
      <c r="D10" s="233">
        <f>+SUMIFS(Tabla1[Avance_Med],Tabla1[Fecha],"&gt;="&amp;$A10,Tabla1[Fecha],"&lt;="&amp;EOMONTH($A10,0),Tabla1[Codigo_actividad],D$2)</f>
        <v>17</v>
      </c>
      <c r="E10" s="233">
        <f>+SUMIFS(Tabla1[Avance_Med],Tabla1[Fecha],"&gt;="&amp;$A10,Tabla1[Fecha],"&lt;="&amp;EOMONTH($A10,0),Tabla1[Codigo_actividad],E$2)</f>
        <v>17</v>
      </c>
      <c r="F10" s="233">
        <f>+SUMIFS(Tabla1[Avance_Med],Tabla1[Fecha],"&gt;="&amp;$A10,Tabla1[Fecha],"&lt;="&amp;EOMONTH($A10,0),Tabla1[Codigo_actividad],F$2)</f>
        <v>17</v>
      </c>
      <c r="G10" s="233">
        <f>+SUMIFS(Tabla1[Avance_Med],Tabla1[Fecha],"&gt;="&amp;$A10,Tabla1[Fecha],"&lt;="&amp;EOMONTH($A10,0),Tabla1[Codigo_actividad],G$2)</f>
        <v>17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312307.15577000007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34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944715.10459999996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42.378686767501833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4</v>
      </c>
      <c r="P16" s="233">
        <f>+SUMIFS(Tabla1[Avance_Med],Tabla1[Fecha],"&gt;="&amp;$A16,Tabla1[Fecha],"&lt;="&amp;EOMONTH($A16,0),Tabla1[Codigo_actividad],P$2)</f>
        <v>4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843130.97039999999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96.450605565890868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10050043.547300002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250748.19</v>
      </c>
      <c r="C29" s="316">
        <f t="shared" si="11"/>
        <v>321750.99000000005</v>
      </c>
      <c r="D29" s="316">
        <f t="shared" si="11"/>
        <v>97546.680000000008</v>
      </c>
      <c r="E29" s="316">
        <f t="shared" si="11"/>
        <v>105229.08</v>
      </c>
      <c r="F29" s="316">
        <f t="shared" si="11"/>
        <v>132387.75</v>
      </c>
      <c r="G29" s="316">
        <f t="shared" si="11"/>
        <v>156539.79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106415.1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4">
        <v>46113</v>
      </c>
      <c r="B30" s="316">
        <f t="shared" ref="B30:AM30" si="12">+B10*B$1</f>
        <v>43057.77</v>
      </c>
      <c r="C30" s="316">
        <f t="shared" si="12"/>
        <v>55250.170000000006</v>
      </c>
      <c r="D30" s="316">
        <f t="shared" si="12"/>
        <v>16750.440000000002</v>
      </c>
      <c r="E30" s="316">
        <f t="shared" si="12"/>
        <v>18069.64</v>
      </c>
      <c r="F30" s="316">
        <f t="shared" si="12"/>
        <v>22733.25</v>
      </c>
      <c r="G30" s="316">
        <f t="shared" si="12"/>
        <v>26880.57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67002.100000000006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580430.36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10585.12</v>
      </c>
      <c r="P36" s="316">
        <f t="shared" si="18"/>
        <v>7882.6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989996.30798399961</v>
      </c>
      <c r="AQ36" s="13">
        <f t="shared" si="8"/>
        <v>4979222.0695479978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4979222.0695479978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4979222.0695479978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1321014.5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4979222.0695479978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10050043.5473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11658050.514867999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2026-10-21T20:49:22Z</dcterms:modified>
  <cp:category/>
  <cp:contentStatus/>
</cp:coreProperties>
</file>