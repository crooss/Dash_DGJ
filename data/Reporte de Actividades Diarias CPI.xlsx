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056" documentId="8_{4AADA8ED-8E7D-4B32-A08C-3385DCB314DA}" xr6:coauthVersionLast="47" xr6:coauthVersionMax="47" xr10:uidLastSave="{ADDD2366-1F6E-4D21-8AE8-235D9F7A8647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SPIN'!$I$5:$I$20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SPIN'!$L$6:$L$20</definedName>
    <definedName name="_xlchart.v5.15" hidden="1">'EV SPIN'!$K$6:$K$20</definedName>
    <definedName name="_xlchart.v5.16" hidden="1">'EV SPIN'!$M$6:$M$20</definedName>
    <definedName name="_xlchart.v5.17" hidden="1">'EV SPIN'!$K$6:$K$20</definedName>
    <definedName name="_xlchart.v5.18" hidden="1">'EV SPIN'!$N$6:$N$20</definedName>
    <definedName name="_xlchart.v5.19" hidden="1">'EV SPIN'!$K$6:$K$20</definedName>
    <definedName name="_xlchart.v5.2" hidden="1">'EV (2)'!$A$26:$A$38</definedName>
    <definedName name="_xlchart.v5.20" hidden="1">'EV SPIN'!$O$6:$O$20</definedName>
    <definedName name="_xlchart.v5.21" hidden="1">'EV SPIN'!$K$6:$K$20</definedName>
    <definedName name="_xlchart.v5.22" hidden="1">'EV SPIN'!$P$6:$P$20</definedName>
    <definedName name="_xlchart.v5.23" hidden="1">'EV SPIN'!$K$6:$K$20</definedName>
    <definedName name="_xlchart.v5.24" hidden="1">'EV SPIN'!$P$6:$P$20</definedName>
    <definedName name="_xlchart.v5.25" hidden="1">'EV SPIN'!$A$5:$A$20</definedName>
    <definedName name="_xlchart.v5.26" hidden="1">'EV SPIN'!$I$5:$I$20</definedName>
    <definedName name="_xlchart.v5.27" hidden="1">'EV SPIN'!$K$6:$K$20</definedName>
    <definedName name="_xlchart.v5.28" hidden="1">'EV SPIN'!$Q$6:$Q$20</definedName>
    <definedName name="_xlchart.v5.29" hidden="1">'EV SPIN'!$K$6:$K$20</definedName>
    <definedName name="_xlchart.v5.3" hidden="1">'EV (2)'!$B$26:$B$38</definedName>
    <definedName name="_xlchart.v5.30" hidden="1">'EV SPIN'!$L$6:$L$20</definedName>
    <definedName name="_xlchart.v5.31" hidden="1">'EV SPIN'!$K$6:$K$20</definedName>
    <definedName name="_xlchart.v5.32" hidden="1">'EV SPIN'!$M$6:$M$20</definedName>
    <definedName name="_xlchart.v5.33" hidden="1">'EV SPIN'!$K$6:$K$20</definedName>
    <definedName name="_xlchart.v5.34" hidden="1">'EV SPIN'!$N$6:$N$20</definedName>
    <definedName name="_xlchart.v5.35" hidden="1">'EV SPIN'!$K$6:$K$20</definedName>
    <definedName name="_xlchart.v5.36" hidden="1">'EV SPIN'!$O$6:$O$20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'EV (2)'!$A$5:$A$20</definedName>
    <definedName name="_xlchart.v5.40" hidden="1">waterfall!$AP$3:$AP$19</definedName>
    <definedName name="_xlchart.v5.41" hidden="1">waterfall!$AR$74</definedName>
    <definedName name="_xlchart.v5.5" hidden="1">'EV (2)'!$AO$5:$AO$20</definedName>
    <definedName name="_xlchart.v5.6" hidden="1">'waterfall ENGIE'!$U$31</definedName>
    <definedName name="_xlchart.v5.7" hidden="1">'EV SPIN'!$K$6:$K$20</definedName>
    <definedName name="_xlchart.v5.8" hidden="1">'EV SPIN'!$Q$6:$Q$20</definedName>
    <definedName name="_xlchart.v5.9" hidden="1">'EV SPIN'!$A$5:$A$20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67" i="1" l="1"/>
  <c r="H867" i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H992" i="1"/>
  <c r="M992" i="1" s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909" i="1"/>
  <c r="M909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4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M994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M35" i="21" s="1"/>
  <c r="D356" i="21"/>
  <c r="M36" i="21" s="1"/>
  <c r="E356" i="21"/>
  <c r="M37" i="21" s="1"/>
  <c r="F356" i="21"/>
  <c r="M38" i="21" s="1"/>
  <c r="J356" i="21"/>
  <c r="AC35" i="21" s="1"/>
  <c r="A327" i="8"/>
  <c r="I329" i="7"/>
  <c r="E329" i="7"/>
  <c r="G329" i="7"/>
  <c r="D329" i="7"/>
  <c r="H329" i="7"/>
  <c r="A330" i="7"/>
  <c r="O35" i="21" l="1"/>
  <c r="P35" i="21"/>
  <c r="Q35" i="21"/>
  <c r="O36" i="21"/>
  <c r="P36" i="21"/>
  <c r="Q36" i="21"/>
  <c r="P37" i="21"/>
  <c r="Q37" i="21"/>
  <c r="O37" i="21"/>
  <c r="P38" i="21"/>
  <c r="O38" i="21"/>
  <c r="O43" i="39"/>
  <c r="AE4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1" i="21" l="1"/>
  <c r="Q41" i="2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O43" i="21" l="1"/>
  <c r="F329" i="8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L40" i="7" s="1"/>
  <c r="D355" i="7"/>
  <c r="G355" i="7"/>
  <c r="L38" i="7" s="1"/>
  <c r="H355" i="7"/>
  <c r="L39" i="7" s="1"/>
  <c r="E355" i="7"/>
  <c r="A356" i="7"/>
  <c r="P40" i="7" l="1"/>
  <c r="N40" i="7"/>
  <c r="O38" i="7"/>
  <c r="J47" i="8"/>
  <c r="N38" i="7"/>
  <c r="P39" i="7"/>
  <c r="N39" i="7"/>
  <c r="F353" i="8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<sst xmlns="http://schemas.openxmlformats.org/spreadsheetml/2006/main" count="6052" uniqueCount="651">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</sst>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200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96.450605565890939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0.48225302782945467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4786517.4007600006</c:v>
                </c:pt>
                <c:pt idx="150">
                  <c:v>4790129.272760001</c:v>
                </c:pt>
                <c:pt idx="151">
                  <c:v>4793289.6607600013</c:v>
                </c:pt>
                <c:pt idx="152">
                  <c:v>4799484.0212400015</c:v>
                </c:pt>
                <c:pt idx="153">
                  <c:v>4801741.4412400015</c:v>
                </c:pt>
                <c:pt idx="154">
                  <c:v>4803723.4560000012</c:v>
                </c:pt>
                <c:pt idx="155">
                  <c:v>4803723.4560000012</c:v>
                </c:pt>
                <c:pt idx="156">
                  <c:v>4803723.4560000012</c:v>
                </c:pt>
                <c:pt idx="157">
                  <c:v>4805980.8760000011</c:v>
                </c:pt>
                <c:pt idx="158">
                  <c:v>4810495.7160000009</c:v>
                </c:pt>
                <c:pt idx="159">
                  <c:v>4816703.6210000012</c:v>
                </c:pt>
                <c:pt idx="160">
                  <c:v>4823475.881000001</c:v>
                </c:pt>
                <c:pt idx="161">
                  <c:v>4826297.6560000014</c:v>
                </c:pt>
                <c:pt idx="162">
                  <c:v>4826297.6560000014</c:v>
                </c:pt>
                <c:pt idx="163">
                  <c:v>4829006.5600000015</c:v>
                </c:pt>
                <c:pt idx="164">
                  <c:v>4834198.6260000011</c:v>
                </c:pt>
                <c:pt idx="165">
                  <c:v>4838392.9123600014</c:v>
                </c:pt>
                <c:pt idx="166">
                  <c:v>4838970.8118800018</c:v>
                </c:pt>
                <c:pt idx="167">
                  <c:v>4838970.8118800018</c:v>
                </c:pt>
                <c:pt idx="168">
                  <c:v>4838970.8118800018</c:v>
                </c:pt>
                <c:pt idx="169">
                  <c:v>4838970.8118800018</c:v>
                </c:pt>
                <c:pt idx="170">
                  <c:v>4838970.8118800018</c:v>
                </c:pt>
                <c:pt idx="171">
                  <c:v>4838970.8118800018</c:v>
                </c:pt>
                <c:pt idx="172">
                  <c:v>4838970.8118800018</c:v>
                </c:pt>
                <c:pt idx="173">
                  <c:v>4852689.1094400017</c:v>
                </c:pt>
                <c:pt idx="174">
                  <c:v>4876940.1315100016</c:v>
                </c:pt>
                <c:pt idx="175">
                  <c:v>4882037.048390002</c:v>
                </c:pt>
                <c:pt idx="176">
                  <c:v>4882037.048390002</c:v>
                </c:pt>
                <c:pt idx="177">
                  <c:v>4897829.3573400024</c:v>
                </c:pt>
                <c:pt idx="178">
                  <c:v>4913174.330500002</c:v>
                </c:pt>
                <c:pt idx="179">
                  <c:v>4913174.330500002</c:v>
                </c:pt>
                <c:pt idx="180">
                  <c:v>4919694.5885300022</c:v>
                </c:pt>
                <c:pt idx="181">
                  <c:v>4938957.1387600023</c:v>
                </c:pt>
                <c:pt idx="182">
                  <c:v>4938957.1387600023</c:v>
                </c:pt>
                <c:pt idx="183">
                  <c:v>4938957.1387600023</c:v>
                </c:pt>
                <c:pt idx="184">
                  <c:v>4961229.038850002</c:v>
                </c:pt>
                <c:pt idx="185">
                  <c:v>4976574.0120100016</c:v>
                </c:pt>
                <c:pt idx="186">
                  <c:v>5000919.9234900018</c:v>
                </c:pt>
                <c:pt idx="187">
                  <c:v>5030660.9757100018</c:v>
                </c:pt>
                <c:pt idx="188">
                  <c:v>5066773.1740300013</c:v>
                </c:pt>
                <c:pt idx="189">
                  <c:v>5072236.0929200016</c:v>
                </c:pt>
                <c:pt idx="190">
                  <c:v>5072236.0929200016</c:v>
                </c:pt>
                <c:pt idx="191">
                  <c:v>5088909.5178200016</c:v>
                </c:pt>
                <c:pt idx="192">
                  <c:v>5099238.9078800017</c:v>
                </c:pt>
                <c:pt idx="193">
                  <c:v>5117552.5640100017</c:v>
                </c:pt>
                <c:pt idx="194">
                  <c:v>5131230.1946800016</c:v>
                </c:pt>
                <c:pt idx="195">
                  <c:v>5166226.7927800016</c:v>
                </c:pt>
                <c:pt idx="196">
                  <c:v>5194195.0284400014</c:v>
                </c:pt>
                <c:pt idx="197">
                  <c:v>5194195.0284400014</c:v>
                </c:pt>
                <c:pt idx="198">
                  <c:v>5208713.1081700018</c:v>
                </c:pt>
                <c:pt idx="199">
                  <c:v>5225982.9807900013</c:v>
                </c:pt>
                <c:pt idx="200">
                  <c:v>5238901.4961800016</c:v>
                </c:pt>
                <c:pt idx="201">
                  <c:v>5276250.5627000015</c:v>
                </c:pt>
                <c:pt idx="202">
                  <c:v>5313323.7224300019</c:v>
                </c:pt>
                <c:pt idx="203">
                  <c:v>5339346.0891500022</c:v>
                </c:pt>
                <c:pt idx="204">
                  <c:v>5339346.0891500022</c:v>
                </c:pt>
                <c:pt idx="205">
                  <c:v>5351659.0715900017</c:v>
                </c:pt>
                <c:pt idx="206">
                  <c:v>5355993.3179900013</c:v>
                </c:pt>
                <c:pt idx="207">
                  <c:v>5357335.3253600011</c:v>
                </c:pt>
                <c:pt idx="208">
                  <c:v>5358078.0165400011</c:v>
                </c:pt>
                <c:pt idx="209">
                  <c:v>5360084.8629200011</c:v>
                </c:pt>
                <c:pt idx="210">
                  <c:v>5361130.0483800014</c:v>
                </c:pt>
                <c:pt idx="211">
                  <c:v>5361130.0483800014</c:v>
                </c:pt>
                <c:pt idx="212">
                  <c:v>5390056.6971000014</c:v>
                </c:pt>
                <c:pt idx="213">
                  <c:v>5418997.8672300018</c:v>
                </c:pt>
                <c:pt idx="214">
                  <c:v>5429075.7257700022</c:v>
                </c:pt>
                <c:pt idx="215">
                  <c:v>5450306.0271900017</c:v>
                </c:pt>
                <c:pt idx="216">
                  <c:v>5455276.8660300011</c:v>
                </c:pt>
                <c:pt idx="217">
                  <c:v>5482577.1168300007</c:v>
                </c:pt>
                <c:pt idx="218">
                  <c:v>5482577.1168300007</c:v>
                </c:pt>
                <c:pt idx="219">
                  <c:v>5502645.7054500002</c:v>
                </c:pt>
                <c:pt idx="220">
                  <c:v>5522844.9867600007</c:v>
                </c:pt>
                <c:pt idx="221">
                  <c:v>5537758.4748299997</c:v>
                </c:pt>
                <c:pt idx="222">
                  <c:v>5550871.3080599997</c:v>
                </c:pt>
                <c:pt idx="223">
                  <c:v>5563533.9775799997</c:v>
                </c:pt>
                <c:pt idx="224">
                  <c:v>5563533.9775799997</c:v>
                </c:pt>
                <c:pt idx="225">
                  <c:v>5563533.9775799997</c:v>
                </c:pt>
                <c:pt idx="226">
                  <c:v>5570315.4760499997</c:v>
                </c:pt>
                <c:pt idx="227">
                  <c:v>5580451.4202299993</c:v>
                </c:pt>
                <c:pt idx="228">
                  <c:v>5586826.319219999</c:v>
                </c:pt>
                <c:pt idx="229">
                  <c:v>5603845.4117399985</c:v>
                </c:pt>
                <c:pt idx="230">
                  <c:v>5609318.6512499982</c:v>
                </c:pt>
                <c:pt idx="231">
                  <c:v>5609553.5548699982</c:v>
                </c:pt>
                <c:pt idx="232">
                  <c:v>5609553.5548699982</c:v>
                </c:pt>
                <c:pt idx="233">
                  <c:v>5616756.1742299981</c:v>
                </c:pt>
                <c:pt idx="234">
                  <c:v>5629404.3223399986</c:v>
                </c:pt>
                <c:pt idx="235">
                  <c:v>5629404.3223399986</c:v>
                </c:pt>
                <c:pt idx="236">
                  <c:v>5650810.7684899988</c:v>
                </c:pt>
                <c:pt idx="237">
                  <c:v>5652381.0218899995</c:v>
                </c:pt>
                <c:pt idx="238">
                  <c:v>5654281.7695299992</c:v>
                </c:pt>
                <c:pt idx="239">
                  <c:v>5654281.7695299992</c:v>
                </c:pt>
                <c:pt idx="240">
                  <c:v>5664330.5852499995</c:v>
                </c:pt>
                <c:pt idx="241">
                  <c:v>5668549.7149999989</c:v>
                </c:pt>
                <c:pt idx="242">
                  <c:v>5681038.1275999993</c:v>
                </c:pt>
                <c:pt idx="243">
                  <c:v>5684063.0703999987</c:v>
                </c:pt>
                <c:pt idx="244">
                  <c:v>5690164.8766599987</c:v>
                </c:pt>
                <c:pt idx="245">
                  <c:v>5693483.2840599986</c:v>
                </c:pt>
                <c:pt idx="246">
                  <c:v>5693483.2840599986</c:v>
                </c:pt>
                <c:pt idx="247">
                  <c:v>5706738.8542999988</c:v>
                </c:pt>
                <c:pt idx="248">
                  <c:v>5725965.2011399986</c:v>
                </c:pt>
                <c:pt idx="249">
                  <c:v>5726589.6217699982</c:v>
                </c:pt>
                <c:pt idx="250">
                  <c:v>5751580.9683799986</c:v>
                </c:pt>
                <c:pt idx="251">
                  <c:v>5785706.2818799987</c:v>
                </c:pt>
                <c:pt idx="252">
                  <c:v>5796161.6970799984</c:v>
                </c:pt>
                <c:pt idx="253">
                  <c:v>5820848.0940799983</c:v>
                </c:pt>
                <c:pt idx="254">
                  <c:v>5828108.7990799984</c:v>
                </c:pt>
                <c:pt idx="255">
                  <c:v>5844082.3500799984</c:v>
                </c:pt>
                <c:pt idx="256">
                  <c:v>5854247.3370799981</c:v>
                </c:pt>
                <c:pt idx="257">
                  <c:v>5856478.9214699985</c:v>
                </c:pt>
                <c:pt idx="258">
                  <c:v>5860505.8406699961</c:v>
                </c:pt>
                <c:pt idx="259">
                  <c:v>5861957.9816699959</c:v>
                </c:pt>
                <c:pt idx="260">
                  <c:v>5861957.9816699959</c:v>
                </c:pt>
                <c:pt idx="261">
                  <c:v>5866646.643009996</c:v>
                </c:pt>
                <c:pt idx="262">
                  <c:v>5866646.643009996</c:v>
                </c:pt>
                <c:pt idx="263">
                  <c:v>5873505.7917899964</c:v>
                </c:pt>
                <c:pt idx="264">
                  <c:v>5874739.3541199956</c:v>
                </c:pt>
                <c:pt idx="265">
                  <c:v>5897309.4780699955</c:v>
                </c:pt>
                <c:pt idx="266">
                  <c:v>5927470.4466399951</c:v>
                </c:pt>
                <c:pt idx="267">
                  <c:v>5927470.4466399951</c:v>
                </c:pt>
                <c:pt idx="268">
                  <c:v>5958675.5068999948</c:v>
                </c:pt>
                <c:pt idx="269">
                  <c:v>5978141.3915799949</c:v>
                </c:pt>
                <c:pt idx="270">
                  <c:v>5986952.551079995</c:v>
                </c:pt>
                <c:pt idx="271">
                  <c:v>6010268.2346799951</c:v>
                </c:pt>
                <c:pt idx="272">
                  <c:v>6039656.8405199954</c:v>
                </c:pt>
                <c:pt idx="273">
                  <c:v>6054296.9209199958</c:v>
                </c:pt>
                <c:pt idx="274">
                  <c:v>6054296.9209199958</c:v>
                </c:pt>
                <c:pt idx="275">
                  <c:v>6070563.6769199958</c:v>
                </c:pt>
                <c:pt idx="276">
                  <c:v>6073532.3598899962</c:v>
                </c:pt>
                <c:pt idx="277">
                  <c:v>6074068.7105699964</c:v>
                </c:pt>
                <c:pt idx="278">
                  <c:v>6118802.2895699963</c:v>
                </c:pt>
                <c:pt idx="279">
                  <c:v>6172984.1426799968</c:v>
                </c:pt>
                <c:pt idx="280">
                  <c:v>6172984.1426799968</c:v>
                </c:pt>
                <c:pt idx="281">
                  <c:v>6208881.0681999968</c:v>
                </c:pt>
                <c:pt idx="282">
                  <c:v>6208881.0681999968</c:v>
                </c:pt>
                <c:pt idx="283">
                  <c:v>6208881.0681999968</c:v>
                </c:pt>
                <c:pt idx="284">
                  <c:v>6208881.0681999968</c:v>
                </c:pt>
                <c:pt idx="285">
                  <c:v>6243746.1485599969</c:v>
                </c:pt>
                <c:pt idx="286">
                  <c:v>6243928.1553199971</c:v>
                </c:pt>
                <c:pt idx="287">
                  <c:v>6245835.6752199968</c:v>
                </c:pt>
                <c:pt idx="288">
                  <c:v>6248262.4017199967</c:v>
                </c:pt>
                <c:pt idx="289">
                  <c:v>6253635.0613199966</c:v>
                </c:pt>
                <c:pt idx="290">
                  <c:v>6296923.3845299967</c:v>
                </c:pt>
                <c:pt idx="291">
                  <c:v>6302860.399129997</c:v>
                </c:pt>
                <c:pt idx="292">
                  <c:v>6331293.3199099973</c:v>
                </c:pt>
                <c:pt idx="293">
                  <c:v>6370440.5335199973</c:v>
                </c:pt>
                <c:pt idx="294">
                  <c:v>6372359.3405199973</c:v>
                </c:pt>
                <c:pt idx="295">
                  <c:v>6372359.3405199973</c:v>
                </c:pt>
                <c:pt idx="296">
                  <c:v>6375993.7867199974</c:v>
                </c:pt>
                <c:pt idx="297">
                  <c:v>6540268.886719997</c:v>
                </c:pt>
                <c:pt idx="298">
                  <c:v>6630180.3567199968</c:v>
                </c:pt>
                <c:pt idx="299">
                  <c:v>6717935.056719996</c:v>
                </c:pt>
                <c:pt idx="300">
                  <c:v>6720980.3162999963</c:v>
                </c:pt>
                <c:pt idx="301">
                  <c:v>6720980.3162999963</c:v>
                </c:pt>
                <c:pt idx="302">
                  <c:v>6720980.3162999963</c:v>
                </c:pt>
                <c:pt idx="303">
                  <c:v>6722786.2522999961</c:v>
                </c:pt>
                <c:pt idx="304">
                  <c:v>6733542.8585999962</c:v>
                </c:pt>
                <c:pt idx="305">
                  <c:v>6759681.3965999959</c:v>
                </c:pt>
                <c:pt idx="306">
                  <c:v>6779328.8643299956</c:v>
                </c:pt>
                <c:pt idx="307">
                  <c:v>6978700.8843299942</c:v>
                </c:pt>
                <c:pt idx="308">
                  <c:v>7074351.3843299942</c:v>
                </c:pt>
                <c:pt idx="309">
                  <c:v>7074351.3843299942</c:v>
                </c:pt>
                <c:pt idx="310">
                  <c:v>7132981.5264499933</c:v>
                </c:pt>
                <c:pt idx="311">
                  <c:v>7160296.2986599933</c:v>
                </c:pt>
                <c:pt idx="312">
                  <c:v>7199638.9961899929</c:v>
                </c:pt>
                <c:pt idx="313">
                  <c:v>7202677.4835099932</c:v>
                </c:pt>
                <c:pt idx="314">
                  <c:v>7228554.6361299939</c:v>
                </c:pt>
                <c:pt idx="315">
                  <c:v>7248100.4539899938</c:v>
                </c:pt>
                <c:pt idx="316">
                  <c:v>7248100.4539899938</c:v>
                </c:pt>
                <c:pt idx="317">
                  <c:v>7258163.7911199937</c:v>
                </c:pt>
                <c:pt idx="318">
                  <c:v>7288760.3439199934</c:v>
                </c:pt>
                <c:pt idx="319">
                  <c:v>7307392.3439199934</c:v>
                </c:pt>
                <c:pt idx="320">
                  <c:v>7391077.2639199924</c:v>
                </c:pt>
                <c:pt idx="321">
                  <c:v>7463771.6439199923</c:v>
                </c:pt>
                <c:pt idx="322">
                  <c:v>7468429.6439199923</c:v>
                </c:pt>
                <c:pt idx="323">
                  <c:v>7468429.6439199923</c:v>
                </c:pt>
                <c:pt idx="324">
                  <c:v>7482403.6439199923</c:v>
                </c:pt>
                <c:pt idx="325">
                  <c:v>7496377.6439199923</c:v>
                </c:pt>
                <c:pt idx="326">
                  <c:v>7505693.6439199923</c:v>
                </c:pt>
                <c:pt idx="327">
                  <c:v>7515009.6439199923</c:v>
                </c:pt>
                <c:pt idx="328">
                  <c:v>7533641.6439199923</c:v>
                </c:pt>
                <c:pt idx="329">
                  <c:v>7538299.6439199923</c:v>
                </c:pt>
                <c:pt idx="330">
                  <c:v>7538299.6439199923</c:v>
                </c:pt>
                <c:pt idx="331">
                  <c:v>7545071.903919992</c:v>
                </c:pt>
                <c:pt idx="332">
                  <c:v>7634007.8269199925</c:v>
                </c:pt>
                <c:pt idx="333">
                  <c:v>7638452.6868999926</c:v>
                </c:pt>
                <c:pt idx="334">
                  <c:v>7720375.3807299929</c:v>
                </c:pt>
                <c:pt idx="335">
                  <c:v>7822362.8975499924</c:v>
                </c:pt>
                <c:pt idx="336">
                  <c:v>7822362.8975499924</c:v>
                </c:pt>
                <c:pt idx="337">
                  <c:v>7822362.8975499924</c:v>
                </c:pt>
                <c:pt idx="338">
                  <c:v>7835635.4662899924</c:v>
                </c:pt>
                <c:pt idx="339">
                  <c:v>7838513.6767899916</c:v>
                </c:pt>
                <c:pt idx="340">
                  <c:v>7839083.6753399922</c:v>
                </c:pt>
                <c:pt idx="341">
                  <c:v>7861323.7660149923</c:v>
                </c:pt>
                <c:pt idx="342">
                  <c:v>7871982.4809549926</c:v>
                </c:pt>
                <c:pt idx="343">
                  <c:v>7990352.6809549928</c:v>
                </c:pt>
                <c:pt idx="344">
                  <c:v>8094154.2409549924</c:v>
                </c:pt>
                <c:pt idx="345">
                  <c:v>8256997.8309549922</c:v>
                </c:pt>
                <c:pt idx="346">
                  <c:v>8290626.8466899926</c:v>
                </c:pt>
                <c:pt idx="347">
                  <c:v>8308517.223809992</c:v>
                </c:pt>
                <c:pt idx="348">
                  <c:v>8347521.7310699923</c:v>
                </c:pt>
                <c:pt idx="349">
                  <c:v>8388065.5077899927</c:v>
                </c:pt>
                <c:pt idx="350">
                  <c:v>8408555.2172999904</c:v>
                </c:pt>
                <c:pt idx="351">
                  <c:v>8408555.2172999904</c:v>
                </c:pt>
                <c:pt idx="352">
                  <c:v>8453999.2172999885</c:v>
                </c:pt>
                <c:pt idx="353">
                  <c:v>8547916.8172999863</c:v>
                </c:pt>
                <c:pt idx="354">
                  <c:v>8547916.8172999863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46316</c:v>
                </c:pt>
                <c:pt idx="1">
                  <c:v>46316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71.232640144166552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96.451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48.2%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96.45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$8,547,917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8,547,916.82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76.6%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23.4%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8"/>
    <tableColumn id="2" xr3:uid="{3FA4B0AE-9D06-44DE-B076-3FDED3D18EF2}" name="Brigada" dataDxfId="64" totalsRowDxfId="63"/>
    <tableColumn id="11" xr3:uid="{AF909B89-4C98-4C30-B977-1DB0493946D0}" name="Sistema" dataDxfId="62" totalsRowDxfId="7"/>
    <tableColumn id="3" xr3:uid="{F5BFBB63-F01E-4EC7-BD4D-D09BB4F889A7}" name="Ducto" dataDxfId="61" totalsRowDxfId="6"/>
    <tableColumn id="4" xr3:uid="{98B77E8A-3C99-459B-A84F-9BCA22E66134}" name="Actividades" dataDxfId="60" totalsRowDxfId="59"/>
    <tableColumn id="10" xr3:uid="{076EB25C-65A8-4625-A199-B02E4B6F26E7}" name="inicio" dataDxfId="58" totalsRowDxfId="5"/>
    <tableColumn id="9" xr3:uid="{AE72225D-975E-4C2E-AE3B-40DA16331A20}" name="fin" dataDxfId="57" totalsRowDxfId="4"/>
    <tableColumn id="6" xr3:uid="{89559591-219B-4EA6-8A69-D923E65EA2C9}" name="Avance_km" totalsRowFunction="sum" dataDxfId="56" totalsRowDxfId="3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54"/>
    <tableColumn id="5" xr3:uid="{8DED0425-8C44-4CA2-BCB3-F627BAA20C3E}" name="Codigo_actividad"/>
    <tableColumn id="7" xr3:uid="{808EA3A0-62BB-4518-9BDA-01AFA85BD786}" name="nombre_actividad" dataDxfId="53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2" totalsRowDxfId="1"/>
    <tableColumn id="13" xr3:uid="{38F5AE3B-C4C0-4E22-B47F-A3FD31E72ADE}" name="EV" totalsRowFunction="custom" dataDxfId="51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0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abSelected="1" topLeftCell="A979" zoomScaleNormal="100" workbookViewId="0">
      <selection activeCell="I991" sqref="I991:I992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6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6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6" x14ac:dyDescent="0.25">
      <c r="A867" s="356">
        <v>46315</v>
      </c>
      <c r="B867" s="201" t="s">
        <v>12</v>
      </c>
      <c r="C867" s="202" t="s">
        <v>13</v>
      </c>
      <c r="D867" s="203" t="s">
        <v>650</v>
      </c>
      <c r="E867" s="378" t="s">
        <v>537</v>
      </c>
      <c r="F867" s="495" t="s">
        <v>643</v>
      </c>
      <c r="G867" s="495" t="s">
        <v>643</v>
      </c>
      <c r="H867" s="504">
        <f>+(Catalogo!$J$56)*Tabla1[[#This Row],[Observaciones]]</f>
        <v>3.0967824840029552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67" s="479">
        <v>14</v>
      </c>
      <c r="P867">
        <f>115-SUM(N867:N870)</f>
        <v>101</v>
      </c>
    </row>
    <row r="868" spans="1:16" x14ac:dyDescent="0.25">
      <c r="A868" s="356"/>
      <c r="B868" s="201" t="s">
        <v>29</v>
      </c>
      <c r="C868" s="202" t="s">
        <v>22</v>
      </c>
      <c r="D868" s="203" t="s">
        <v>650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6" x14ac:dyDescent="0.25">
      <c r="A869" s="356"/>
      <c r="B869" s="201" t="s">
        <v>12</v>
      </c>
      <c r="C869" s="202" t="s">
        <v>13</v>
      </c>
      <c r="D869" s="203" t="s">
        <v>650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6" x14ac:dyDescent="0.25">
      <c r="A870" s="356"/>
      <c r="B870" s="201" t="s">
        <v>29</v>
      </c>
      <c r="C870" s="202" t="s">
        <v>22</v>
      </c>
      <c r="D870" s="203" t="s">
        <v>650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6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6" x14ac:dyDescent="0.25">
      <c r="A872" s="356">
        <v>46315</v>
      </c>
      <c r="B872" s="201" t="s">
        <v>29</v>
      </c>
      <c r="C872" s="202" t="s">
        <v>536</v>
      </c>
      <c r="D872" s="203" t="s">
        <v>536</v>
      </c>
      <c r="E872" s="378" t="s">
        <v>537</v>
      </c>
      <c r="F872" s="495" t="s">
        <v>643</v>
      </c>
      <c r="G872" s="495" t="s">
        <v>643</v>
      </c>
      <c r="H872" s="504">
        <f>+(Catalogo!$J$56)*Tabla1[[#This Row],[Observaciones]]</f>
        <v>3.7603787305750171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2" s="479">
        <v>17</v>
      </c>
    </row>
    <row r="873" spans="1:16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6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6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6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6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6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6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6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0</v>
      </c>
      <c r="N909">
        <v>37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0</v>
      </c>
      <c r="N910">
        <v>37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0</v>
      </c>
      <c r="N911">
        <v>37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0</v>
      </c>
      <c r="N912">
        <v>37</v>
      </c>
    </row>
    <row r="913" spans="1:14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0</v>
      </c>
      <c r="N913">
        <v>37</v>
      </c>
    </row>
    <row r="914" spans="1:14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0</v>
      </c>
      <c r="N914">
        <v>37</v>
      </c>
    </row>
    <row r="915" spans="1:14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17</v>
      </c>
    </row>
    <row r="916" spans="1:14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17</v>
      </c>
    </row>
    <row r="917" spans="1:14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17</v>
      </c>
    </row>
    <row r="918" spans="1:14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17</v>
      </c>
    </row>
    <row r="919" spans="1:14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17</v>
      </c>
    </row>
    <row r="920" spans="1:14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17</v>
      </c>
    </row>
    <row r="921" spans="1:14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40</v>
      </c>
    </row>
    <row r="922" spans="1:14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40</v>
      </c>
    </row>
    <row r="923" spans="1:14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40</v>
      </c>
    </row>
    <row r="924" spans="1:14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40</v>
      </c>
    </row>
    <row r="925" spans="1:14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40</v>
      </c>
    </row>
    <row r="926" spans="1:14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40</v>
      </c>
    </row>
    <row r="927" spans="1:14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4</v>
      </c>
    </row>
    <row r="928" spans="1:14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4</v>
      </c>
    </row>
    <row r="929" spans="1:14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4</v>
      </c>
    </row>
    <row r="930" spans="1:14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/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0</v>
      </c>
      <c r="N952">
        <v>37</v>
      </c>
    </row>
    <row r="953" spans="1:14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/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0</v>
      </c>
      <c r="N953">
        <v>37</v>
      </c>
    </row>
    <row r="954" spans="1:14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/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0</v>
      </c>
      <c r="N954">
        <v>17</v>
      </c>
    </row>
    <row r="955" spans="1:14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/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0</v>
      </c>
      <c r="N955">
        <v>17</v>
      </c>
    </row>
    <row r="956" spans="1:14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/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0</v>
      </c>
      <c r="N956">
        <v>34</v>
      </c>
    </row>
    <row r="957" spans="1:14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/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0</v>
      </c>
      <c r="N957">
        <v>34</v>
      </c>
    </row>
    <row r="958" spans="1:14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/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0</v>
      </c>
      <c r="N958">
        <v>4</v>
      </c>
    </row>
    <row r="959" spans="1:14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/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0</v>
      </c>
      <c r="N959">
        <v>4</v>
      </c>
    </row>
    <row r="960" spans="1:14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/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0</v>
      </c>
      <c r="N967">
        <v>37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/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0</v>
      </c>
      <c r="N968">
        <v>17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/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0</v>
      </c>
      <c r="N969">
        <v>34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/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0</v>
      </c>
      <c r="N970">
        <v>4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/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0</v>
      </c>
      <c r="N991">
        <v>24</v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0</v>
      </c>
      <c r="N992">
        <v>24</v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607.68610556589113</v>
      </c>
      <c r="L994" s="36"/>
      <c r="M994" s="294">
        <f>+SUBTOTAL(9,Tabla1[EV])</f>
        <v>8528938.935299987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48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9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9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LIRA_GALERAS_PECO</v>
      </c>
    </row>
    <row r="123" spans="2:2" x14ac:dyDescent="0.25">
      <c r="B123" t="str">
        <v>Gasoducto 1"  de abasto a la ERM Viborillas</v>
      </c>
    </row>
    <row r="124" spans="2:2" x14ac:dyDescent="0.25">
      <c r="B124" t="str">
        <v>Gasoducto 2" de abasto a la ERM Bachoco</v>
      </c>
    </row>
    <row r="125" spans="2:2" x14ac:dyDescent="0.25">
      <c r="B125" t="str">
        <v xml:space="preserve"> Gasoducto 3" de abasto a la ERM Porcelanite</v>
      </c>
    </row>
    <row r="126" spans="2:2" x14ac:dyDescent="0.25">
      <c r="B126" t="str">
        <v>Gasoducto 2" de abasto a la ERM Italgres</v>
      </c>
    </row>
    <row r="127" spans="2:2" x14ac:dyDescent="0.25">
      <c r="B127" t="str">
        <v>Gasoducto 2" de abasto a la ERM Artigraf</v>
      </c>
    </row>
    <row r="128" spans="2:2" x14ac:dyDescent="0.25">
      <c r="B128" t="str">
        <v>Gasoducto 6" de abasto a la ERM Kimberly</v>
      </c>
    </row>
    <row r="129" spans="2:2" x14ac:dyDescent="0.25">
      <c r="B129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0" t="s">
        <v>84</v>
      </c>
      <c r="E1" s="571"/>
      <c r="F1" s="571"/>
      <c r="G1" s="571"/>
      <c r="H1" s="571"/>
      <c r="I1" s="571"/>
      <c r="J1" s="571"/>
      <c r="K1" s="571"/>
      <c r="L1" s="2"/>
    </row>
    <row r="2" spans="2:15" ht="42.75" customHeight="1" x14ac:dyDescent="0.25">
      <c r="B2" s="2"/>
      <c r="C2" s="2"/>
      <c r="D2" s="571"/>
      <c r="E2" s="571"/>
      <c r="F2" s="571"/>
      <c r="G2" s="571"/>
      <c r="H2" s="571"/>
      <c r="I2" s="571"/>
      <c r="J2" s="571"/>
      <c r="K2" s="571"/>
      <c r="L2" s="2"/>
    </row>
    <row r="3" spans="2:15" x14ac:dyDescent="0.25">
      <c r="B3" s="568" t="s">
        <v>85</v>
      </c>
      <c r="C3" s="568"/>
      <c r="D3" s="568"/>
      <c r="E3" s="568"/>
      <c r="F3" s="568"/>
      <c r="G3" s="568" t="s">
        <v>86</v>
      </c>
      <c r="H3" s="568"/>
      <c r="I3" s="568"/>
      <c r="J3" s="568"/>
      <c r="K3" s="568"/>
      <c r="L3" s="3"/>
    </row>
    <row r="4" spans="2:15" x14ac:dyDescent="0.25">
      <c r="B4" s="572"/>
      <c r="C4" s="572"/>
      <c r="D4" s="572"/>
      <c r="E4" s="572"/>
      <c r="F4" s="572"/>
      <c r="G4" s="573" t="s">
        <v>87</v>
      </c>
      <c r="H4" s="573"/>
      <c r="I4" s="573"/>
      <c r="J4" s="573"/>
      <c r="K4" s="573"/>
      <c r="L4" s="3"/>
    </row>
    <row r="5" spans="2:15" ht="27" x14ac:dyDescent="0.25">
      <c r="B5" s="154" t="s">
        <v>88</v>
      </c>
      <c r="C5" s="568" t="s">
        <v>89</v>
      </c>
      <c r="D5" s="569"/>
      <c r="E5" s="569"/>
      <c r="F5" s="569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5" t="s">
        <v>95</v>
      </c>
      <c r="D6" s="575"/>
      <c r="E6" s="575"/>
      <c r="F6" s="575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76" t="s">
        <v>96</v>
      </c>
      <c r="D7" s="576"/>
      <c r="E7" s="576"/>
      <c r="F7" s="57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76" t="s">
        <v>99</v>
      </c>
      <c r="D8" s="576"/>
      <c r="E8" s="576"/>
      <c r="F8" s="57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76" t="s">
        <v>100</v>
      </c>
      <c r="D9" s="576"/>
      <c r="E9" s="576"/>
      <c r="F9" s="57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7" t="s">
        <v>102</v>
      </c>
      <c r="D10" s="577"/>
      <c r="E10" s="577"/>
      <c r="F10" s="577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76" t="s">
        <v>103</v>
      </c>
      <c r="D11" s="576"/>
      <c r="E11" s="576"/>
      <c r="F11" s="57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76" t="s">
        <v>104</v>
      </c>
      <c r="D12" s="576"/>
      <c r="E12" s="576"/>
      <c r="F12" s="57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5" t="s">
        <v>105</v>
      </c>
      <c r="D13" s="575"/>
      <c r="E13" s="575"/>
      <c r="F13" s="575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76" t="s">
        <v>107</v>
      </c>
      <c r="D14" s="576"/>
      <c r="E14" s="576"/>
      <c r="F14" s="57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76" t="s">
        <v>109</v>
      </c>
      <c r="D15" s="576"/>
      <c r="E15" s="576"/>
      <c r="F15" s="57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76" t="s">
        <v>110</v>
      </c>
      <c r="D16" s="576"/>
      <c r="E16" s="576"/>
      <c r="F16" s="57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76" t="s">
        <v>112</v>
      </c>
      <c r="D18" s="576"/>
      <c r="E18" s="576"/>
      <c r="F18" s="57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76" t="s">
        <v>114</v>
      </c>
      <c r="D19" s="576"/>
      <c r="E19" s="576"/>
      <c r="F19" s="57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76" t="s">
        <v>115</v>
      </c>
      <c r="D20" s="576"/>
      <c r="E20" s="576"/>
      <c r="F20" s="57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76" t="s">
        <v>104</v>
      </c>
      <c r="D21" s="576"/>
      <c r="E21" s="576"/>
      <c r="F21" s="57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5" t="s">
        <v>116</v>
      </c>
      <c r="D22" s="575"/>
      <c r="E22" s="575"/>
      <c r="F22" s="575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76" t="s">
        <v>117</v>
      </c>
      <c r="D23" s="576"/>
      <c r="E23" s="576"/>
      <c r="F23" s="57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76" t="s">
        <v>119</v>
      </c>
      <c r="D24" s="576"/>
      <c r="E24" s="576"/>
      <c r="F24" s="57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8" t="s">
        <v>121</v>
      </c>
      <c r="D25" s="578"/>
      <c r="E25" s="578"/>
      <c r="F25" s="578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76" t="s">
        <v>123</v>
      </c>
      <c r="D26" s="576"/>
      <c r="E26" s="576"/>
      <c r="F26" s="57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76" t="s">
        <v>125</v>
      </c>
      <c r="D27" s="576"/>
      <c r="E27" s="576"/>
      <c r="F27" s="57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76" t="s">
        <v>128</v>
      </c>
      <c r="D28" s="576"/>
      <c r="E28" s="576"/>
      <c r="F28" s="57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76" t="s">
        <v>130</v>
      </c>
      <c r="D29" s="576"/>
      <c r="E29" s="576"/>
      <c r="F29" s="57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76" t="s">
        <v>132</v>
      </c>
      <c r="D30" s="576"/>
      <c r="E30" s="576"/>
      <c r="F30" s="57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76" t="s">
        <v>134</v>
      </c>
      <c r="D31" s="576"/>
      <c r="E31" s="576"/>
      <c r="F31" s="57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76" t="s">
        <v>136</v>
      </c>
      <c r="D32" s="576"/>
      <c r="E32" s="576"/>
      <c r="F32" s="57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76" t="s">
        <v>138</v>
      </c>
      <c r="D33" s="576"/>
      <c r="E33" s="576"/>
      <c r="F33" s="57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76" t="s">
        <v>140</v>
      </c>
      <c r="D34" s="576"/>
      <c r="E34" s="576"/>
      <c r="F34" s="57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76" t="s">
        <v>141</v>
      </c>
      <c r="D35" s="576"/>
      <c r="E35" s="576"/>
      <c r="F35" s="57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5" t="s">
        <v>142</v>
      </c>
      <c r="D36" s="575"/>
      <c r="E36" s="575"/>
      <c r="F36" s="575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76" t="s">
        <v>143</v>
      </c>
      <c r="D37" s="576"/>
      <c r="E37" s="576"/>
      <c r="F37" s="57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76" t="s">
        <v>144</v>
      </c>
      <c r="D38" s="576"/>
      <c r="E38" s="576"/>
      <c r="F38" s="57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76" t="s">
        <v>145</v>
      </c>
      <c r="D39" s="576"/>
      <c r="E39" s="576"/>
      <c r="F39" s="57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76" t="s">
        <v>146</v>
      </c>
      <c r="D40" s="576"/>
      <c r="E40" s="576"/>
      <c r="F40" s="57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76" t="s">
        <v>147</v>
      </c>
      <c r="D41" s="576"/>
      <c r="E41" s="576"/>
      <c r="F41" s="57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76" t="s">
        <v>148</v>
      </c>
      <c r="D42" s="576"/>
      <c r="E42" s="576"/>
      <c r="F42" s="57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76" t="s">
        <v>149</v>
      </c>
      <c r="D43" s="576"/>
      <c r="E43" s="576"/>
      <c r="F43" s="57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76" t="s">
        <v>150</v>
      </c>
      <c r="D44" s="576"/>
      <c r="E44" s="576"/>
      <c r="F44" s="57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76" t="s">
        <v>151</v>
      </c>
      <c r="D45" s="576"/>
      <c r="E45" s="576"/>
      <c r="F45" s="57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76" t="s">
        <v>153</v>
      </c>
      <c r="D46" s="576"/>
      <c r="E46" s="576"/>
      <c r="F46" s="57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76" t="s">
        <v>154</v>
      </c>
      <c r="D47" s="576"/>
      <c r="E47" s="576"/>
      <c r="F47" s="57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76" t="s">
        <v>155</v>
      </c>
      <c r="D48" s="576"/>
      <c r="E48" s="576"/>
      <c r="F48" s="57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5" t="s">
        <v>156</v>
      </c>
      <c r="D49" s="575"/>
      <c r="E49" s="575"/>
      <c r="F49" s="575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76" t="s">
        <v>157</v>
      </c>
      <c r="D50" s="576"/>
      <c r="E50" s="576"/>
      <c r="F50" s="57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76" t="s">
        <v>159</v>
      </c>
      <c r="D51" s="576"/>
      <c r="E51" s="576"/>
      <c r="F51" s="57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9"/>
      <c r="C56" s="579"/>
      <c r="D56" s="579"/>
      <c r="E56" s="579"/>
      <c r="F56" s="579"/>
      <c r="G56" s="579"/>
      <c r="H56" s="579"/>
      <c r="I56" s="579"/>
      <c r="J56" s="579"/>
      <c r="K56" s="579"/>
      <c r="L56" s="3"/>
    </row>
    <row r="57" spans="2:12" ht="20.100000000000001" customHeight="1" x14ac:dyDescent="0.25">
      <c r="B57" s="579"/>
      <c r="C57" s="579"/>
      <c r="D57" s="579"/>
      <c r="E57" s="579"/>
      <c r="F57" s="579"/>
      <c r="G57" s="579"/>
      <c r="H57" s="579"/>
      <c r="I57" s="579"/>
      <c r="J57" s="579"/>
      <c r="K57" s="579"/>
      <c r="L57" s="3"/>
    </row>
    <row r="58" spans="2:12" ht="20.100000000000001" customHeight="1" x14ac:dyDescent="0.25">
      <c r="B58" s="579"/>
      <c r="C58" s="579"/>
      <c r="D58" s="579"/>
      <c r="E58" s="579"/>
      <c r="F58" s="579"/>
      <c r="G58" s="579"/>
      <c r="H58" s="579"/>
      <c r="I58" s="579"/>
      <c r="J58" s="579"/>
      <c r="K58" s="57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9"/>
      <c r="C61" s="579"/>
      <c r="D61" s="579"/>
      <c r="E61" s="579"/>
      <c r="F61" s="579"/>
      <c r="G61" s="579"/>
      <c r="H61" s="579"/>
      <c r="I61" s="579"/>
      <c r="J61" s="579"/>
      <c r="K61" s="579"/>
      <c r="L61" s="3"/>
    </row>
    <row r="62" spans="2:12" ht="20.100000000000001" customHeight="1" x14ac:dyDescent="0.25">
      <c r="B62" s="579"/>
      <c r="C62" s="579"/>
      <c r="D62" s="579"/>
      <c r="E62" s="579"/>
      <c r="F62" s="579"/>
      <c r="G62" s="579"/>
      <c r="H62" s="579"/>
      <c r="I62" s="579"/>
      <c r="J62" s="579"/>
      <c r="K62" s="579"/>
      <c r="L62" s="3"/>
    </row>
    <row r="63" spans="2:12" ht="20.100000000000001" customHeight="1" x14ac:dyDescent="0.25">
      <c r="B63" s="579"/>
      <c r="C63" s="579"/>
      <c r="D63" s="579"/>
      <c r="E63" s="579"/>
      <c r="F63" s="579"/>
      <c r="G63" s="579"/>
      <c r="H63" s="579"/>
      <c r="I63" s="579"/>
      <c r="J63" s="579"/>
      <c r="K63" s="57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8" t="s">
        <v>163</v>
      </c>
      <c r="D66" s="569"/>
      <c r="E66" s="569"/>
      <c r="F66" s="569"/>
    </row>
    <row r="67" spans="2:12" x14ac:dyDescent="0.25">
      <c r="B67" s="5">
        <v>6.1</v>
      </c>
      <c r="C67" s="576" t="s">
        <v>164</v>
      </c>
      <c r="D67" s="576"/>
      <c r="E67" s="576"/>
      <c r="F67" s="576"/>
    </row>
    <row r="68" spans="2:12" x14ac:dyDescent="0.25">
      <c r="B68" s="5">
        <v>6.2</v>
      </c>
      <c r="C68" s="576" t="s">
        <v>165</v>
      </c>
      <c r="D68" s="576"/>
      <c r="E68" s="576"/>
      <c r="F68" s="576"/>
    </row>
    <row r="69" spans="2:12" x14ac:dyDescent="0.25">
      <c r="B69" s="5">
        <v>6.3</v>
      </c>
      <c r="C69" s="576" t="s">
        <v>166</v>
      </c>
      <c r="D69" s="576"/>
      <c r="E69" s="576"/>
      <c r="F69" s="576"/>
    </row>
    <row r="70" spans="2:12" x14ac:dyDescent="0.25">
      <c r="B70" s="5">
        <v>6.4</v>
      </c>
      <c r="C70" s="576" t="s">
        <v>167</v>
      </c>
      <c r="D70" s="576"/>
      <c r="E70" s="576"/>
      <c r="F70" s="576"/>
    </row>
    <row r="71" spans="2:12" x14ac:dyDescent="0.25">
      <c r="B71" s="5">
        <v>6.5</v>
      </c>
      <c r="C71" s="576" t="s">
        <v>168</v>
      </c>
      <c r="D71" s="576"/>
      <c r="E71" s="576"/>
      <c r="F71" s="576"/>
    </row>
    <row r="72" spans="2:12" x14ac:dyDescent="0.25">
      <c r="B72" s="5">
        <v>6.6</v>
      </c>
      <c r="C72" s="576" t="s">
        <v>169</v>
      </c>
      <c r="D72" s="576"/>
      <c r="E72" s="576"/>
      <c r="F72" s="57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8126.7120000000004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129565.31577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294135.93459999998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237955.01039999997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0</v>
      </c>
      <c r="C20" s="1">
        <f t="shared" ref="C20:O20" si="1">SUM(C4:C19)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0</v>
      </c>
      <c r="O20" s="1">
        <f t="shared" si="1"/>
        <v>0</v>
      </c>
      <c r="P20" s="1"/>
      <c r="Q20" s="239"/>
      <c r="R20" s="13">
        <f>SUM(R4:R19)</f>
        <v>-4249985.9126999974</v>
      </c>
      <c r="S20" s="13">
        <f>+R4-R20</f>
        <v>-6912935.9273000024</v>
      </c>
      <c r="T20" s="253">
        <f>$S$20/$R$4</f>
        <v>0.61927656812295684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47" priority="4">
      <formula>B5=0</formula>
    </cfRule>
  </conditionalFormatting>
  <conditionalFormatting sqref="J5:J19">
    <cfRule type="expression" dxfId="46" priority="3">
      <formula>J5=0</formula>
    </cfRule>
  </conditionalFormatting>
  <conditionalFormatting sqref="L5:P19">
    <cfRule type="expression" dxfId="45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8" t="s">
        <v>85</v>
      </c>
      <c r="C3" s="568"/>
      <c r="D3" s="568" t="s">
        <v>86</v>
      </c>
      <c r="E3" s="568"/>
      <c r="F3" s="568"/>
      <c r="G3" s="568"/>
      <c r="H3" s="568"/>
    </row>
    <row r="4" spans="1:21" x14ac:dyDescent="0.25">
      <c r="B4" s="572"/>
      <c r="C4" s="572"/>
      <c r="D4" s="573" t="s">
        <v>87</v>
      </c>
      <c r="E4" s="573"/>
      <c r="F4" s="573"/>
      <c r="G4" s="573"/>
      <c r="H4" s="573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44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46316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46316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96.450605565890939</v>
      </c>
      <c r="M40" s="61" t="s">
        <v>175</v>
      </c>
      <c r="N40" s="74">
        <f ca="1">+$L$40*Catalogo!F17</f>
        <v>1321014.5000000007</v>
      </c>
      <c r="P40" s="74">
        <f ca="1">+$L$40*Catalogo!J17</f>
        <v>653935.10573674052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8233950.4272999996</v>
      </c>
      <c r="P41" s="215">
        <f ca="1">SUM(P35:P40)</f>
        <v>3573451.70573674</v>
      </c>
      <c r="Q41" s="140"/>
      <c r="R41" s="176" t="str">
        <f ca="1">"Ejecutdo SPIN al "&amp;TEXT(TODAY(),"mmm-aaaa")</f>
        <v>Ejecutdo SPIN al oct-2026</v>
      </c>
      <c r="S41" s="245">
        <f ca="1">+P41</f>
        <v>3573451.70573674</v>
      </c>
      <c r="T41" s="247">
        <f ca="1">+P41+R38-1500000</f>
        <v>1714735.1057367404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4660498.7215632591</v>
      </c>
      <c r="P43"/>
      <c r="Q43"/>
      <c r="R43" s="176" t="str">
        <f ca="1">"Por Pagar a "&amp;TEXT(TODAY(),"mmm-aaaa")</f>
        <v>Por Pagar a oct-2026</v>
      </c>
      <c r="S43" s="245">
        <f ca="1">+S41+S42</f>
        <v>2073451.70573674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>
        <f t="shared" ca="1" si="11"/>
        <v>200</v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2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96.450605565890939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3" priority="1">
      <formula>D2=0</formula>
    </cfRule>
    <cfRule type="expression" dxfId="42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46316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46316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0.48225302782945467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0.48225302782945467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1" priority="1">
      <formula>C2=0</formula>
    </cfRule>
    <cfRule type="expression" dxfId="40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4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46316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46316</v>
      </c>
      <c r="AE4" s="346">
        <f ca="1">100*AC35/12000000</f>
        <v>71.232640144166552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8547916.8172999863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96.450605565890939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4786517.4007600006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4790129.272760001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4793289.6607600013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4799484.0212400015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4801741.4412400015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4803723.4560000012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4803723.4560000012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4803723.4560000012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4805980.8760000011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4810495.7160000009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4816703.6210000012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4823475.881000001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4826297.6560000014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4826297.6560000014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4829006.5600000015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4834198.6260000011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4838392.9123600014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4838970.8118800018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4838970.8118800018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4838970.8118800018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4838970.8118800018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4838970.8118800018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4838970.8118800018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4838970.8118800018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4852689.1094400017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4876940.1315100016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4882037.048390002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4882037.048390002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4897829.3573400024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4913174.330500002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4913174.330500002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4919694.5885300022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4938957.1387600023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4938957.1387600023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4938957.1387600023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4961229.038850002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4976574.0120100016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5000919.9234900018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5030660.9757100018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5066773.1740300013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5072236.0929200016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5072236.0929200016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5088909.5178200016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5099238.9078800017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5117552.5640100017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5131230.1946800016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5166226.7927800016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5194195.0284400014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5194195.0284400014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5208713.1081700018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5225982.9807900013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5238901.4961800016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5276250.5627000015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5313323.7224300019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5339346.0891500022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5339346.0891500022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5351659.0715900017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5355993.3179900013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5357335.3253600011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5358078.0165400011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5360084.8629200011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5361130.0483800014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5361130.0483800014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5390056.6971000014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5418997.8672300018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5429075.7257700022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5450306.0271900017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5455276.8660300011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5482577.1168300007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5482577.1168300007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5502645.7054500002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5522844.9867600007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5537758.4748299997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5550871.3080599997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5563533.9775799997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5563533.9775799997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5563533.9775799997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5570315.4760499997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5580451.4202299993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5586826.319219999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5603845.4117399985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5609318.6512499982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5609553.5548699982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5609553.5548699982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5616756.1742299981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5629404.3223399986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5629404.3223399986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5650810.7684899988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5652381.0218899995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5654281.7695299992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5654281.7695299992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5664330.5852499995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5668549.7149999989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5681038.1275999993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5684063.0703999987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5690164.8766599987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5693483.2840599986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5693483.2840599986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5706738.8542999988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5725965.2011399986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5726589.6217699982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5751580.9683799986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5785706.2818799987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5796161.6970799984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5820848.0940799983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5828108.7990799984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5844082.3500799984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5854247.3370799981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5856478.9214699985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5860505.8406699961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5861957.9816699959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5861957.9816699959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5866646.643009996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5866646.643009996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5873505.7917899964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5874739.3541199956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5897309.4780699955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5927470.4466399951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5927470.4466399951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5958675.5068999948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5978141.3915799949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5986952.551079995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6010268.2346799951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6039656.8405199954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6054296.9209199958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6054296.9209199958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6070563.6769199958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6073532.3598899962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6074068.7105699964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6118802.2895699963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6172984.1426799968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6172984.1426799968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6208881.0681999968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6208881.0681999968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6208881.0681999968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6208881.0681999968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6243746.1485599969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6243928.1553199971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6245835.6752199968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6248262.4017199967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6253635.0613199966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6296923.3845299967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6302860.399129997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6331293.3199099973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6370440.5335199973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6372359.3405199973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6372359.3405199973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6375993.7867199974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6540268.886719997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6630180.3567199968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6717935.056719996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6720980.3162999963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6720980.3162999963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6720980.3162999963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6722786.2522999961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6733542.8585999962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6759681.3965999959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6779328.8643299956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6978700.8843299942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7074351.3843299942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7074351.3843299942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7132981.5264499933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7160296.2986599933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7199638.9961899929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7202677.4835099932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7228554.6361299939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7248100.4539899938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7248100.4539899938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7258163.7911199937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7288760.3439199934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7307392.3439199934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7391077.2639199924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7463771.6439199923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7468429.6439199923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7468429.6439199923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7482403.6439199923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7496377.6439199923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7505693.6439199923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7515009.6439199923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7533641.6439199923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7538299.6439199923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7538299.6439199923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7545071.903919992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7634007.8269199925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7638452.6868999926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7720375.3807299929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7822362.8975499924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7822362.8975499924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7822362.8975499924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7835635.4662899924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7838513.6767899916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7839083.6753399922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7861323.7660149923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7871982.4809549926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7990352.6809549928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8094154.2409549924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8256997.8309549922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8290626.8466899926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8308517.223809992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8347521.7310699923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8388065.5077899927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8408555.2172999904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8408555.2172999904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8453999.2172999885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8547916.8172999863</v>
      </c>
      <c r="L355"/>
    </row>
    <row r="356" spans="1:12" x14ac:dyDescent="0.25">
      <c r="A356" s="62">
        <f t="shared" si="7"/>
        <v>46316</v>
      </c>
      <c r="B356" s="62"/>
      <c r="C356" s="112">
        <f ca="1">IF(TODAY()&gt;=$A356,SUMIFS(Tabla1[Avance_km],Tabla1[Fecha],"&lt;="&amp;EV!$A356,Tabla1[nombre_actividad],EV!C$1),NA())</f>
        <v>181.88549999999998</v>
      </c>
      <c r="D356" s="112">
        <f ca="1">IF(TODAY()&gt;=$A356,SUMIFS(Tabla1[Avance_km],Tabla1[Fecha],"&lt;="&amp;EV!$A356,Tabla1[nombre_actividad],EV!D$1),NA())</f>
        <v>180.42549999999989</v>
      </c>
      <c r="E356" s="112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2">
        <f ca="1">IF(TODAY()&gt;=$A356,SUMIFS(Tabla1[Avance_km],Tabla1[Fecha],"&lt;="&amp;EV!$A356-1,Tabla1[nombre_actividad],EV!H$1),NA())</f>
        <v>96.450605565890939</v>
      </c>
      <c r="I356" s="230">
        <f ca="1">+C356*Catalogo!$F$19+EV!D356*Catalogo!$F$14+EV!E356*Catalogo!$F$16+EV!F356*Catalogo!$F$18</f>
        <v>6912935.9272999987</v>
      </c>
      <c r="J356" s="230">
        <f ca="1">IF(TODAY()&gt;=$A356,SUMIFS(Tabla1[EV],Tabla1[Fecha],"&lt;="&amp;A356,Tabla1[EV],"&gt;0"),NA())</f>
        <v>8547916.8172999863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9" priority="1">
      <formula>C2=0</formula>
    </cfRule>
    <cfRule type="expression" dxfId="38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0</v>
      </c>
      <c r="C10" s="316">
        <f>+SUMIFS(Tabla1[Avance_Med],Tabla1[Fecha],"&gt;="&amp;$A10,Tabla1[Fecha],"&lt;="&amp;EOMONTH($A10,0),Tabla1[Codigo_actividad],C$4)*C$3</f>
        <v>0</v>
      </c>
      <c r="D10" s="316">
        <f>+SUMIFS(Tabla1[Avance_Med],Tabla1[Fecha],"&gt;="&amp;$A10,Tabla1[Fecha],"&lt;="&amp;EOMONTH($A10,0),Tabla1[Codigo_actividad],D$4)*D$3</f>
        <v>0</v>
      </c>
      <c r="E10" s="316">
        <f>+SUMIFS(Tabla1[Avance_Med],Tabla1[Fecha],"&gt;="&amp;$A10,Tabla1[Fecha],"&lt;="&amp;EOMONTH($A10,0),Tabla1[Codigo_actividad],E$4)*E$3</f>
        <v>0</v>
      </c>
      <c r="F10" s="316">
        <f>+SUMIFS(Tabla1[Avance_Med],Tabla1[Fecha],"&gt;="&amp;$A10,Tabla1[Fecha],"&lt;="&amp;EOMONTH($A10,0),Tabla1[Codigo_actividad],F$4)*F$3</f>
        <v>0</v>
      </c>
      <c r="G10" s="316">
        <f>+SUMIFS(Tabla1[Avance_Med],Tabla1[Fecha],"&gt;="&amp;$A10,Tabla1[Fecha],"&lt;="&amp;EOMONTH($A10,0),Tabla1[Codigo_actividad],G$4)*G$3</f>
        <v>0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0</v>
      </c>
      <c r="O10" s="316">
        <f>+SUMIFS(Tabla1[Avance_Med],Tabla1[Fecha],"&gt;="&amp;$A10,Tabla1[Fecha],"&lt;="&amp;EOMONTH($A10,0),Tabla1[Codigo_actividad],O$4)*O$3</f>
        <v>0</v>
      </c>
      <c r="P10" s="316">
        <f>+SUMIFS(Tabla1[Avance_Med],Tabla1[Fecha],"&gt;="&amp;$A10,Tabla1[Fecha],"&lt;="&amp;EOMONTH($A10,0),Tabla1[Codigo_actividad],P$4)*P$3</f>
        <v>0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8126.7120000000004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0</v>
      </c>
      <c r="C11" s="316">
        <f>+SUMIFS(Tabla1[Avance_Med],Tabla1[Fecha],"&gt;="&amp;$A11,Tabla1[Fecha],"&lt;="&amp;EOMONTH($A11,0),Tabla1[Codigo_actividad],C$4)*C$3</f>
        <v>0</v>
      </c>
      <c r="D11" s="316">
        <f>+SUMIFS(Tabla1[Avance_Med],Tabla1[Fecha],"&gt;="&amp;$A11,Tabla1[Fecha],"&lt;="&amp;EOMONTH($A11,0),Tabla1[Codigo_actividad],D$4)*D$3</f>
        <v>0</v>
      </c>
      <c r="E11" s="316">
        <f>+SUMIFS(Tabla1[Avance_Med],Tabla1[Fecha],"&gt;="&amp;$A11,Tabla1[Fecha],"&lt;="&amp;EOMONTH($A11,0),Tabla1[Codigo_actividad],E$4)*E$3</f>
        <v>0</v>
      </c>
      <c r="F11" s="316">
        <f>+SUMIFS(Tabla1[Avance_Med],Tabla1[Fecha],"&gt;="&amp;$A11,Tabla1[Fecha],"&lt;="&amp;EOMONTH($A11,0),Tabla1[Codigo_actividad],F$4)*F$3</f>
        <v>0</v>
      </c>
      <c r="G11" s="316">
        <f>+SUMIFS(Tabla1[Avance_Med],Tabla1[Fecha],"&gt;="&amp;$A11,Tabla1[Fecha],"&lt;="&amp;EOMONTH($A11,0),Tabla1[Codigo_actividad],G$4)*G$3</f>
        <v>0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129565.31577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0</v>
      </c>
      <c r="AK15" s="316">
        <f>+SUMIFS(Tabla1[Avance_Med],Tabla1[Fecha],"&gt;="&amp;$A15,Tabla1[Fecha],"&lt;="&amp;EOMONTH($A15,0),Tabla1[Codigo_actividad],AK$4)*AK$3</f>
        <v>0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683129.4117800002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0</v>
      </c>
      <c r="O16" s="316">
        <f>+SUMIFS(Tabla1[Avance_Med],Tabla1[Fecha],"&gt;="&amp;$A16,Tabla1[Fecha],"&lt;="&amp;EOMONTH($A16,0),Tabla1[Codigo_actividad],O$4)*O$3</f>
        <v>0</v>
      </c>
      <c r="P16" s="316">
        <f>+SUMIFS(Tabla1[Avance_Med],Tabla1[Fecha],"&gt;="&amp;$A16,Tabla1[Fecha],"&lt;="&amp;EOMONTH($A16,0),Tabla1[Codigo_actividad],P$4)*P$3</f>
        <v>0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915666.43460000004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580430.36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0</v>
      </c>
      <c r="O17" s="316">
        <f>+SUMIFS(Tabla1[Avance_Med],Tabla1[Fecha],"&gt;="&amp;$A17,Tabla1[Fecha],"&lt;="&amp;EOMONTH($A17,0),Tabla1[Codigo_actividad],O$4)*O$3</f>
        <v>0</v>
      </c>
      <c r="P17" s="316">
        <f>+SUMIFS(Tabla1[Avance_Med],Tabla1[Fecha],"&gt;="&amp;$A17,Tabla1[Fecha],"&lt;="&amp;EOMONTH($A17,0),Tabla1[Codigo_actividad],P$4)*P$3</f>
        <v>0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909464.13039999979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-2615005.0226999982</v>
      </c>
      <c r="AQ20" s="418">
        <f>+AO20/AO5</f>
        <v>0.23425811451350251</v>
      </c>
      <c r="AT20"/>
      <c r="AU20"/>
      <c r="AV20"/>
      <c r="AW20"/>
      <c r="AX20"/>
    </row>
    <row r="21" spans="1:52" x14ac:dyDescent="0.25">
      <c r="A21"/>
      <c r="B21" s="312">
        <f>SUM(B6:B19)</f>
        <v>0</v>
      </c>
      <c r="C21" s="312">
        <f t="shared" ref="C21:AM21" si="2">SUM(C6:C19)</f>
        <v>0</v>
      </c>
      <c r="D21" s="312">
        <f t="shared" si="2"/>
        <v>0</v>
      </c>
      <c r="E21" s="312">
        <f t="shared" si="2"/>
        <v>0</v>
      </c>
      <c r="F21" s="312">
        <f t="shared" si="2"/>
        <v>0</v>
      </c>
      <c r="G21" s="312">
        <f t="shared" si="2"/>
        <v>0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1321014.5</v>
      </c>
      <c r="L21" s="312">
        <f t="shared" si="2"/>
        <v>1844568</v>
      </c>
      <c r="M21" s="443">
        <f t="shared" si="2"/>
        <v>410591.96541</v>
      </c>
      <c r="N21" s="312">
        <f t="shared" si="2"/>
        <v>0</v>
      </c>
      <c r="O21" s="312">
        <f t="shared" si="2"/>
        <v>0</v>
      </c>
      <c r="P21" s="312">
        <f t="shared" si="2"/>
        <v>0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0</v>
      </c>
      <c r="AK21" s="312">
        <f t="shared" si="2"/>
        <v>0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8547916.8173000012</v>
      </c>
      <c r="AQ21" s="419">
        <f>-AO21/AO5</f>
        <v>0.76574188548649746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8126.7120000000004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129565.31576999999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683129.41178000032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915666.43460000085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909464.13040000014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8547916.817300003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7" priority="1" stopIfTrue="1">
      <formula>B6=0</formula>
    </cfRule>
    <cfRule type="expression" dxfId="3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0</v>
      </c>
      <c r="C9" s="233">
        <f>+SUMIFS(Tabla1[Avance_Med],Tabla1[Fecha],"&gt;="&amp;$A9,Tabla1[Fecha],"&lt;="&amp;EOMONTH($A9,0),Tabla1[Codigo_actividad],C$4)*C$3</f>
        <v>0</v>
      </c>
      <c r="D9" s="233">
        <f>+SUMIFS(Tabla1[Avance_Med],Tabla1[Fecha],"&gt;="&amp;$A9,Tabla1[Fecha],"&lt;="&amp;EOMONTH($A9,0),Tabla1[Codigo_actividad],D$4)*D$3</f>
        <v>0</v>
      </c>
      <c r="E9" s="233">
        <f>+SUMIFS(Tabla1[Avance_Med],Tabla1[Fecha],"&gt;="&amp;$A9,Tabla1[Fecha],"&lt;="&amp;EOMONTH($A9,0),Tabla1[Codigo_actividad],E$4)*E$3</f>
        <v>0</v>
      </c>
      <c r="F9" s="233">
        <f>+SUMIFS(Tabla1[Avance_Med],Tabla1[Fecha],"&gt;="&amp;$A9,Tabla1[Fecha],"&lt;="&amp;EOMONTH($A9,0),Tabla1[Codigo_actividad],F$4)*F$3</f>
        <v>0</v>
      </c>
      <c r="G9" s="233">
        <f>+SUMIFS(Tabla1[Avance_Med],Tabla1[Fecha],"&gt;="&amp;$A9,Tabla1[Fecha],"&lt;="&amp;EOMONTH($A9,0),Tabla1[Codigo_actividad],G$4)*G$3</f>
        <v>0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0</v>
      </c>
      <c r="O9" s="233">
        <f>+SUMIFS(Tabla1[Avance_Med],Tabla1[Fecha],"&gt;="&amp;$A9,Tabla1[Fecha],"&lt;="&amp;EOMONTH($A9,0),Tabla1[Codigo_actividad],O$4)*O$3</f>
        <v>0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0</v>
      </c>
      <c r="C10" s="233">
        <f>+SUMIFS(Tabla1[Avance_Med],Tabla1[Fecha],"&gt;="&amp;$A10,Tabla1[Fecha],"&lt;="&amp;EOMONTH($A10,0),Tabla1[Codigo_actividad],C$4)*C$3</f>
        <v>0</v>
      </c>
      <c r="D10" s="233">
        <f>+SUMIFS(Tabla1[Avance_Med],Tabla1[Fecha],"&gt;="&amp;$A10,Tabla1[Fecha],"&lt;="&amp;EOMONTH($A10,0),Tabla1[Codigo_actividad],D$4)*D$3</f>
        <v>0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0</v>
      </c>
      <c r="AK14" s="233">
        <f>+SUMIFS(Tabla1[Avance_Med],Tabla1[Fecha],"&gt;="&amp;$A14,Tabla1[Fecha],"&lt;="&amp;EOMONTH($A14,0),Tabla1[Codigo_actividad],AK$4)*AK$3</f>
        <v>0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0</v>
      </c>
      <c r="O15" s="233">
        <f>+SUMIFS(Tabla1[Avance_Med],Tabla1[Fecha],"&gt;="&amp;$A15,Tabla1[Fecha],"&lt;="&amp;EOMONTH($A15,0),Tabla1[Codigo_actividad],O$4)*O$3</f>
        <v>0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42.378999999999998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0</v>
      </c>
      <c r="O16" s="233">
        <f>+SUMIFS(Tabla1[Avance_Med],Tabla1[Fecha],"&gt;="&amp;$A16,Tabla1[Fecha],"&lt;="&amp;EOMONTH($A16,0),Tabla1[Codigo_actividad],O$4)*O$3</f>
        <v>0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0</v>
      </c>
      <c r="C19" s="306">
        <f t="shared" ref="C19:AM19" si="0">SUM(C5:C18)</f>
        <v>0</v>
      </c>
      <c r="D19" s="306">
        <f t="shared" si="0"/>
        <v>0</v>
      </c>
      <c r="E19" s="306">
        <f t="shared" si="0"/>
        <v>0</v>
      </c>
      <c r="F19" s="306">
        <f t="shared" si="0"/>
        <v>0</v>
      </c>
      <c r="G19" s="306">
        <f t="shared" si="0"/>
        <v>0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96.450999999999993</v>
      </c>
      <c r="L19" s="306">
        <f t="shared" si="0"/>
        <v>396</v>
      </c>
      <c r="M19" s="306">
        <f t="shared" si="0"/>
        <v>181.88550000000001</v>
      </c>
      <c r="N19" s="306">
        <f t="shared" si="0"/>
        <v>0</v>
      </c>
      <c r="O19" s="306">
        <f t="shared" si="0"/>
        <v>0</v>
      </c>
      <c r="P19" s="306">
        <f t="shared" si="0"/>
        <v>0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0</v>
      </c>
      <c r="AK19" s="306">
        <f t="shared" si="0"/>
        <v>0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0</v>
      </c>
      <c r="C22" s="330">
        <f t="shared" ref="C22:P22" si="1">+C19/C21</f>
        <v>0</v>
      </c>
      <c r="D22" s="330">
        <f t="shared" si="1"/>
        <v>0</v>
      </c>
      <c r="E22" s="330">
        <f t="shared" si="1"/>
        <v>0</v>
      </c>
      <c r="F22" s="330">
        <f t="shared" si="1"/>
        <v>0</v>
      </c>
      <c r="G22" s="330">
        <f t="shared" si="1"/>
        <v>0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0.48225499999999999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</v>
      </c>
      <c r="O22" s="340">
        <f t="shared" si="1"/>
        <v>0</v>
      </c>
      <c r="P22" s="341">
        <f t="shared" si="1"/>
        <v>0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</v>
      </c>
      <c r="AK22" s="332">
        <f t="shared" ref="AK22" si="22">+AK19/AK21</f>
        <v>0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54.820464285714301</v>
      </c>
      <c r="E26" s="336" t="str">
        <f>REPT("█",ROUND(D26/5,0))&amp;REPT("░",20-ROUND(D26/5,0))&amp;" "&amp;ROUND(D26,0)&amp;"%"</f>
        <v>███████████░░░░░░░░░ 55%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12.386363636363635</v>
      </c>
      <c r="E27" s="350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0</v>
      </c>
      <c r="E28" s="349" t="str">
        <f>REPT("█",ROUND(D28/5,0))&amp;REPT("░",20-ROUND(D28/5,0))&amp;" "&amp;ROUND(D28,0)&amp;"%"</f>
        <v>░░░░░░░░░░░░░░░░░░░░ 0%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5" priority="2" stopIfTrue="1">
      <formula>B5=0</formula>
    </cfRule>
    <cfRule type="expression" dxfId="34" priority="3">
      <formula>IF(MONTH($A5)=MONTH(TODAY()),"VERDADERO","FALSO")</formula>
    </cfRule>
    <cfRule type="expression" dxfId="33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54.820464285714301</v>
      </c>
      <c r="D4" s="336" t="str">
        <f>REPT("█",ROUND(C4/5,0))&amp;REPT("░",20-ROUND(C4/5,0))&amp;" "&amp;ROUND(C4,0)&amp;"%"</f>
        <v>███████████░░░░░░░░░ 55%</v>
      </c>
    </row>
    <row r="5" spans="2:4" ht="26.25" x14ac:dyDescent="0.35">
      <c r="B5" s="334" t="s">
        <v>448</v>
      </c>
      <c r="C5" s="348">
        <f>+AVERAGE('EV (3)'!P22:AA22)*100</f>
        <v>12.386363636363635</v>
      </c>
      <c r="D5" s="337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34" t="s">
        <v>449</v>
      </c>
      <c r="C6" s="348">
        <f>IFERROR(AVERAGE('EV (3)'!AB22:AM22)*100,0)</f>
        <v>0</v>
      </c>
      <c r="D6" s="338" t="str">
        <f t="shared" si="0"/>
        <v>░░░░░░░░░░░░░░░░░░░░ 0%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J12" sqref="J1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0</v>
      </c>
      <c r="H3" s="33">
        <f>+SUMIFS(Tabla1[Avance_Med],Tabla1[nombre_actividad],'EV (4)'!$B3,Tabla1[Sistema],'EV (4)'!H$1)</f>
        <v>0</v>
      </c>
      <c r="I3" s="33">
        <f>+SUMIFS(Tabla1[Avance_Med],Tabla1[nombre_actividad],'EV (4)'!$B3,Tabla1[Sistema],'EV (4)'!I$1)</f>
        <v>0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40" t="str">
        <f>IF(SUM(F3:M3)=0,"",SUM(F3:M3))</f>
        <v/>
      </c>
      <c r="O3" s="538" t="str">
        <f>IF(N3&lt;&gt;"",_xlfn.XLOOKUP(A3,Catalogo!B6:B69,Catalogo!F6:F69)*N3,"")</f>
        <v/>
      </c>
      <c r="P3" s="555" t="str">
        <f>IFERROR($N3/$C3,"")</f>
        <v/>
      </c>
      <c r="Q3" s="556" t="str">
        <f>IFERROR(1-P3,"")</f>
        <v/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0</v>
      </c>
      <c r="H4" s="33">
        <f>+SUMIFS(Tabla1[Avance_Med],Tabla1[nombre_actividad],'EV (4)'!$B4,Tabla1[Sistema],'EV (4)'!H$1)</f>
        <v>0</v>
      </c>
      <c r="I4" s="33">
        <f>+SUMIFS(Tabla1[Avance_Med],Tabla1[nombre_actividad],'EV (4)'!$B4,Tabla1[Sistema],'EV (4)'!I$1)</f>
        <v>0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40" t="str">
        <f t="shared" ref="N4:N40" si="0">IF(SUM(F4:M4)=0,"",SUM(F4:M4))</f>
        <v/>
      </c>
      <c r="O4" s="538" t="str">
        <f>IF(N4&lt;&gt;"",_xlfn.XLOOKUP(A4,Catalogo!B7:B70,Catalogo!F7:F70)*N4,"")</f>
        <v/>
      </c>
      <c r="P4" s="555" t="str">
        <f t="shared" ref="P4:P40" si="1">IFERROR($N4/$C4,"")</f>
        <v/>
      </c>
      <c r="Q4" s="556" t="str">
        <f t="shared" ref="Q4:Q40" si="2">IFERROR(1-P4,"")</f>
        <v/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0</v>
      </c>
      <c r="H5" s="33">
        <f>+SUMIFS(Tabla1[Avance_Med],Tabla1[nombre_actividad],'EV (4)'!$B5,Tabla1[Sistema],'EV (4)'!H$1)</f>
        <v>0</v>
      </c>
      <c r="I5" s="33">
        <f>+SUMIFS(Tabla1[Avance_Med],Tabla1[nombre_actividad],'EV (4)'!$B5,Tabla1[Sistema],'EV (4)'!I$1)</f>
        <v>0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40" t="str">
        <f t="shared" si="0"/>
        <v/>
      </c>
      <c r="O5" s="538" t="str">
        <f>IF(N5&lt;&gt;"",_xlfn.XLOOKUP(A5,Catalogo!B8:B71,Catalogo!F8:F71)*N5,"")</f>
        <v/>
      </c>
      <c r="P5" s="555" t="str">
        <f t="shared" si="1"/>
        <v/>
      </c>
      <c r="Q5" s="556" t="str">
        <f t="shared" si="2"/>
        <v/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0</v>
      </c>
      <c r="H6" s="33">
        <f>+SUMIFS(Tabla1[Avance_Med],Tabla1[nombre_actividad],'EV (4)'!$B6,Tabla1[Sistema],'EV (4)'!H$1)</f>
        <v>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40" t="str">
        <f t="shared" si="0"/>
        <v/>
      </c>
      <c r="O6" s="538" t="str">
        <f>IF(N6&lt;&gt;"",_xlfn.XLOOKUP(A6,Catalogo!B9:B72,Catalogo!F9:F72)*N6,"")</f>
        <v/>
      </c>
      <c r="P6" s="555" t="str">
        <f t="shared" si="1"/>
        <v/>
      </c>
      <c r="Q6" s="556" t="str">
        <f t="shared" si="2"/>
        <v/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0</v>
      </c>
      <c r="H7" s="33">
        <f>+SUMIFS(Tabla1[Avance_Med],Tabla1[nombre_actividad],'EV (4)'!$B7,Tabla1[Sistema],'EV (4)'!H$1)</f>
        <v>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40" t="str">
        <f t="shared" si="0"/>
        <v/>
      </c>
      <c r="O7" s="538" t="str">
        <f>IF(N7&lt;&gt;"",_xlfn.XLOOKUP(A7,Catalogo!B10:B73,Catalogo!F10:F73)*N7,"")</f>
        <v/>
      </c>
      <c r="P7" s="555" t="str">
        <f t="shared" si="1"/>
        <v/>
      </c>
      <c r="Q7" s="556" t="str">
        <f t="shared" si="2"/>
        <v/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0</v>
      </c>
      <c r="H8" s="33">
        <f>+SUMIFS(Tabla1[Avance_Med],Tabla1[nombre_actividad],'EV (4)'!$B8,Tabla1[Sistema],'EV (4)'!H$1)</f>
        <v>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40" t="str">
        <f t="shared" si="0"/>
        <v/>
      </c>
      <c r="O8" s="538" t="str">
        <f>IF(N8&lt;&gt;"",_xlfn.XLOOKUP(A8,Catalogo!B11:B74,Catalogo!F11:F74)*N8,"")</f>
        <v/>
      </c>
      <c r="P8" s="555" t="str">
        <f t="shared" si="1"/>
        <v/>
      </c>
      <c r="Q8" s="556" t="str">
        <f t="shared" si="2"/>
        <v/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23.351051526399864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26.242087632554234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96.450605565890868</v>
      </c>
      <c r="O12" s="538">
        <f>IF(N12&lt;&gt;"",_xlfn.XLOOKUP(A12,Catalogo!B15:B78,Catalogo!F15:F78)*N12,"")</f>
        <v>1321014.4999999998</v>
      </c>
      <c r="P12" s="555">
        <f t="shared" si="1"/>
        <v>0.48225302782945434</v>
      </c>
      <c r="Q12" s="556">
        <f t="shared" si="2"/>
        <v>0.51774697217054566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0</v>
      </c>
      <c r="G15" s="33">
        <f>+SUMIFS(Tabla1[Avance_Med],Tabla1[nombre_actividad],'EV (4)'!$B15,Tabla1[Sistema],'EV (4)'!G$1)</f>
        <v>0</v>
      </c>
      <c r="H15" s="33">
        <f>+SUMIFS(Tabla1[Avance_Med],Tabla1[nombre_actividad],'EV (4)'!$B15,Tabla1[Sistema],'EV (4)'!H$1)</f>
        <v>0</v>
      </c>
      <c r="I15" s="33">
        <f>+SUMIFS(Tabla1[Avance_Med],Tabla1[nombre_actividad],'EV (4)'!$B15,Tabla1[Sistema],'EV (4)'!I$1)</f>
        <v>0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 t="str">
        <f t="shared" si="0"/>
        <v/>
      </c>
      <c r="O15" s="538" t="str">
        <f>IF(N15&lt;&gt;"",_xlfn.XLOOKUP(A15,Catalogo!B18:B81,Catalogo!F18:F81)*N15,"")</f>
        <v/>
      </c>
      <c r="P15" s="555" t="str">
        <f t="shared" si="1"/>
        <v/>
      </c>
      <c r="Q15" s="556" t="str">
        <f t="shared" si="2"/>
        <v/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0</v>
      </c>
      <c r="G16" s="33">
        <f>+SUMIFS(Tabla1[Avance_Med],Tabla1[nombre_actividad],'EV (4)'!$B16,Tabla1[Sistema],'EV (4)'!G$1)</f>
        <v>0</v>
      </c>
      <c r="H16" s="33">
        <f>+SUMIFS(Tabla1[Avance_Med],Tabla1[nombre_actividad],'EV (4)'!$B16,Tabla1[Sistema],'EV (4)'!H$1)</f>
        <v>0</v>
      </c>
      <c r="I16" s="33">
        <f>+SUMIFS(Tabla1[Avance_Med],Tabla1[nombre_actividad],'EV (4)'!$B16,Tabla1[Sistema],'EV (4)'!I$1)</f>
        <v>0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 t="str">
        <f t="shared" si="0"/>
        <v/>
      </c>
      <c r="O16" s="538" t="str">
        <f>IF(N16&lt;&gt;"",_xlfn.XLOOKUP(A16,Catalogo!B19:B82,Catalogo!F19:F82)*N16,"")</f>
        <v/>
      </c>
      <c r="P16" s="555" t="str">
        <f t="shared" si="1"/>
        <v/>
      </c>
      <c r="Q16" s="556" t="str">
        <f t="shared" si="2"/>
        <v/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 t="str">
        <f t="shared" si="0"/>
        <v/>
      </c>
      <c r="O17" s="538" t="str">
        <f>IF(N17&lt;&gt;"",_xlfn.XLOOKUP(A17,Catalogo!B20:B83,Catalogo!F20:F83)*N17,"")</f>
        <v/>
      </c>
      <c r="P17" s="555" t="str">
        <f t="shared" si="1"/>
        <v/>
      </c>
      <c r="Q17" s="556" t="str">
        <f t="shared" si="2"/>
        <v/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0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 t="str">
        <f t="shared" si="0"/>
        <v/>
      </c>
      <c r="O37" s="538" t="str">
        <f>IF(N37&lt;&gt;"",_xlfn.XLOOKUP(A37,Catalogo!B40:B103,Catalogo!F40:F103)*N37,"")</f>
        <v/>
      </c>
      <c r="P37" s="555" t="str">
        <f t="shared" si="1"/>
        <v/>
      </c>
      <c r="Q37" s="556" t="str">
        <f t="shared" si="2"/>
        <v/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0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 t="str">
        <f t="shared" si="0"/>
        <v/>
      </c>
      <c r="O38" s="538" t="str">
        <f>IF(N38&lt;&gt;"",_xlfn.XLOOKUP(A38,Catalogo!B41:B104,Catalogo!F41:F104)*N38,"")</f>
        <v/>
      </c>
      <c r="P38" s="555" t="str">
        <f t="shared" si="1"/>
        <v/>
      </c>
      <c r="Q38" s="556" t="str">
        <f t="shared" si="2"/>
        <v/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8547916.8172999993</v>
      </c>
      <c r="P42" s="293">
        <f>+'EV (2)'!AN5+'EV (4)'!O42</f>
        <v>-2615005.0227000006</v>
      </c>
      <c r="Q42" s="543">
        <f>-O42/'EV (2)'!AO5</f>
        <v>0.76574188548649724</v>
      </c>
      <c r="R42" s="554">
        <f>1-Q42</f>
        <v>0.23425811451350276</v>
      </c>
    </row>
    <row r="43" spans="1:18" x14ac:dyDescent="0.25">
      <c r="C43"/>
      <c r="D43"/>
      <c r="E43"/>
      <c r="F43"/>
      <c r="O43" s="553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2" priority="8" operator="equal">
      <formula>0</formula>
    </cfRule>
  </conditionalFormatting>
  <conditionalFormatting sqref="O43">
    <cfRule type="beginsWith" dxfId="31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69000</v>
      </c>
      <c r="G17" s="316">
        <f t="shared" si="3"/>
        <v>59000</v>
      </c>
      <c r="H17" s="315"/>
      <c r="I17" s="310">
        <f t="shared" si="4"/>
        <v>257936.59999999998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46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246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46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1674251.6000000006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46</v>
      </c>
      <c r="Q20" s="464">
        <f t="shared" si="7"/>
        <v>200</v>
      </c>
      <c r="S20" s="311">
        <f>SUM(S6:S19)</f>
        <v>511.2355</v>
      </c>
      <c r="T20" s="466">
        <f>SUM(T6:T19)</f>
        <v>603</v>
      </c>
      <c r="U20" s="476">
        <f>SUM(U6:U19)</f>
        <v>357</v>
      </c>
      <c r="V20" s="464">
        <f t="shared" ref="V20:W20" si="8">SUM(V6:V19)</f>
        <v>46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69000</v>
      </c>
      <c r="G21" s="312">
        <f t="shared" si="9"/>
        <v>59000</v>
      </c>
      <c r="H21" s="229"/>
      <c r="I21" s="310">
        <f>+IF(SUM(I6:I19)=SUM(B21:G21),SUM(I6:I19),"Diferencia en los montos")</f>
        <v>3174251.6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257936.59999999998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3174251.6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0" priority="5" stopIfTrue="1">
      <formula>B6=0</formula>
    </cfRule>
    <cfRule type="expression" dxfId="29" priority="6">
      <formula>IF(MONTH($A6)=MONTH(TODAY()),"VERDADERO","FALSO")</formula>
    </cfRule>
  </conditionalFormatting>
  <conditionalFormatting sqref="L6:Q19">
    <cfRule type="expression" dxfId="28" priority="7" stopIfTrue="1">
      <formula>L6=0</formula>
    </cfRule>
    <cfRule type="expression" dxfId="27" priority="8">
      <formula>IF(MONTH($A6)=MONTH(TODAY()),"VERDADERO","FALSO")</formula>
    </cfRule>
  </conditionalFormatting>
  <conditionalFormatting sqref="U6:W19">
    <cfRule type="expression" dxfId="26" priority="1" stopIfTrue="1">
      <formula>U6=0</formula>
    </cfRule>
    <cfRule type="expression" dxfId="25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4" priority="4"/>
  </conditionalFormatting>
  <conditionalFormatting sqref="B2:E41">
    <cfRule type="expression" dxfId="23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7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8126.7120000000004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0</v>
      </c>
      <c r="C10" s="233">
        <f>+SUMIFS(Tabla1[Avance_Med],Tabla1[Fecha],"&gt;="&amp;$A10,Tabla1[Fecha],"&lt;="&amp;EOMONTH($A10,0),Tabla1[Codigo_actividad],C$2)</f>
        <v>0</v>
      </c>
      <c r="D10" s="233">
        <f>+SUMIFS(Tabla1[Avance_Med],Tabla1[Fecha],"&gt;="&amp;$A10,Tabla1[Fecha],"&lt;="&amp;EOMONTH($A10,0),Tabla1[Codigo_actividad],D$2)</f>
        <v>0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129565.31577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0</v>
      </c>
      <c r="AK14" s="233">
        <f>+SUMIFS(Tabla1[Avance_Med],Tabla1[Fecha],"&gt;="&amp;$A14,Tabla1[Fecha],"&lt;="&amp;EOMONTH($A14,0),Tabla1[Codigo_actividad],AK$2)</f>
        <v>0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734377.50459999999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42.378686767501833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0</v>
      </c>
      <c r="O16" s="233">
        <f>+SUMIFS(Tabla1[Avance_Med],Tabla1[Fecha],"&gt;="&amp;$A16,Tabla1[Fecha],"&lt;="&amp;EOMONTH($A16,0),Tabla1[Codigo_actividad],O$2)</f>
        <v>0</v>
      </c>
      <c r="P16" s="233">
        <f>+SUMIFS(Tabla1[Avance_Med],Tabla1[Fecha],"&gt;="&amp;$A16,Tabla1[Fecha],"&lt;="&amp;EOMONTH($A16,0),Tabla1[Codigo_actividad],P$2)</f>
        <v>0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818385.37040000001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0</v>
      </c>
      <c r="C19" s="1">
        <f t="shared" ref="C19:O19" si="1">SUM(C3:C18)</f>
        <v>0</v>
      </c>
      <c r="D19" s="1">
        <f t="shared" si="1"/>
        <v>0</v>
      </c>
      <c r="E19" s="1">
        <f t="shared" si="1"/>
        <v>0</v>
      </c>
      <c r="F19" s="1">
        <f t="shared" si="1"/>
        <v>0</v>
      </c>
      <c r="G19" s="1">
        <f t="shared" si="1"/>
        <v>0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96.450605565890868</v>
      </c>
      <c r="L19" s="1">
        <f t="shared" si="1"/>
        <v>396</v>
      </c>
      <c r="M19" s="254">
        <f t="shared" si="1"/>
        <v>181.88550000000001</v>
      </c>
      <c r="N19" s="1">
        <f t="shared" si="1"/>
        <v>0</v>
      </c>
      <c r="O19" s="1">
        <f t="shared" si="1"/>
        <v>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8233950.4273000024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0</v>
      </c>
      <c r="C29" s="316">
        <f t="shared" si="11"/>
        <v>0</v>
      </c>
      <c r="D29" s="316">
        <f t="shared" si="11"/>
        <v>0</v>
      </c>
      <c r="E29" s="316">
        <f t="shared" si="11"/>
        <v>0</v>
      </c>
      <c r="F29" s="316">
        <f t="shared" si="11"/>
        <v>0</v>
      </c>
      <c r="G29" s="316">
        <f t="shared" si="11"/>
        <v>0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0</v>
      </c>
      <c r="O29" s="316">
        <f t="shared" si="11"/>
        <v>0</v>
      </c>
      <c r="P29" s="316">
        <f t="shared" si="11"/>
        <v>0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-76303.809360000014</v>
      </c>
      <c r="AQ29" s="13">
        <f t="shared" si="8"/>
        <v>-1407112.8639584009</v>
      </c>
    </row>
    <row r="30" spans="1:44" x14ac:dyDescent="0.25">
      <c r="A30" s="244">
        <v>46113</v>
      </c>
      <c r="B30" s="316">
        <f t="shared" ref="B30:AM30" si="12">+B10*B$1</f>
        <v>0</v>
      </c>
      <c r="C30" s="316">
        <f t="shared" si="12"/>
        <v>0</v>
      </c>
      <c r="D30" s="316">
        <f t="shared" si="12"/>
        <v>0</v>
      </c>
      <c r="E30" s="316">
        <f t="shared" si="12"/>
        <v>0</v>
      </c>
      <c r="F30" s="316">
        <f t="shared" si="12"/>
        <v>0</v>
      </c>
      <c r="G30" s="316">
        <f t="shared" si="12"/>
        <v>0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64561.414213199998</v>
      </c>
      <c r="AQ30" s="13">
        <f t="shared" si="8"/>
        <v>-1342551.4497452008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-916220.66839920077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-662444.65040000086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-334791.18007680093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0</v>
      </c>
      <c r="AK34" s="316">
        <f t="shared" si="16"/>
        <v>0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689599.32238480018</v>
      </c>
      <c r="AQ34" s="13">
        <f t="shared" si="8"/>
        <v>354808.14230799925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0</v>
      </c>
      <c r="O35" s="316">
        <f t="shared" si="17"/>
        <v>0</v>
      </c>
      <c r="P35" s="316">
        <f t="shared" si="17"/>
        <v>0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959342.26885599992</v>
      </c>
      <c r="AQ35" s="13">
        <f t="shared" si="8"/>
        <v>1314150.4111639992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580430.36</v>
      </c>
      <c r="L36" s="316">
        <f t="shared" si="18"/>
        <v>0</v>
      </c>
      <c r="M36" s="316">
        <f t="shared" si="18"/>
        <v>3667.1787899999986</v>
      </c>
      <c r="N36" s="316">
        <f t="shared" si="18"/>
        <v>0</v>
      </c>
      <c r="O36" s="316">
        <f t="shared" si="18"/>
        <v>0</v>
      </c>
      <c r="P36" s="316">
        <f t="shared" si="18"/>
        <v>0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952147.59598399978</v>
      </c>
      <c r="AQ36" s="13">
        <f t="shared" si="8"/>
        <v>2266298.007147999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2266298.007147999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2266298.007147999</v>
      </c>
    </row>
    <row r="39" spans="1:47" x14ac:dyDescent="0.25">
      <c r="A39" t="s">
        <v>75</v>
      </c>
      <c r="B39" s="13">
        <f>SUM(B23:B38)</f>
        <v>0</v>
      </c>
      <c r="C39" s="13">
        <f t="shared" ref="C39:AN39" si="21">SUM(C23:C38)</f>
        <v>0</v>
      </c>
      <c r="D39" s="13">
        <f t="shared" si="21"/>
        <v>0</v>
      </c>
      <c r="E39" s="13">
        <f t="shared" si="21"/>
        <v>0</v>
      </c>
      <c r="F39" s="13">
        <f t="shared" si="21"/>
        <v>0</v>
      </c>
      <c r="G39" s="13">
        <f t="shared" si="21"/>
        <v>0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1321014.5</v>
      </c>
      <c r="L39" s="13">
        <f t="shared" si="21"/>
        <v>1844568</v>
      </c>
      <c r="M39" s="13">
        <f>SUM(M23:M38)</f>
        <v>410591.96541</v>
      </c>
      <c r="N39" s="13">
        <f t="shared" si="21"/>
        <v>0</v>
      </c>
      <c r="O39" s="13">
        <f t="shared" si="21"/>
        <v>0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2266298.007147999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8233950.4273000006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9551382.4956679996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16" priority="6" stopIfTrue="1">
      <formula>IF($A3&gt;=TODAY(),TRUE,FALSE)</formula>
    </cfRule>
    <cfRule type="expression" dxfId="15" priority="9">
      <formula>B3=0</formula>
    </cfRule>
  </conditionalFormatting>
  <conditionalFormatting sqref="B23:AM38">
    <cfRule type="expression" dxfId="14" priority="5">
      <formula>B23=0</formula>
    </cfRule>
  </conditionalFormatting>
  <conditionalFormatting sqref="B23:AN38">
    <cfRule type="expression" dxfId="13" priority="3">
      <formula>IF(AND($A3&gt;TODAY(),B23=0),TRUE,FALSE)</formula>
    </cfRule>
    <cfRule type="expression" dxfId="12" priority="4">
      <formula>IF($A3&gt;TODAY(),TRUE,FALSE)</formula>
    </cfRule>
  </conditionalFormatting>
  <conditionalFormatting sqref="M23:M35">
    <cfRule type="expression" dxfId="11" priority="8">
      <formula>M23=0</formula>
    </cfRule>
  </conditionalFormatting>
  <conditionalFormatting sqref="AN23:AN38">
    <cfRule type="expression" dxfId="10" priority="1">
      <formula>IF(AND($A3&gt;TODAY(),AN23=0),TRUE,FALSE)</formula>
    </cfRule>
    <cfRule type="expression" dxfId="9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2026-10-21T15:53:39Z</dcterms:modified>
  <cp:category/>
  <cp:contentStatus/>
</cp:coreProperties>
</file>