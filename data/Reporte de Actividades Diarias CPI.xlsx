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ta/"/>
    </mc:Choice>
  </mc:AlternateContent>
  <xr:revisionPtr revIDLastSave="2049" documentId="8_{4AADA8ED-8E7D-4B32-A08C-3385DCB314DA}" xr6:coauthVersionLast="47" xr6:coauthVersionMax="47" xr10:uidLastSave="{A94898CF-AFA3-45C2-BFF8-32C712688744}"/>
  <bookViews>
    <workbookView xWindow="-120" yWindow="-120" windowWidth="29040" windowHeight="15720" tabRatio="929" activeTab="20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SPIN'!$I$5:$I$20</definedName>
    <definedName name="_xlchart.v5.11" hidden="1">'EV SPIN'!$K$6:$K$20</definedName>
    <definedName name="_xlchart.v5.12" hidden="1">'EV SPIN'!$N$6:$N$20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SPIN'!$L$6:$L$20</definedName>
    <definedName name="_xlchart.v5.17" hidden="1">'EV SPIN'!$K$6:$K$20</definedName>
    <definedName name="_xlchart.v5.18" hidden="1">'EV SPIN'!$P$6:$P$20</definedName>
    <definedName name="_xlchart.v5.19" hidden="1">'EV SPIN'!$K$6:$K$20</definedName>
    <definedName name="_xlchart.v5.2" hidden="1">'EV (2)'!$A$26:$A$38</definedName>
    <definedName name="_xlchart.v5.20" hidden="1">'EV SPIN'!$O$6:$O$20</definedName>
    <definedName name="_xlchart.v5.21" hidden="1">'EV SPIN'!$K$6:$K$20</definedName>
    <definedName name="_xlchart.v5.22" hidden="1">'EV SPIN'!$Q$6:$Q$20</definedName>
    <definedName name="_xlchart.v5.23" hidden="1">'EV SPIN'!$K$6:$K$20</definedName>
    <definedName name="_xlchart.v5.24" hidden="1">'EV SPIN'!$O$6:$O$20</definedName>
    <definedName name="_xlchart.v5.25" hidden="1">'EV SPIN'!$K$6:$K$20</definedName>
    <definedName name="_xlchart.v5.26" hidden="1">'EV SPIN'!$P$6:$P$20</definedName>
    <definedName name="_xlchart.v5.27" hidden="1">'EV SPIN'!$K$6:$K$20</definedName>
    <definedName name="_xlchart.v5.28" hidden="1">'EV SPIN'!$Q$6:$Q$20</definedName>
    <definedName name="_xlchart.v5.29" hidden="1">'EV SPIN'!$A$5:$A$20</definedName>
    <definedName name="_xlchart.v5.3" hidden="1">'EV (2)'!$B$26:$B$38</definedName>
    <definedName name="_xlchart.v5.30" hidden="1">'EV SPIN'!$I$5:$I$20</definedName>
    <definedName name="_xlchart.v5.31" hidden="1">'EV SPIN'!$K$6:$K$20</definedName>
    <definedName name="_xlchart.v5.32" hidden="1">'EV SPIN'!$M$6:$M$20</definedName>
    <definedName name="_xlchart.v5.33" hidden="1">'EV SPIN'!$K$6:$K$20</definedName>
    <definedName name="_xlchart.v5.34" hidden="1">'EV SPIN'!$L$6:$L$20</definedName>
    <definedName name="_xlchart.v5.35" hidden="1">'EV SPIN'!$K$6:$K$20</definedName>
    <definedName name="_xlchart.v5.36" hidden="1">'EV SPIN'!$N$6:$N$20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'EV (2)'!$A$5:$A$20</definedName>
    <definedName name="_xlchart.v5.40" hidden="1">waterfall!$AP$3:$AP$19</definedName>
    <definedName name="_xlchart.v5.41" hidden="1">waterfall!$AR$74</definedName>
    <definedName name="_xlchart.v5.5" hidden="1">'EV (2)'!$AO$5:$AO$20</definedName>
    <definedName name="_xlchart.v5.6" hidden="1">'waterfall ENGIE'!$U$31</definedName>
    <definedName name="_xlchart.v5.7" hidden="1">'EV SPIN'!$A$26:$A$38</definedName>
    <definedName name="_xlchart.v5.8" hidden="1">'EV SPIN'!$B$26:$B$38</definedName>
    <definedName name="_xlchart.v5.9" hidden="1">'EV SPIN'!$A$5:$A$20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7" i="1" l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R17" i="27" s="1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  <c r="H909" i="1"/>
  <c r="M909" i="1"/>
  <c r="H994" i="1"/>
  <c r="M994" i="1"/>
  <c r="J151" i="21"/>
  <c r="J248" i="21"/>
  <c r="J268" i="21"/>
  <c r="J295" i="21"/>
  <c r="J302" i="21"/>
  <c r="J331" i="21"/>
  <c r="J202" i="21"/>
  <c r="J239" i="21"/>
  <c r="J355" i="21"/>
  <c r="AC35" i="21" s="1"/>
  <c r="J351" i="21"/>
  <c r="J352" i="21"/>
  <c r="J353" i="21"/>
  <c r="J354" i="21"/>
  <c r="J317" i="21"/>
  <c r="B30" i="29" l="1"/>
  <c r="B38" i="29" s="1"/>
  <c r="J152" i="21"/>
  <c r="J160" i="21"/>
  <c r="J161" i="21"/>
  <c r="J163" i="21"/>
  <c r="J172" i="21"/>
  <c r="J174" i="21"/>
  <c r="J185" i="21"/>
  <c r="J241" i="21"/>
  <c r="J300" i="21"/>
  <c r="J329" i="21"/>
  <c r="J337" i="21"/>
  <c r="J346" i="21"/>
  <c r="J215" i="21"/>
  <c r="J153" i="21"/>
  <c r="J154" i="21"/>
  <c r="J155" i="21"/>
  <c r="J156" i="21"/>
  <c r="J157" i="21"/>
  <c r="J158" i="21"/>
  <c r="J159" i="21"/>
  <c r="J162" i="21"/>
  <c r="J173" i="21"/>
  <c r="J240" i="21"/>
  <c r="J297" i="21"/>
  <c r="J171" i="21"/>
  <c r="J187" i="21"/>
  <c r="J191" i="21"/>
  <c r="J212" i="21"/>
  <c r="J203" i="21"/>
  <c r="J209" i="21"/>
  <c r="J213" i="21"/>
  <c r="J335" i="21"/>
  <c r="J164" i="21"/>
  <c r="J165" i="21"/>
  <c r="J166" i="21"/>
  <c r="J167" i="21"/>
  <c r="J168" i="21"/>
  <c r="J169" i="21"/>
  <c r="J170" i="21"/>
  <c r="J186" i="21"/>
  <c r="J190" i="21"/>
  <c r="J208" i="21"/>
  <c r="J196" i="21"/>
  <c r="J183" i="21"/>
  <c r="J242" i="21"/>
  <c r="J210" i="21"/>
  <c r="J214" i="21"/>
  <c r="J175" i="21"/>
  <c r="J176" i="21"/>
  <c r="J177" i="21"/>
  <c r="J178" i="21"/>
  <c r="J179" i="21"/>
  <c r="J180" i="21"/>
  <c r="J181" i="21"/>
  <c r="J182" i="21"/>
  <c r="J184" i="21"/>
  <c r="J243" i="21"/>
  <c r="J260" i="21"/>
  <c r="J192" i="21"/>
  <c r="J200" i="21"/>
  <c r="J301" i="21"/>
  <c r="J339" i="21"/>
  <c r="J188" i="21"/>
  <c r="J189" i="21"/>
  <c r="J193" i="21"/>
  <c r="J204" i="21"/>
  <c r="J194" i="21"/>
  <c r="J195" i="21"/>
  <c r="J205" i="21"/>
  <c r="J245" i="21"/>
  <c r="J197" i="21"/>
  <c r="J198" i="21"/>
  <c r="J199" i="21"/>
  <c r="J201" i="21"/>
  <c r="J206" i="21"/>
  <c r="J250" i="21"/>
  <c r="J211" i="21"/>
  <c r="J316" i="21"/>
  <c r="J299" i="21"/>
  <c r="J338" i="21"/>
  <c r="J292" i="21"/>
  <c r="J310" i="21"/>
  <c r="J332" i="21"/>
  <c r="J207" i="21"/>
  <c r="J216" i="21"/>
  <c r="J217" i="21"/>
  <c r="J226" i="21"/>
  <c r="J228" i="21"/>
  <c r="J230" i="21"/>
  <c r="J232" i="21"/>
  <c r="J234" i="21"/>
  <c r="J236" i="21"/>
  <c r="J246" i="21"/>
  <c r="J249" i="21"/>
  <c r="J259" i="21"/>
  <c r="J345" i="21"/>
  <c r="J281" i="21"/>
  <c r="J282" i="21"/>
  <c r="J307" i="21"/>
  <c r="J326" i="21"/>
  <c r="J323" i="21"/>
  <c r="J347" i="21"/>
  <c r="J269" i="21"/>
  <c r="J315" i="21"/>
  <c r="J298" i="21"/>
  <c r="J304" i="21"/>
  <c r="J336" i="21"/>
  <c r="J343" i="21"/>
  <c r="J218" i="21"/>
  <c r="J219" i="21"/>
  <c r="J220" i="21"/>
  <c r="J221" i="21"/>
  <c r="J222" i="21"/>
  <c r="J237" i="21"/>
  <c r="J255" i="21"/>
  <c r="J318" i="21"/>
  <c r="J283" i="21"/>
  <c r="J288" i="21"/>
  <c r="J289" i="21"/>
  <c r="J305" i="21"/>
  <c r="J309" i="21"/>
  <c r="J334" i="21"/>
  <c r="J327" i="21"/>
  <c r="J350" i="21"/>
  <c r="J223" i="21"/>
  <c r="J314" i="21"/>
  <c r="J224" i="21"/>
  <c r="J225" i="21"/>
  <c r="J227" i="21"/>
  <c r="J229" i="21"/>
  <c r="J231" i="21"/>
  <c r="J233" i="21"/>
  <c r="J235" i="21"/>
  <c r="J238" i="21"/>
  <c r="J258" i="21"/>
  <c r="J270" i="21"/>
  <c r="J278" i="21"/>
  <c r="J287" i="21"/>
  <c r="J290" i="21"/>
  <c r="J284" i="21"/>
  <c r="J313" i="21"/>
  <c r="J303" i="21"/>
  <c r="J308" i="21"/>
  <c r="J328" i="21"/>
  <c r="J325" i="21"/>
  <c r="J349" i="21"/>
  <c r="J342" i="21"/>
  <c r="J244" i="21"/>
  <c r="J247" i="21"/>
  <c r="J256" i="21"/>
  <c r="J257" i="21"/>
  <c r="J264" i="21"/>
  <c r="J296" i="21"/>
  <c r="J267" i="21"/>
  <c r="J271" i="21"/>
  <c r="J344" i="21"/>
  <c r="J251" i="21"/>
  <c r="J252" i="21"/>
  <c r="J253" i="21"/>
  <c r="J254" i="21"/>
  <c r="J265" i="21"/>
  <c r="J330" i="21"/>
  <c r="J279" i="21"/>
  <c r="J312" i="21"/>
  <c r="J291" i="21"/>
  <c r="J285" i="21"/>
  <c r="J319" i="21"/>
  <c r="J341" i="21"/>
  <c r="J311" i="21"/>
  <c r="J340" i="21"/>
  <c r="J348" i="21"/>
  <c r="J261" i="21"/>
  <c r="J262" i="21"/>
  <c r="J263" i="21"/>
  <c r="J266" i="21"/>
  <c r="J322" i="21"/>
  <c r="J333" i="21"/>
  <c r="J272" i="21"/>
  <c r="J273" i="21"/>
  <c r="J274" i="21"/>
  <c r="J275" i="21"/>
  <c r="J276" i="21"/>
  <c r="J277" i="21"/>
  <c r="J280" i="21"/>
  <c r="J320" i="21"/>
  <c r="J293" i="21"/>
  <c r="J286" i="21"/>
  <c r="J294" i="21"/>
  <c r="J306" i="21"/>
  <c r="J324" i="21"/>
  <c r="J321" i="21"/>
  <c r="O43" i="39"/>
  <c r="AE4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<sst xmlns="http://schemas.openxmlformats.org/spreadsheetml/2006/main" count="6048" uniqueCount="650">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</sst>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89.593444351312982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0.44796722175656489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5226998.1007600008</c:v>
                </c:pt>
                <c:pt idx="150">
                  <c:v>5230609.9727600012</c:v>
                </c:pt>
                <c:pt idx="151">
                  <c:v>5233770.3607600015</c:v>
                </c:pt>
                <c:pt idx="152">
                  <c:v>5239964.7212400017</c:v>
                </c:pt>
                <c:pt idx="153">
                  <c:v>5242222.1412400017</c:v>
                </c:pt>
                <c:pt idx="154">
                  <c:v>5244204.1560000014</c:v>
                </c:pt>
                <c:pt idx="155">
                  <c:v>5244204.1560000014</c:v>
                </c:pt>
                <c:pt idx="156">
                  <c:v>5244204.1560000014</c:v>
                </c:pt>
                <c:pt idx="157">
                  <c:v>5246461.5760000013</c:v>
                </c:pt>
                <c:pt idx="158">
                  <c:v>5250976.4160000011</c:v>
                </c:pt>
                <c:pt idx="159">
                  <c:v>5257184.3210000014</c:v>
                </c:pt>
                <c:pt idx="160">
                  <c:v>5263956.5810000012</c:v>
                </c:pt>
                <c:pt idx="161">
                  <c:v>5266778.3560000015</c:v>
                </c:pt>
                <c:pt idx="162">
                  <c:v>5266778.3560000015</c:v>
                </c:pt>
                <c:pt idx="163">
                  <c:v>5269487.2600000016</c:v>
                </c:pt>
                <c:pt idx="164">
                  <c:v>5274679.3260000013</c:v>
                </c:pt>
                <c:pt idx="165">
                  <c:v>5278873.6123600015</c:v>
                </c:pt>
                <c:pt idx="166">
                  <c:v>5279451.511880002</c:v>
                </c:pt>
                <c:pt idx="167">
                  <c:v>5279451.511880002</c:v>
                </c:pt>
                <c:pt idx="168">
                  <c:v>5279451.511880002</c:v>
                </c:pt>
                <c:pt idx="169">
                  <c:v>5279451.511880002</c:v>
                </c:pt>
                <c:pt idx="170">
                  <c:v>5279451.511880002</c:v>
                </c:pt>
                <c:pt idx="171">
                  <c:v>5279451.511880002</c:v>
                </c:pt>
                <c:pt idx="172">
                  <c:v>5279451.511880002</c:v>
                </c:pt>
                <c:pt idx="173">
                  <c:v>5293169.8094400018</c:v>
                </c:pt>
                <c:pt idx="174">
                  <c:v>5317420.8315100018</c:v>
                </c:pt>
                <c:pt idx="175">
                  <c:v>5322517.7483900022</c:v>
                </c:pt>
                <c:pt idx="176">
                  <c:v>5322517.7483900022</c:v>
                </c:pt>
                <c:pt idx="177">
                  <c:v>5338310.0573400026</c:v>
                </c:pt>
                <c:pt idx="178">
                  <c:v>5353655.0305000022</c:v>
                </c:pt>
                <c:pt idx="179">
                  <c:v>5353655.0305000022</c:v>
                </c:pt>
                <c:pt idx="180">
                  <c:v>5360175.2885300023</c:v>
                </c:pt>
                <c:pt idx="181">
                  <c:v>5379437.8387600025</c:v>
                </c:pt>
                <c:pt idx="182">
                  <c:v>5379437.8387600025</c:v>
                </c:pt>
                <c:pt idx="183">
                  <c:v>5379437.8387600025</c:v>
                </c:pt>
                <c:pt idx="184">
                  <c:v>5401709.7388500022</c:v>
                </c:pt>
                <c:pt idx="185">
                  <c:v>5417054.7120100018</c:v>
                </c:pt>
                <c:pt idx="186">
                  <c:v>5441400.623490002</c:v>
                </c:pt>
                <c:pt idx="187">
                  <c:v>5471141.675710002</c:v>
                </c:pt>
                <c:pt idx="188">
                  <c:v>5507253.8740300015</c:v>
                </c:pt>
                <c:pt idx="189">
                  <c:v>5512716.7929200018</c:v>
                </c:pt>
                <c:pt idx="190">
                  <c:v>5512716.7929200018</c:v>
                </c:pt>
                <c:pt idx="191">
                  <c:v>5529390.2178200018</c:v>
                </c:pt>
                <c:pt idx="192">
                  <c:v>5539719.6078800019</c:v>
                </c:pt>
                <c:pt idx="193">
                  <c:v>5558033.2640100019</c:v>
                </c:pt>
                <c:pt idx="194">
                  <c:v>5571710.8946800018</c:v>
                </c:pt>
                <c:pt idx="195">
                  <c:v>5606707.4927800018</c:v>
                </c:pt>
                <c:pt idx="196">
                  <c:v>5634675.7284400016</c:v>
                </c:pt>
                <c:pt idx="197">
                  <c:v>5634675.7284400016</c:v>
                </c:pt>
                <c:pt idx="198">
                  <c:v>5649193.808170002</c:v>
                </c:pt>
                <c:pt idx="199">
                  <c:v>5666463.6807900015</c:v>
                </c:pt>
                <c:pt idx="200">
                  <c:v>5679382.1961800018</c:v>
                </c:pt>
                <c:pt idx="201">
                  <c:v>5716731.2627000017</c:v>
                </c:pt>
                <c:pt idx="202">
                  <c:v>5753804.4224300021</c:v>
                </c:pt>
                <c:pt idx="203">
                  <c:v>5779826.7891500024</c:v>
                </c:pt>
                <c:pt idx="204">
                  <c:v>5779826.7891500024</c:v>
                </c:pt>
                <c:pt idx="205">
                  <c:v>5792139.7715900019</c:v>
                </c:pt>
                <c:pt idx="206">
                  <c:v>5796474.0179900015</c:v>
                </c:pt>
                <c:pt idx="207">
                  <c:v>5797816.0253600013</c:v>
                </c:pt>
                <c:pt idx="208">
                  <c:v>5798558.7165400013</c:v>
                </c:pt>
                <c:pt idx="209">
                  <c:v>5800565.5629200013</c:v>
                </c:pt>
                <c:pt idx="210">
                  <c:v>5801610.7483800016</c:v>
                </c:pt>
                <c:pt idx="211">
                  <c:v>5801610.7483800016</c:v>
                </c:pt>
                <c:pt idx="212">
                  <c:v>5830537.3971000016</c:v>
                </c:pt>
                <c:pt idx="213">
                  <c:v>5859478.567230002</c:v>
                </c:pt>
                <c:pt idx="214">
                  <c:v>5869556.4257700024</c:v>
                </c:pt>
                <c:pt idx="215">
                  <c:v>5890786.7271900019</c:v>
                </c:pt>
                <c:pt idx="216">
                  <c:v>5895757.5660300013</c:v>
                </c:pt>
                <c:pt idx="217">
                  <c:v>5923057.8168300008</c:v>
                </c:pt>
                <c:pt idx="218">
                  <c:v>5923057.8168300008</c:v>
                </c:pt>
                <c:pt idx="219">
                  <c:v>5943126.4054500004</c:v>
                </c:pt>
                <c:pt idx="220">
                  <c:v>5963325.6867600009</c:v>
                </c:pt>
                <c:pt idx="221">
                  <c:v>5978239.1748299999</c:v>
                </c:pt>
                <c:pt idx="222">
                  <c:v>5991352.0080599999</c:v>
                </c:pt>
                <c:pt idx="223">
                  <c:v>6004014.6775799999</c:v>
                </c:pt>
                <c:pt idx="224">
                  <c:v>6004014.6775799999</c:v>
                </c:pt>
                <c:pt idx="225">
                  <c:v>6004014.6775799999</c:v>
                </c:pt>
                <c:pt idx="226">
                  <c:v>6010796.1760499999</c:v>
                </c:pt>
                <c:pt idx="227">
                  <c:v>6020932.1202299995</c:v>
                </c:pt>
                <c:pt idx="228">
                  <c:v>6027307.0192199992</c:v>
                </c:pt>
                <c:pt idx="229">
                  <c:v>6044326.1117399987</c:v>
                </c:pt>
                <c:pt idx="230">
                  <c:v>6049799.3512499984</c:v>
                </c:pt>
                <c:pt idx="231">
                  <c:v>6050034.2548699984</c:v>
                </c:pt>
                <c:pt idx="232">
                  <c:v>6050034.2548699984</c:v>
                </c:pt>
                <c:pt idx="233">
                  <c:v>6057236.8742299983</c:v>
                </c:pt>
                <c:pt idx="234">
                  <c:v>6069885.0223399987</c:v>
                </c:pt>
                <c:pt idx="235">
                  <c:v>6069885.0223399987</c:v>
                </c:pt>
                <c:pt idx="236">
                  <c:v>6091291.468489999</c:v>
                </c:pt>
                <c:pt idx="237">
                  <c:v>6092861.7218899997</c:v>
                </c:pt>
                <c:pt idx="238">
                  <c:v>6094762.4695299994</c:v>
                </c:pt>
                <c:pt idx="239">
                  <c:v>6094762.4695299994</c:v>
                </c:pt>
                <c:pt idx="240">
                  <c:v>6104811.2852499997</c:v>
                </c:pt>
                <c:pt idx="241">
                  <c:v>6109030.4149999991</c:v>
                </c:pt>
                <c:pt idx="242">
                  <c:v>6121518.8275999995</c:v>
                </c:pt>
                <c:pt idx="243">
                  <c:v>6124543.7703999989</c:v>
                </c:pt>
                <c:pt idx="244">
                  <c:v>6130645.5766599989</c:v>
                </c:pt>
                <c:pt idx="245">
                  <c:v>6133963.9840599988</c:v>
                </c:pt>
                <c:pt idx="246">
                  <c:v>6133963.9840599988</c:v>
                </c:pt>
                <c:pt idx="247">
                  <c:v>6147219.554299999</c:v>
                </c:pt>
                <c:pt idx="248">
                  <c:v>6166445.9011399988</c:v>
                </c:pt>
                <c:pt idx="249">
                  <c:v>6167070.3217699984</c:v>
                </c:pt>
                <c:pt idx="250">
                  <c:v>6192061.6683799988</c:v>
                </c:pt>
                <c:pt idx="251">
                  <c:v>6226186.9818799989</c:v>
                </c:pt>
                <c:pt idx="252">
                  <c:v>6236642.3970799986</c:v>
                </c:pt>
                <c:pt idx="253">
                  <c:v>6261328.7940799985</c:v>
                </c:pt>
                <c:pt idx="254">
                  <c:v>6268589.4990799986</c:v>
                </c:pt>
                <c:pt idx="255">
                  <c:v>6284563.0500799986</c:v>
                </c:pt>
                <c:pt idx="256">
                  <c:v>6294728.0370799983</c:v>
                </c:pt>
                <c:pt idx="257">
                  <c:v>6296959.6214699987</c:v>
                </c:pt>
                <c:pt idx="258">
                  <c:v>6300986.5406699963</c:v>
                </c:pt>
                <c:pt idx="259">
                  <c:v>6302438.6816699961</c:v>
                </c:pt>
                <c:pt idx="260">
                  <c:v>6302438.6816699961</c:v>
                </c:pt>
                <c:pt idx="261">
                  <c:v>6307127.3430099962</c:v>
                </c:pt>
                <c:pt idx="262">
                  <c:v>6307127.3430099962</c:v>
                </c:pt>
                <c:pt idx="263">
                  <c:v>6313986.4917899966</c:v>
                </c:pt>
                <c:pt idx="264">
                  <c:v>6315220.0541199958</c:v>
                </c:pt>
                <c:pt idx="265">
                  <c:v>6337790.1780699957</c:v>
                </c:pt>
                <c:pt idx="266">
                  <c:v>6367951.1466399953</c:v>
                </c:pt>
                <c:pt idx="267">
                  <c:v>6367951.1466399953</c:v>
                </c:pt>
                <c:pt idx="268">
                  <c:v>6399156.206899995</c:v>
                </c:pt>
                <c:pt idx="269">
                  <c:v>6418622.0915799951</c:v>
                </c:pt>
                <c:pt idx="270">
                  <c:v>6427433.2510799952</c:v>
                </c:pt>
                <c:pt idx="271">
                  <c:v>6450748.9346799953</c:v>
                </c:pt>
                <c:pt idx="272">
                  <c:v>6480137.5405199956</c:v>
                </c:pt>
                <c:pt idx="273">
                  <c:v>6494777.6209199959</c:v>
                </c:pt>
                <c:pt idx="274">
                  <c:v>6494777.6209199959</c:v>
                </c:pt>
                <c:pt idx="275">
                  <c:v>6511044.376919996</c:v>
                </c:pt>
                <c:pt idx="276">
                  <c:v>6514013.0598899964</c:v>
                </c:pt>
                <c:pt idx="277">
                  <c:v>6514549.4105699966</c:v>
                </c:pt>
                <c:pt idx="278">
                  <c:v>6559282.9895699965</c:v>
                </c:pt>
                <c:pt idx="279">
                  <c:v>6613464.842679997</c:v>
                </c:pt>
                <c:pt idx="280">
                  <c:v>6613464.842679997</c:v>
                </c:pt>
                <c:pt idx="281">
                  <c:v>6649361.768199997</c:v>
                </c:pt>
                <c:pt idx="282">
                  <c:v>6649361.768199997</c:v>
                </c:pt>
                <c:pt idx="283">
                  <c:v>6649361.768199997</c:v>
                </c:pt>
                <c:pt idx="284">
                  <c:v>6649361.768199997</c:v>
                </c:pt>
                <c:pt idx="285">
                  <c:v>6684226.848559997</c:v>
                </c:pt>
                <c:pt idx="286">
                  <c:v>6684408.8553199973</c:v>
                </c:pt>
                <c:pt idx="287">
                  <c:v>6686316.375219997</c:v>
                </c:pt>
                <c:pt idx="288">
                  <c:v>6688743.1017199969</c:v>
                </c:pt>
                <c:pt idx="289">
                  <c:v>6694115.7613199968</c:v>
                </c:pt>
                <c:pt idx="290">
                  <c:v>6737404.0845299968</c:v>
                </c:pt>
                <c:pt idx="291">
                  <c:v>6743341.0991299972</c:v>
                </c:pt>
                <c:pt idx="292">
                  <c:v>6771774.0199099975</c:v>
                </c:pt>
                <c:pt idx="293">
                  <c:v>6810921.2335199974</c:v>
                </c:pt>
                <c:pt idx="294">
                  <c:v>6812840.0405199975</c:v>
                </c:pt>
                <c:pt idx="295">
                  <c:v>6812840.0405199975</c:v>
                </c:pt>
                <c:pt idx="296">
                  <c:v>7157809.2067199983</c:v>
                </c:pt>
                <c:pt idx="297">
                  <c:v>7322084.3067199979</c:v>
                </c:pt>
                <c:pt idx="298">
                  <c:v>7411995.7767199976</c:v>
                </c:pt>
                <c:pt idx="299">
                  <c:v>7499750.4767199969</c:v>
                </c:pt>
                <c:pt idx="300">
                  <c:v>7502795.7362999972</c:v>
                </c:pt>
                <c:pt idx="301">
                  <c:v>7502795.7362999972</c:v>
                </c:pt>
                <c:pt idx="302">
                  <c:v>7502795.7362999972</c:v>
                </c:pt>
                <c:pt idx="303">
                  <c:v>7504601.6722999969</c:v>
                </c:pt>
                <c:pt idx="304">
                  <c:v>7515358.2785999971</c:v>
                </c:pt>
                <c:pt idx="305">
                  <c:v>7541496.8165999968</c:v>
                </c:pt>
                <c:pt idx="306">
                  <c:v>7561144.2843299964</c:v>
                </c:pt>
                <c:pt idx="307">
                  <c:v>7760516.3043299951</c:v>
                </c:pt>
                <c:pt idx="308">
                  <c:v>7856166.8043299951</c:v>
                </c:pt>
                <c:pt idx="309">
                  <c:v>7856166.8043299951</c:v>
                </c:pt>
                <c:pt idx="310">
                  <c:v>7914796.9464499941</c:v>
                </c:pt>
                <c:pt idx="311">
                  <c:v>7942111.7186599942</c:v>
                </c:pt>
                <c:pt idx="312">
                  <c:v>7981454.4161899937</c:v>
                </c:pt>
                <c:pt idx="313">
                  <c:v>7984492.903509994</c:v>
                </c:pt>
                <c:pt idx="314">
                  <c:v>8010370.0561299948</c:v>
                </c:pt>
                <c:pt idx="315">
                  <c:v>8029915.8739899946</c:v>
                </c:pt>
                <c:pt idx="316">
                  <c:v>8029915.8739899946</c:v>
                </c:pt>
                <c:pt idx="317">
                  <c:v>8039979.2111199945</c:v>
                </c:pt>
                <c:pt idx="318">
                  <c:v>8070575.7639199942</c:v>
                </c:pt>
                <c:pt idx="319">
                  <c:v>8089207.7639199942</c:v>
                </c:pt>
                <c:pt idx="320">
                  <c:v>8172892.6839199932</c:v>
                </c:pt>
                <c:pt idx="321">
                  <c:v>8245587.0639199931</c:v>
                </c:pt>
                <c:pt idx="322">
                  <c:v>8250245.0639199931</c:v>
                </c:pt>
                <c:pt idx="323">
                  <c:v>8250245.0639199931</c:v>
                </c:pt>
                <c:pt idx="324">
                  <c:v>8264219.0639199931</c:v>
                </c:pt>
                <c:pt idx="325">
                  <c:v>8278193.0639199931</c:v>
                </c:pt>
                <c:pt idx="326">
                  <c:v>8287509.0639199931</c:v>
                </c:pt>
                <c:pt idx="327">
                  <c:v>8296825.0639199931</c:v>
                </c:pt>
                <c:pt idx="328">
                  <c:v>8315457.0639199931</c:v>
                </c:pt>
                <c:pt idx="329">
                  <c:v>8597454.7639199924</c:v>
                </c:pt>
                <c:pt idx="330">
                  <c:v>8597454.7639199924</c:v>
                </c:pt>
                <c:pt idx="331">
                  <c:v>8604227.0239199921</c:v>
                </c:pt>
                <c:pt idx="332">
                  <c:v>8693162.9469199926</c:v>
                </c:pt>
                <c:pt idx="333">
                  <c:v>8697607.8068999927</c:v>
                </c:pt>
                <c:pt idx="334">
                  <c:v>8779530.500729993</c:v>
                </c:pt>
                <c:pt idx="335">
                  <c:v>8881518.0175499935</c:v>
                </c:pt>
                <c:pt idx="336">
                  <c:v>8881518.0175499935</c:v>
                </c:pt>
                <c:pt idx="337">
                  <c:v>8881518.0175499935</c:v>
                </c:pt>
                <c:pt idx="338">
                  <c:v>8894790.5862899944</c:v>
                </c:pt>
                <c:pt idx="339">
                  <c:v>8897668.7967899926</c:v>
                </c:pt>
                <c:pt idx="340">
                  <c:v>8898238.7953399941</c:v>
                </c:pt>
                <c:pt idx="341">
                  <c:v>8920478.8860149942</c:v>
                </c:pt>
                <c:pt idx="342">
                  <c:v>8931137.6009549946</c:v>
                </c:pt>
                <c:pt idx="343">
                  <c:v>9049507.8009549938</c:v>
                </c:pt>
                <c:pt idx="344">
                  <c:v>9153309.3609549943</c:v>
                </c:pt>
                <c:pt idx="345">
                  <c:v>9316152.9509549923</c:v>
                </c:pt>
                <c:pt idx="346">
                  <c:v>9349781.9666899927</c:v>
                </c:pt>
                <c:pt idx="347">
                  <c:v>9367672.3438099921</c:v>
                </c:pt>
                <c:pt idx="348">
                  <c:v>9406676.8510699924</c:v>
                </c:pt>
                <c:pt idx="349">
                  <c:v>9479848.8277899921</c:v>
                </c:pt>
                <c:pt idx="350">
                  <c:v>9500338.5372999888</c:v>
                </c:pt>
                <c:pt idx="351">
                  <c:v>9500338.5372999888</c:v>
                </c:pt>
                <c:pt idx="352">
                  <c:v>9545782.5372999869</c:v>
                </c:pt>
                <c:pt idx="353">
                  <c:v>9545782.5372999869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79.548187810833227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89.593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44.8%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$9,545,783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9,545,782.54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85.5%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14.5%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17" totalsRowDxfId="8"/>
    <tableColumn id="2" xr3:uid="{3FA4B0AE-9D06-44DE-B076-3FDED3D18EF2}" name="Brigada" dataDxfId="65" totalsRowDxfId="64"/>
    <tableColumn id="11" xr3:uid="{AF909B89-4C98-4C30-B977-1DB0493946D0}" name="Sistema" dataDxfId="16" totalsRowDxfId="7"/>
    <tableColumn id="3" xr3:uid="{F5BFBB63-F01E-4EC7-BD4D-D09BB4F889A7}" name="Ducto" dataDxfId="15" totalsRowDxfId="6"/>
    <tableColumn id="4" xr3:uid="{98B77E8A-3C99-459B-A84F-9BCA22E66134}" name="Actividades" dataDxfId="63" totalsRowDxfId="62"/>
    <tableColumn id="10" xr3:uid="{076EB25C-65A8-4625-A199-B02E4B6F26E7}" name="inicio" dataDxfId="14" totalsRowDxfId="5"/>
    <tableColumn id="9" xr3:uid="{AE72225D-975E-4C2E-AE3B-40DA16331A20}" name="fin" dataDxfId="13" totalsRowDxfId="4"/>
    <tableColumn id="6" xr3:uid="{89559591-219B-4EA6-8A69-D923E65EA2C9}" name="Avance_km" totalsRowFunction="sum" dataDxfId="12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61" totalsRowDxfId="60"/>
    <tableColumn id="5" xr3:uid="{8DED0425-8C44-4CA2-BCB3-F627BAA20C3E}" name="Codigo_actividad"/>
    <tableColumn id="7" xr3:uid="{808EA3A0-62BB-4518-9BDA-01AFA85BD786}" name="nombre_actividad" dataDxfId="11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10" totalsRowDxfId="1"/>
    <tableColumn id="13" xr3:uid="{38F5AE3B-C4C0-4E22-B47F-A3FD31E72ADE}" name="EV" totalsRowFunction="custom" dataDxfId="9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9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opLeftCell="A898" zoomScaleNormal="100" workbookViewId="0">
      <selection activeCell="I915" sqref="I915:I950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4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4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4" x14ac:dyDescent="0.25">
      <c r="A867" s="356"/>
      <c r="B867" s="201" t="s">
        <v>12</v>
      </c>
      <c r="C867" s="202" t="s">
        <v>13</v>
      </c>
      <c r="D867" s="203" t="s">
        <v>13</v>
      </c>
      <c r="E867" s="378" t="s">
        <v>537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80"/>
    </row>
    <row r="868" spans="1:14" x14ac:dyDescent="0.25">
      <c r="A868" s="356"/>
      <c r="B868" s="201" t="s">
        <v>29</v>
      </c>
      <c r="C868" s="202" t="s">
        <v>22</v>
      </c>
      <c r="D868" s="203" t="s">
        <v>22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4" x14ac:dyDescent="0.25">
      <c r="A869" s="356"/>
      <c r="B869" s="201" t="s">
        <v>12</v>
      </c>
      <c r="C869" s="202" t="s">
        <v>13</v>
      </c>
      <c r="D869" s="203" t="s">
        <v>13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4" x14ac:dyDescent="0.25">
      <c r="A870" s="356"/>
      <c r="B870" s="201" t="s">
        <v>29</v>
      </c>
      <c r="C870" s="202" t="s">
        <v>22</v>
      </c>
      <c r="D870" s="203" t="s">
        <v>22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4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4" x14ac:dyDescent="0.25">
      <c r="A872" s="356"/>
      <c r="B872" s="201" t="s">
        <v>29</v>
      </c>
      <c r="C872" s="202" t="s">
        <v>536</v>
      </c>
      <c r="D872" s="203" t="s">
        <v>536</v>
      </c>
      <c r="E872" s="378" t="s">
        <v>537</v>
      </c>
      <c r="F872" s="28"/>
      <c r="G872" s="28"/>
      <c r="H872" s="226">
        <f>+(Catalogo!$J$56)*Tabla1[[#This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80"/>
    </row>
    <row r="873" spans="1:14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4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4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4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4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4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4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4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3" spans="1:14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4" spans="1:14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5" spans="1:14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  <c r="N952">
        <v>37</v>
      </c>
    </row>
    <row r="953" spans="1:14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  <c r="N953">
        <v>37</v>
      </c>
    </row>
    <row r="954" spans="1:14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  <c r="N954">
        <v>17</v>
      </c>
    </row>
    <row r="955" spans="1:14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  <c r="N955">
        <v>17</v>
      </c>
    </row>
    <row r="956" spans="1:14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  <c r="N956">
        <v>34</v>
      </c>
    </row>
    <row r="957" spans="1:14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  <c r="N957">
        <v>34</v>
      </c>
    </row>
    <row r="958" spans="1:14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  <c r="N958">
        <v>4</v>
      </c>
    </row>
    <row r="959" spans="1:14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  <c r="N959">
        <v>4</v>
      </c>
    </row>
    <row r="960" spans="1:14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  <c r="N967">
        <v>37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  <c r="N968">
        <v>17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  <c r="N969">
        <v>34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  <c r="N970">
        <v>4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600.82894435131323</v>
      </c>
      <c r="L994" s="36"/>
      <c r="M994" s="294">
        <f>+SUBTOTAL(9,Tabla1[EV])</f>
        <v>9526804.6552999895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57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0" t="s">
        <v>84</v>
      </c>
      <c r="E1" s="571"/>
      <c r="F1" s="571"/>
      <c r="G1" s="571"/>
      <c r="H1" s="571"/>
      <c r="I1" s="571"/>
      <c r="J1" s="571"/>
      <c r="K1" s="571"/>
      <c r="L1" s="2"/>
    </row>
    <row r="2" spans="2:15" ht="42.75" customHeight="1" x14ac:dyDescent="0.25">
      <c r="B2" s="2"/>
      <c r="C2" s="2"/>
      <c r="D2" s="571"/>
      <c r="E2" s="571"/>
      <c r="F2" s="571"/>
      <c r="G2" s="571"/>
      <c r="H2" s="571"/>
      <c r="I2" s="571"/>
      <c r="J2" s="571"/>
      <c r="K2" s="571"/>
      <c r="L2" s="2"/>
    </row>
    <row r="3" spans="2:15" x14ac:dyDescent="0.25">
      <c r="B3" s="568" t="s">
        <v>85</v>
      </c>
      <c r="C3" s="568"/>
      <c r="D3" s="568"/>
      <c r="E3" s="568"/>
      <c r="F3" s="568"/>
      <c r="G3" s="568" t="s">
        <v>86</v>
      </c>
      <c r="H3" s="568"/>
      <c r="I3" s="568"/>
      <c r="J3" s="568"/>
      <c r="K3" s="568"/>
      <c r="L3" s="3"/>
    </row>
    <row r="4" spans="2:15" x14ac:dyDescent="0.25">
      <c r="B4" s="572"/>
      <c r="C4" s="572"/>
      <c r="D4" s="572"/>
      <c r="E4" s="572"/>
      <c r="F4" s="572"/>
      <c r="G4" s="573" t="s">
        <v>87</v>
      </c>
      <c r="H4" s="573"/>
      <c r="I4" s="573"/>
      <c r="J4" s="573"/>
      <c r="K4" s="573"/>
      <c r="L4" s="3"/>
    </row>
    <row r="5" spans="2:15" ht="27" x14ac:dyDescent="0.25">
      <c r="B5" s="154" t="s">
        <v>88</v>
      </c>
      <c r="C5" s="568" t="s">
        <v>89</v>
      </c>
      <c r="D5" s="569"/>
      <c r="E5" s="569"/>
      <c r="F5" s="569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5" t="s">
        <v>95</v>
      </c>
      <c r="D6" s="575"/>
      <c r="E6" s="575"/>
      <c r="F6" s="57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7" t="s">
        <v>102</v>
      </c>
      <c r="D10" s="577"/>
      <c r="E10" s="577"/>
      <c r="F10" s="577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5" t="s">
        <v>105</v>
      </c>
      <c r="D13" s="575"/>
      <c r="E13" s="575"/>
      <c r="F13" s="575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5" t="s">
        <v>116</v>
      </c>
      <c r="D22" s="575"/>
      <c r="E22" s="575"/>
      <c r="F22" s="575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8" t="s">
        <v>121</v>
      </c>
      <c r="D25" s="578"/>
      <c r="E25" s="578"/>
      <c r="F25" s="57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5" t="s">
        <v>142</v>
      </c>
      <c r="D36" s="575"/>
      <c r="E36" s="575"/>
      <c r="F36" s="575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5" t="s">
        <v>156</v>
      </c>
      <c r="D49" s="575"/>
      <c r="E49" s="575"/>
      <c r="F49" s="575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8" t="s">
        <v>163</v>
      </c>
      <c r="D66" s="569"/>
      <c r="E66" s="569"/>
      <c r="F66" s="569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448607.41200000001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-3499537.3126999978</v>
      </c>
      <c r="S20" s="13">
        <f>+R4-R20</f>
        <v>-7663384.5273000021</v>
      </c>
      <c r="T20" s="253">
        <f>$S$20/$R$4</f>
        <v>0.68650346541349627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56" priority="4">
      <formula>B5=0</formula>
    </cfRule>
  </conditionalFormatting>
  <conditionalFormatting sqref="J5:J19">
    <cfRule type="expression" dxfId="55" priority="3">
      <formula>J5=0</formula>
    </cfRule>
  </conditionalFormatting>
  <conditionalFormatting sqref="L5:P19">
    <cfRule type="expression" dxfId="54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8" t="s">
        <v>85</v>
      </c>
      <c r="C3" s="568"/>
      <c r="D3" s="568" t="s">
        <v>86</v>
      </c>
      <c r="E3" s="568"/>
      <c r="F3" s="568"/>
      <c r="G3" s="568"/>
      <c r="H3" s="568"/>
    </row>
    <row r="4" spans="1:21" x14ac:dyDescent="0.25">
      <c r="B4" s="572"/>
      <c r="C4" s="572"/>
      <c r="D4" s="573" t="s">
        <v>87</v>
      </c>
      <c r="E4" s="573"/>
      <c r="F4" s="573"/>
      <c r="G4" s="573"/>
      <c r="H4" s="573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53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89.593444351312982</v>
      </c>
      <c r="M40" s="61" t="s">
        <v>175</v>
      </c>
      <c r="N40" s="74">
        <f ca="1">+$L$40*Catalogo!F17</f>
        <v>1227096.9000000011</v>
      </c>
      <c r="P40" s="74">
        <f ca="1">+$L$40*Catalogo!J17</f>
        <v>607443.55270190199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8140032.8273</v>
      </c>
      <c r="P41" s="215">
        <f ca="1">SUM(P35:P40)</f>
        <v>3526960.1527019017</v>
      </c>
      <c r="Q41" s="140"/>
      <c r="R41" s="176" t="str">
        <f ca="1">"Ejecutdo SPIN al "&amp;TEXT(TODAY(),"mmm-aaaa")</f>
        <v>Ejecutdo SPIN al oct-2026</v>
      </c>
      <c r="S41" s="245">
        <f ca="1">+P41</f>
        <v>3526960.1527019017</v>
      </c>
      <c r="T41" s="247">
        <f ca="1">+P41+R38-1500000</f>
        <v>1668243.5527019021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4613072.6745980978</v>
      </c>
      <c r="P43"/>
      <c r="Q43"/>
      <c r="R43" s="176" t="str">
        <f ca="1">"Por Pagar a "&amp;TEXT(TODAY(),"mmm-aaaa")</f>
        <v>Por Pagar a oct-2026</v>
      </c>
      <c r="S43" s="245">
        <f ca="1">+S41+S42</f>
        <v>2026960.1527019017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89.593444351312982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52" priority="1">
      <formula>D2=0</formula>
    </cfRule>
    <cfRule type="expression" dxfId="51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0.44796722175656489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0.44796722175656489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50" priority="1">
      <formula>C2=0</formula>
    </cfRule>
    <cfRule type="expression" dxfId="49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79.548187810833227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9545782.5372999869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89.593444351312982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5226998.1007600008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5230609.9727600012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5233770.3607600015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5239964.7212400017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5242222.1412400017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5244204.1560000014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5244204.1560000014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5244204.1560000014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5246461.5760000013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5250976.4160000011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5257184.3210000014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5263956.5810000012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5266778.3560000015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5266778.3560000015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5269487.2600000016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5274679.3260000013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5278873.6123600015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5279451.511880002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5279451.511880002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5279451.511880002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5279451.511880002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5279451.511880002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5279451.511880002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5279451.511880002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5293169.8094400018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5317420.8315100018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5322517.7483900022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5322517.7483900022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5338310.0573400026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5353655.0305000022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5353655.0305000022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5360175.2885300023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5379437.8387600025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5379437.8387600025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5379437.8387600025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5401709.7388500022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5417054.7120100018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5441400.623490002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5471141.675710002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5507253.8740300015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5512716.7929200018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5512716.7929200018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5529390.2178200018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5539719.6078800019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5558033.2640100019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5571710.8946800018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5606707.4927800018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5634675.7284400016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5634675.7284400016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5649193.808170002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5666463.6807900015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5679382.1961800018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5716731.2627000017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5753804.4224300021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5779826.7891500024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5779826.7891500024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5792139.7715900019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5796474.0179900015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5797816.0253600013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5798558.7165400013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5800565.5629200013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5801610.7483800016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5801610.7483800016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5830537.3971000016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5859478.567230002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5869556.4257700024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5890786.7271900019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5895757.5660300013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5923057.8168300008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5923057.8168300008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5943126.4054500004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5963325.6867600009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5978239.1748299999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5991352.0080599999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6004014.6775799999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6004014.6775799999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6004014.6775799999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6010796.1760499999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6020932.1202299995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6027307.0192199992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6044326.1117399987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6049799.3512499984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6050034.2548699984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6050034.2548699984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6057236.8742299983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6069885.0223399987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6069885.0223399987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6091291.468489999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6092861.7218899997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6094762.4695299994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6094762.4695299994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6104811.2852499997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6109030.4149999991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6121518.8275999995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6124543.7703999989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6130645.5766599989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6133963.9840599988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6133963.9840599988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6147219.554299999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6166445.9011399988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6167070.3217699984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6192061.6683799988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6226186.9818799989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6236642.3970799986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6261328.7940799985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6268589.4990799986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6284563.0500799986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6294728.0370799983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6296959.6214699987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6300986.5406699963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6302438.6816699961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6302438.6816699961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6307127.3430099962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6307127.3430099962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6313986.4917899966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6315220.0541199958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6337790.1780699957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6367951.1466399953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6367951.1466399953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6399156.206899995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6418622.0915799951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6427433.2510799952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6450748.9346799953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6480137.5405199956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6494777.6209199959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6494777.6209199959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6511044.376919996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6514013.0598899964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6514549.4105699966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6559282.9895699965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6613464.842679997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6613464.842679997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6649361.768199997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6649361.768199997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6649361.768199997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6649361.768199997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6684226.848559997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6684408.8553199973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6686316.375219997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6688743.1017199969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6694115.7613199968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6737404.0845299968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6743341.0991299972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6771774.0199099975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6810921.2335199974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6812840.0405199975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6812840.0405199975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7157809.2067199983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7322084.3067199979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7411995.7767199976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7499750.4767199969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7502795.7362999972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7502795.7362999972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7502795.7362999972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7504601.6722999969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7515358.2785999971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7541496.8165999968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7561144.2843299964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7760516.3043299951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7856166.8043299951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7856166.8043299951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7914796.9464499941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7942111.7186599942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7981454.4161899937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7984492.903509994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8010370.0561299948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8029915.8739899946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8029915.8739899946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8039979.2111199945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8070575.7639199942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8089207.7639199942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8172892.6839199932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8245587.0639199931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8250245.0639199931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8250245.0639199931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8264219.0639199931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8278193.0639199931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8287509.0639199931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8296825.0639199931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8315457.0639199931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8597454.7639199924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8597454.7639199924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8604227.0239199921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8693162.9469199926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8697607.8068999927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8779530.500729993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8881518.0175499935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8881518.0175499935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8881518.0175499935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8894790.5862899944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8897668.7967899926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8898238.7953399941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8920478.8860149942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8931137.6009549946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9049507.8009549938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9153309.3609549943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9316152.9509549923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9349781.9666899927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9367672.3438099921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9406676.8510699924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9479848.8277899921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9500338.5372999888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9500338.5372999888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9545782.5372999869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9545782.5372999869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48" priority="1">
      <formula>C2=0</formula>
    </cfRule>
    <cfRule type="expression" dxfId="47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0</v>
      </c>
      <c r="C10" s="316">
        <f>+SUMIFS(Tabla1[Avance_Med],Tabla1[Fecha],"&gt;="&amp;$A10,Tabla1[Fecha],"&lt;="&amp;EOMONTH($A10,0),Tabla1[Codigo_actividad],C$4)*C$3</f>
        <v>0</v>
      </c>
      <c r="D10" s="316">
        <f>+SUMIFS(Tabla1[Avance_Med],Tabla1[Fecha],"&gt;="&amp;$A10,Tabla1[Fecha],"&lt;="&amp;EOMONTH($A10,0),Tabla1[Codigo_actividad],D$4)*D$3</f>
        <v>0</v>
      </c>
      <c r="E10" s="316">
        <f>+SUMIFS(Tabla1[Avance_Med],Tabla1[Fecha],"&gt;="&amp;$A10,Tabla1[Fecha],"&lt;="&amp;EOMONTH($A10,0),Tabla1[Codigo_actividad],E$4)*E$3</f>
        <v>0</v>
      </c>
      <c r="F10" s="316">
        <f>+SUMIFS(Tabla1[Avance_Med],Tabla1[Fecha],"&gt;="&amp;$A10,Tabla1[Fecha],"&lt;="&amp;EOMONTH($A10,0),Tabla1[Codigo_actividad],F$4)*F$3</f>
        <v>0</v>
      </c>
      <c r="G10" s="316">
        <f>+SUMIFS(Tabla1[Avance_Med],Tabla1[Fecha],"&gt;="&amp;$A10,Tabla1[Fecha],"&lt;="&amp;EOMONTH($A10,0),Tabla1[Codigo_actividad],G$4)*G$3</f>
        <v>0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448607.41200000001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0</v>
      </c>
      <c r="C11" s="316">
        <f>+SUMIFS(Tabla1[Avance_Med],Tabla1[Fecha],"&gt;="&amp;$A11,Tabla1[Fecha],"&lt;="&amp;EOMONTH($A11,0),Tabla1[Codigo_actividad],C$4)*C$3</f>
        <v>0</v>
      </c>
      <c r="D11" s="316">
        <f>+SUMIFS(Tabla1[Avance_Med],Tabla1[Fecha],"&gt;="&amp;$A11,Tabla1[Fecha],"&lt;="&amp;EOMONTH($A11,0),Tabla1[Codigo_actividad],D$4)*D$3</f>
        <v>0</v>
      </c>
      <c r="E11" s="316">
        <f>+SUMIFS(Tabla1[Avance_Med],Tabla1[Fecha],"&gt;="&amp;$A11,Tabla1[Fecha],"&lt;="&amp;EOMONTH($A11,0),Tabla1[Codigo_actividad],E$4)*E$3</f>
        <v>0</v>
      </c>
      <c r="F11" s="316">
        <f>+SUMIFS(Tabla1[Avance_Med],Tabla1[Fecha],"&gt;="&amp;$A11,Tabla1[Fecha],"&lt;="&amp;EOMONTH($A11,0),Tabla1[Codigo_actividad],F$4)*F$3</f>
        <v>0</v>
      </c>
      <c r="G11" s="316">
        <f>+SUMIFS(Tabla1[Avance_Med],Tabla1[Fecha],"&gt;="&amp;$A11,Tabla1[Fecha],"&lt;="&amp;EOMONTH($A11,0),Tabla1[Codigo_actividad],G$4)*G$3</f>
        <v>0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848174.73039999977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-1617139.302699998</v>
      </c>
      <c r="AQ20" s="418">
        <f>+AO20/AO5</f>
        <v>0.1448670272782272</v>
      </c>
      <c r="AT20"/>
      <c r="AU20"/>
      <c r="AV20"/>
      <c r="AW20"/>
      <c r="AX20"/>
    </row>
    <row r="21" spans="1:52" x14ac:dyDescent="0.25">
      <c r="A21"/>
      <c r="B21" s="312">
        <f>SUM(B6:B19)</f>
        <v>0</v>
      </c>
      <c r="C21" s="312">
        <f t="shared" ref="C21:AM21" si="2">SUM(C6:C19)</f>
        <v>0</v>
      </c>
      <c r="D21" s="312">
        <f t="shared" si="2"/>
        <v>0</v>
      </c>
      <c r="E21" s="312">
        <f t="shared" si="2"/>
        <v>0</v>
      </c>
      <c r="F21" s="312">
        <f t="shared" si="2"/>
        <v>0</v>
      </c>
      <c r="G21" s="312">
        <f t="shared" si="2"/>
        <v>0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1227096.8999999999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9545782.5373000018</v>
      </c>
      <c r="AQ21" s="419">
        <f>-AO21/AO5</f>
        <v>0.8551329727217728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448607.41199999995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848174.73040000023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9545782.5373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46" priority="1" stopIfTrue="1">
      <formula>B6=0</formula>
    </cfRule>
    <cfRule type="expression" dxfId="4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0</v>
      </c>
      <c r="C19" s="306">
        <f t="shared" ref="C19:AM19" si="0">SUM(C5:C18)</f>
        <v>0</v>
      </c>
      <c r="D19" s="306">
        <f t="shared" si="0"/>
        <v>0</v>
      </c>
      <c r="E19" s="306">
        <f t="shared" si="0"/>
        <v>0</v>
      </c>
      <c r="F19" s="306">
        <f t="shared" si="0"/>
        <v>0</v>
      </c>
      <c r="G19" s="306">
        <f t="shared" si="0"/>
        <v>0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89.593999999999994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</v>
      </c>
      <c r="C22" s="330">
        <f t="shared" ref="C22:P22" si="1">+C19/C21</f>
        <v>0</v>
      </c>
      <c r="D22" s="330">
        <f t="shared" si="1"/>
        <v>0</v>
      </c>
      <c r="E22" s="330">
        <f t="shared" si="1"/>
        <v>0</v>
      </c>
      <c r="F22" s="330">
        <f t="shared" si="1"/>
        <v>0</v>
      </c>
      <c r="G22" s="330">
        <f t="shared" si="1"/>
        <v>0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0.44796999999999998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79.364692176870761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44" priority="2" stopIfTrue="1">
      <formula>B5=0</formula>
    </cfRule>
    <cfRule type="expression" dxfId="43" priority="3">
      <formula>IF(MONTH($A5)=MONTH(TODAY()),"VERDADERO","FALSO")</formula>
    </cfRule>
    <cfRule type="expression" dxfId="42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79.364692176870761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abSelected="1" zoomScale="80" zoomScaleNormal="80" workbookViewId="0">
      <selection activeCell="S37" sqref="S37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40" t="str">
        <f>IF(SUM(F3:M3)=0,"",SUM(F3:M3))</f>
        <v/>
      </c>
      <c r="O3" s="538" t="str">
        <f>IF(N3&lt;&gt;"",_xlfn.XLOOKUP(A3,Catalogo!B6:B69,Catalogo!F6:F69)*N3,"")</f>
        <v/>
      </c>
      <c r="P3" s="555" t="str">
        <f>IFERROR($N3/$C3,"")</f>
        <v/>
      </c>
      <c r="Q3" s="556" t="str">
        <f>IFERROR(1-P3,"")</f>
        <v/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40" t="str">
        <f t="shared" ref="N4:N40" si="0">IF(SUM(F4:M4)=0,"",SUM(F4:M4))</f>
        <v/>
      </c>
      <c r="O4" s="538" t="str">
        <f>IF(N4&lt;&gt;"",_xlfn.XLOOKUP(A4,Catalogo!B7:B70,Catalogo!F7:F70)*N4,"")</f>
        <v/>
      </c>
      <c r="P4" s="555" t="str">
        <f t="shared" ref="P4:P40" si="1">IFERROR($N4/$C4,"")</f>
        <v/>
      </c>
      <c r="Q4" s="556" t="str">
        <f t="shared" ref="Q4:Q40" si="2">IFERROR(1-P4,"")</f>
        <v/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40" t="str">
        <f t="shared" si="0"/>
        <v/>
      </c>
      <c r="O5" s="538" t="str">
        <f>IF(N5&lt;&gt;"",_xlfn.XLOOKUP(A5,Catalogo!B8:B71,Catalogo!F8:F71)*N5,"")</f>
        <v/>
      </c>
      <c r="P5" s="555" t="str">
        <f t="shared" si="1"/>
        <v/>
      </c>
      <c r="Q5" s="556" t="str">
        <f t="shared" si="2"/>
        <v/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40" t="str">
        <f t="shared" si="0"/>
        <v/>
      </c>
      <c r="O6" s="538" t="str">
        <f>IF(N6&lt;&gt;"",_xlfn.XLOOKUP(A6,Catalogo!B9:B72,Catalogo!F9:F72)*N6,"")</f>
        <v/>
      </c>
      <c r="P6" s="555" t="str">
        <f t="shared" si="1"/>
        <v/>
      </c>
      <c r="Q6" s="556" t="str">
        <f t="shared" si="2"/>
        <v/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40" t="str">
        <f t="shared" si="0"/>
        <v/>
      </c>
      <c r="O7" s="538" t="str">
        <f>IF(N7&lt;&gt;"",_xlfn.XLOOKUP(A7,Catalogo!B10:B73,Catalogo!F10:F73)*N7,"")</f>
        <v/>
      </c>
      <c r="P7" s="555" t="str">
        <f t="shared" si="1"/>
        <v/>
      </c>
      <c r="Q7" s="556" t="str">
        <f t="shared" si="2"/>
        <v/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40" t="str">
        <f t="shared" si="0"/>
        <v/>
      </c>
      <c r="O8" s="538" t="str">
        <f>IF(N8&lt;&gt;"",_xlfn.XLOOKUP(A8,Catalogo!B11:B74,Catalogo!F11:F74)*N8,"")</f>
        <v/>
      </c>
      <c r="P8" s="555" t="str">
        <f t="shared" si="1"/>
        <v/>
      </c>
      <c r="Q8" s="556" t="str">
        <f t="shared" si="2"/>
        <v/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20.254269042396913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22.481708901979218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89.593444351312911</v>
      </c>
      <c r="O12" s="538">
        <f>IF(N12&lt;&gt;"",_xlfn.XLOOKUP(A12,Catalogo!B15:B78,Catalogo!F15:F78)*N12,"")</f>
        <v>1227096.9000000001</v>
      </c>
      <c r="P12" s="555">
        <f t="shared" si="1"/>
        <v>0.44796722175656456</v>
      </c>
      <c r="Q12" s="556">
        <f t="shared" si="2"/>
        <v>0.55203277824343544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9545782.5372999981</v>
      </c>
      <c r="P42" s="293">
        <f>+'EV (2)'!AN5+'EV (4)'!O42</f>
        <v>-1617139.3027000017</v>
      </c>
      <c r="Q42" s="543">
        <f>-O42/'EV (2)'!AO5</f>
        <v>0.85513297272177247</v>
      </c>
      <c r="R42" s="554">
        <f>1-Q42</f>
        <v>0.14486702727822753</v>
      </c>
    </row>
    <row r="43" spans="1:18" x14ac:dyDescent="0.25">
      <c r="C43"/>
      <c r="D43"/>
      <c r="E43"/>
      <c r="F43"/>
      <c r="O43" s="553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41" priority="8" operator="equal">
      <formula>0</formula>
    </cfRule>
  </conditionalFormatting>
  <conditionalFormatting sqref="O43">
    <cfRule type="beginsWith" dxfId="40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1627751.6000000006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15</v>
      </c>
      <c r="Q20" s="464">
        <f t="shared" si="7"/>
        <v>200</v>
      </c>
      <c r="S20" s="311">
        <f>SUM(S6:S19)</f>
        <v>511.2355</v>
      </c>
      <c r="T20" s="466">
        <f>SUM(T6:T19)</f>
        <v>572</v>
      </c>
      <c r="U20" s="476">
        <f>SUM(U6:U19)</f>
        <v>357</v>
      </c>
      <c r="V20" s="464">
        <f t="shared" ref="V20:W20" si="8">SUM(V6:V19)</f>
        <v>15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3127751.6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3127751.6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9" priority="5" stopIfTrue="1">
      <formula>B6=0</formula>
    </cfRule>
    <cfRule type="expression" dxfId="38" priority="6">
      <formula>IF(MONTH($A6)=MONTH(TODAY()),"VERDADERO","FALSO")</formula>
    </cfRule>
  </conditionalFormatting>
  <conditionalFormatting sqref="L6:Q19">
    <cfRule type="expression" dxfId="37" priority="7" stopIfTrue="1">
      <formula>L6=0</formula>
    </cfRule>
    <cfRule type="expression" dxfId="36" priority="8">
      <formula>IF(MONTH($A6)=MONTH(TODAY()),"VERDADERO","FALSO")</formula>
    </cfRule>
  </conditionalFormatting>
  <conditionalFormatting sqref="U6:W19">
    <cfRule type="expression" dxfId="35" priority="1" stopIfTrue="1">
      <formula>U6=0</formula>
    </cfRule>
    <cfRule type="expression" dxfId="34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33" priority="4"/>
  </conditionalFormatting>
  <conditionalFormatting sqref="B2:E41">
    <cfRule type="expression" dxfId="32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31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30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9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8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27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26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342192.31200000003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129565.31577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749213.37040000001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0</v>
      </c>
      <c r="C19" s="1">
        <f t="shared" ref="C19:O19" si="1">SUM(C3:C18)</f>
        <v>0</v>
      </c>
      <c r="D19" s="1">
        <f t="shared" si="1"/>
        <v>0</v>
      </c>
      <c r="E19" s="1">
        <f t="shared" si="1"/>
        <v>0</v>
      </c>
      <c r="F19" s="1">
        <f t="shared" si="1"/>
        <v>0</v>
      </c>
      <c r="G19" s="1">
        <f t="shared" si="1"/>
        <v>0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89.593444351312911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8709181.6273000017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0</v>
      </c>
      <c r="C29" s="316">
        <f t="shared" si="11"/>
        <v>0</v>
      </c>
      <c r="D29" s="316">
        <f t="shared" si="11"/>
        <v>0</v>
      </c>
      <c r="E29" s="316">
        <f t="shared" si="11"/>
        <v>0</v>
      </c>
      <c r="F29" s="316">
        <f t="shared" si="11"/>
        <v>0</v>
      </c>
      <c r="G29" s="316">
        <f t="shared" si="11"/>
        <v>0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434653.80263999995</v>
      </c>
      <c r="AQ29" s="13">
        <f t="shared" si="8"/>
        <v>-896155.25195840094</v>
      </c>
    </row>
    <row r="30" spans="1:44" x14ac:dyDescent="0.25">
      <c r="A30" s="244">
        <v>46113</v>
      </c>
      <c r="B30" s="316">
        <f t="shared" ref="B30:AM30" si="12">+B10*B$1</f>
        <v>0</v>
      </c>
      <c r="C30" s="316">
        <f t="shared" si="12"/>
        <v>0</v>
      </c>
      <c r="D30" s="316">
        <f t="shared" si="12"/>
        <v>0</v>
      </c>
      <c r="E30" s="316">
        <f t="shared" si="12"/>
        <v>0</v>
      </c>
      <c r="F30" s="316">
        <f t="shared" si="12"/>
        <v>0</v>
      </c>
      <c r="G30" s="316">
        <f t="shared" si="12"/>
        <v>0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64561.414213199998</v>
      </c>
      <c r="AQ30" s="13">
        <f t="shared" si="8"/>
        <v>-831593.83774520096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-405263.05639920098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-151487.03840000101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176166.43192319892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1261714.0295079991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2542770.3503639987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881051.89198399975</v>
      </c>
      <c r="AQ36" s="13">
        <f t="shared" si="8"/>
        <v>3423822.2423479985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3423822.2423479985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3423822.2423479985</v>
      </c>
    </row>
    <row r="39" spans="1:47" x14ac:dyDescent="0.25">
      <c r="A39" t="s">
        <v>75</v>
      </c>
      <c r="B39" s="13">
        <f>SUM(B23:B38)</f>
        <v>0</v>
      </c>
      <c r="C39" s="13">
        <f t="shared" ref="C39:AN39" si="21">SUM(C23:C38)</f>
        <v>0</v>
      </c>
      <c r="D39" s="13">
        <f t="shared" si="21"/>
        <v>0</v>
      </c>
      <c r="E39" s="13">
        <f t="shared" si="21"/>
        <v>0</v>
      </c>
      <c r="F39" s="13">
        <f t="shared" si="21"/>
        <v>0</v>
      </c>
      <c r="G39" s="13">
        <f t="shared" si="21"/>
        <v>0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1227096.8999999999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3423822.2423479985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8709181.6272999998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10102650.687667999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25" priority="6" stopIfTrue="1">
      <formula>IF($A3&gt;=TODAY(),TRUE,FALSE)</formula>
    </cfRule>
    <cfRule type="expression" dxfId="24" priority="9">
      <formula>B3=0</formula>
    </cfRule>
  </conditionalFormatting>
  <conditionalFormatting sqref="B23:AM38">
    <cfRule type="expression" dxfId="23" priority="5">
      <formula>B23=0</formula>
    </cfRule>
  </conditionalFormatting>
  <conditionalFormatting sqref="B23:AN38">
    <cfRule type="expression" dxfId="22" priority="3">
      <formula>IF(AND($A3&gt;TODAY(),B23=0),TRUE,FALSE)</formula>
    </cfRule>
    <cfRule type="expression" dxfId="21" priority="4">
      <formula>IF($A3&gt;TODAY(),TRUE,FALSE)</formula>
    </cfRule>
  </conditionalFormatting>
  <conditionalFormatting sqref="M23:M35">
    <cfRule type="expression" dxfId="20" priority="8">
      <formula>M23=0</formula>
    </cfRule>
  </conditionalFormatting>
  <conditionalFormatting sqref="AN23:AN38">
    <cfRule type="expression" dxfId="19" priority="1">
      <formula>IF(AND($A3&gt;TODAY(),AN23=0),TRUE,FALSE)</formula>
    </cfRule>
    <cfRule type="expression" dxfId="18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2026-10-20T19:08:44Z</dcterms:modified>
  <cp:category/>
  <cp:contentStatus/>
</cp:coreProperties>
</file>